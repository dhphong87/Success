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UCCESS\"/>
    </mc:Choice>
  </mc:AlternateContent>
  <bookViews>
    <workbookView xWindow="360" yWindow="300" windowWidth="18795" windowHeight="11760"/>
  </bookViews>
  <sheets>
    <sheet name="2017" sheetId="6" r:id="rId1"/>
    <sheet name="2018" sheetId="8" r:id="rId2"/>
  </sheets>
  <functionGroups builtInGroupCount="18"/>
  <definedNames>
    <definedName name="_xlnm.Print_Area" localSheetId="0">'2017'!$B$5:$X$66</definedName>
    <definedName name="_xlnm.Print_Area" localSheetId="1">'2018'!$B$5:$X$66</definedName>
    <definedName name="_xlnm.Print_Titles" localSheetId="0">'2017'!$5:$6</definedName>
    <definedName name="_xlnm.Print_Titles" localSheetId="1">'2018'!$5:$6</definedName>
    <definedName name="valuevx">42.314159</definedName>
  </definedNames>
  <calcPr calcId="152511"/>
</workbook>
</file>

<file path=xl/calcChain.xml><?xml version="1.0" encoding="utf-8"?>
<calcChain xmlns="http://schemas.openxmlformats.org/spreadsheetml/2006/main">
  <c r="R48" i="6" l="1"/>
  <c r="B5" i="8"/>
  <c r="B8" i="8"/>
  <c r="J8" i="8" s="1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R9" i="8"/>
  <c r="S9" i="8"/>
  <c r="T9" i="8"/>
  <c r="U9" i="8"/>
  <c r="V9" i="8"/>
  <c r="W9" i="8"/>
  <c r="X9" i="8"/>
  <c r="B10" i="8"/>
  <c r="C10" i="8" s="1"/>
  <c r="D10" i="8" s="1"/>
  <c r="E10" i="8" s="1"/>
  <c r="F10" i="8" s="1"/>
  <c r="G10" i="8" s="1"/>
  <c r="H10" i="8" s="1"/>
  <c r="B11" i="8"/>
  <c r="C11" i="8"/>
  <c r="D11" i="8"/>
  <c r="E11" i="8"/>
  <c r="F11" i="8"/>
  <c r="G11" i="8"/>
  <c r="H11" i="8"/>
  <c r="J10" i="8" l="1"/>
  <c r="K10" i="8" s="1"/>
  <c r="L10" i="8" s="1"/>
  <c r="M10" i="8" s="1"/>
  <c r="N10" i="8" s="1"/>
  <c r="O10" i="8" s="1"/>
  <c r="P10" i="8" s="1"/>
  <c r="R8" i="8"/>
  <c r="R10" i="8" s="1"/>
  <c r="S10" i="8" s="1"/>
  <c r="T10" i="8" s="1"/>
  <c r="U10" i="8" s="1"/>
  <c r="V10" i="8" s="1"/>
  <c r="W10" i="8" s="1"/>
  <c r="X10" i="8" s="1"/>
  <c r="J11" i="8"/>
  <c r="K11" i="8"/>
  <c r="L11" i="8"/>
  <c r="M11" i="8"/>
  <c r="N11" i="8"/>
  <c r="O11" i="8"/>
  <c r="P11" i="8"/>
  <c r="R11" i="8"/>
  <c r="S11" i="8"/>
  <c r="T11" i="8"/>
  <c r="U11" i="8"/>
  <c r="V11" i="8"/>
  <c r="W11" i="8"/>
  <c r="X11" i="8"/>
  <c r="B12" i="8"/>
  <c r="C12" i="8" s="1"/>
  <c r="D12" i="8" s="1"/>
  <c r="E12" i="8" s="1"/>
  <c r="F12" i="8" s="1"/>
  <c r="G12" i="8" s="1"/>
  <c r="H12" i="8" s="1"/>
  <c r="J12" i="8"/>
  <c r="K12" i="8" s="1"/>
  <c r="L12" i="8" s="1"/>
  <c r="M12" i="8" s="1"/>
  <c r="N12" i="8" s="1"/>
  <c r="O12" i="8" s="1"/>
  <c r="P12" i="8" s="1"/>
  <c r="R12" i="8"/>
  <c r="S12" i="8" s="1"/>
  <c r="T12" i="8" s="1"/>
  <c r="U12" i="8" s="1"/>
  <c r="V12" i="8" s="1"/>
  <c r="W12" i="8" s="1"/>
  <c r="X12" i="8" s="1"/>
  <c r="B13" i="8"/>
  <c r="C13" i="8"/>
  <c r="D13" i="8"/>
  <c r="E13" i="8"/>
  <c r="F13" i="8"/>
  <c r="G13" i="8"/>
  <c r="H13" i="8"/>
  <c r="J13" i="8"/>
  <c r="K13" i="8"/>
  <c r="L13" i="8"/>
  <c r="M13" i="8"/>
  <c r="N13" i="8"/>
  <c r="O13" i="8"/>
  <c r="P13" i="8"/>
  <c r="R13" i="8"/>
  <c r="S13" i="8"/>
  <c r="T13" i="8"/>
  <c r="U13" i="8"/>
  <c r="V13" i="8"/>
  <c r="W13" i="8"/>
  <c r="X13" i="8"/>
  <c r="B14" i="8"/>
  <c r="C14" i="8" s="1"/>
  <c r="D14" i="8" s="1"/>
  <c r="E14" i="8" s="1"/>
  <c r="F14" i="8" s="1"/>
  <c r="G14" i="8" s="1"/>
  <c r="H14" i="8" s="1"/>
  <c r="J14" i="8"/>
  <c r="K14" i="8" s="1"/>
  <c r="L14" i="8" s="1"/>
  <c r="M14" i="8" s="1"/>
  <c r="N14" i="8" s="1"/>
  <c r="O14" i="8" s="1"/>
  <c r="P14" i="8" s="1"/>
  <c r="R14" i="8"/>
  <c r="S14" i="8"/>
  <c r="T14" i="8" s="1"/>
  <c r="U14" i="8" s="1"/>
  <c r="V14" i="8" s="1"/>
  <c r="W14" i="8" s="1"/>
  <c r="X14" i="8" s="1"/>
  <c r="B15" i="8"/>
  <c r="C15" i="8"/>
  <c r="D15" i="8"/>
  <c r="E15" i="8"/>
  <c r="F15" i="8"/>
  <c r="G15" i="8"/>
  <c r="H15" i="8"/>
  <c r="J15" i="8"/>
  <c r="K15" i="8"/>
  <c r="L15" i="8"/>
  <c r="M15" i="8"/>
  <c r="N15" i="8"/>
  <c r="O15" i="8"/>
  <c r="P15" i="8"/>
  <c r="R15" i="8"/>
  <c r="S15" i="8"/>
  <c r="T15" i="8"/>
  <c r="U15" i="8"/>
  <c r="V15" i="8"/>
  <c r="W15" i="8"/>
  <c r="X15" i="8"/>
  <c r="B16" i="8"/>
  <c r="C16" i="8" s="1"/>
  <c r="D16" i="8" s="1"/>
  <c r="E16" i="8" s="1"/>
  <c r="F16" i="8" s="1"/>
  <c r="G16" i="8" s="1"/>
  <c r="H16" i="8" s="1"/>
  <c r="J16" i="8"/>
  <c r="K16" i="8" s="1"/>
  <c r="L16" i="8" s="1"/>
  <c r="M16" i="8" s="1"/>
  <c r="N16" i="8" s="1"/>
  <c r="O16" i="8" s="1"/>
  <c r="P16" i="8" s="1"/>
  <c r="R16" i="8"/>
  <c r="S16" i="8"/>
  <c r="T16" i="8" s="1"/>
  <c r="U16" i="8" s="1"/>
  <c r="V16" i="8" s="1"/>
  <c r="W16" i="8" s="1"/>
  <c r="X16" i="8" s="1"/>
  <c r="B17" i="8"/>
  <c r="C17" i="8"/>
  <c r="D17" i="8"/>
  <c r="E17" i="8"/>
  <c r="F17" i="8"/>
  <c r="G17" i="8"/>
  <c r="H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B18" i="8"/>
  <c r="C18" i="8" s="1"/>
  <c r="D18" i="8" s="1"/>
  <c r="E18" i="8" s="1"/>
  <c r="F18" i="8" s="1"/>
  <c r="G18" i="8" s="1"/>
  <c r="H18" i="8" s="1"/>
  <c r="J18" i="8"/>
  <c r="K18" i="8" s="1"/>
  <c r="L18" i="8" s="1"/>
  <c r="M18" i="8" s="1"/>
  <c r="N18" i="8" s="1"/>
  <c r="O18" i="8" s="1"/>
  <c r="P18" i="8" s="1"/>
  <c r="R18" i="8"/>
  <c r="S18" i="8"/>
  <c r="T18" i="8" s="1"/>
  <c r="U18" i="8" s="1"/>
  <c r="V18" i="8" s="1"/>
  <c r="W18" i="8" s="1"/>
  <c r="X18" i="8" s="1"/>
  <c r="B19" i="8"/>
  <c r="C19" i="8"/>
  <c r="D19" i="8"/>
  <c r="E19" i="8"/>
  <c r="F19" i="8"/>
  <c r="G19" i="8"/>
  <c r="H19" i="8"/>
  <c r="J19" i="8"/>
  <c r="K19" i="8"/>
  <c r="L19" i="8"/>
  <c r="M19" i="8"/>
  <c r="N19" i="8"/>
  <c r="O19" i="8"/>
  <c r="P19" i="8"/>
  <c r="R19" i="8"/>
  <c r="S19" i="8"/>
  <c r="T19" i="8"/>
  <c r="U19" i="8"/>
  <c r="V19" i="8"/>
  <c r="W19" i="8"/>
  <c r="X19" i="8"/>
  <c r="B20" i="8"/>
  <c r="C20" i="8" s="1"/>
  <c r="J20" i="8"/>
  <c r="K20" i="8" s="1"/>
  <c r="R20" i="8"/>
  <c r="S20" i="8" s="1"/>
  <c r="B23" i="8"/>
  <c r="J23" i="8" s="1"/>
  <c r="B24" i="8"/>
  <c r="C24" i="8"/>
  <c r="D24" i="8"/>
  <c r="E24" i="8"/>
  <c r="F24" i="8"/>
  <c r="G24" i="8"/>
  <c r="H24" i="8"/>
  <c r="J24" i="8"/>
  <c r="K24" i="8"/>
  <c r="L24" i="8"/>
  <c r="M24" i="8"/>
  <c r="N24" i="8"/>
  <c r="O24" i="8"/>
  <c r="P24" i="8"/>
  <c r="R24" i="8"/>
  <c r="S24" i="8"/>
  <c r="T24" i="8"/>
  <c r="U24" i="8"/>
  <c r="V24" i="8"/>
  <c r="W24" i="8"/>
  <c r="X24" i="8"/>
  <c r="B25" i="8"/>
  <c r="C25" i="8" s="1"/>
  <c r="B21" i="8" l="1"/>
  <c r="T20" i="8"/>
  <c r="S21" i="8"/>
  <c r="L20" i="8"/>
  <c r="K21" i="8"/>
  <c r="D20" i="8"/>
  <c r="C21" i="8"/>
  <c r="D25" i="8"/>
  <c r="C26" i="8"/>
  <c r="R23" i="8"/>
  <c r="R25" i="8" s="1"/>
  <c r="S25" i="8" s="1"/>
  <c r="T25" i="8" s="1"/>
  <c r="U25" i="8" s="1"/>
  <c r="V25" i="8" s="1"/>
  <c r="W25" i="8" s="1"/>
  <c r="X25" i="8" s="1"/>
  <c r="J25" i="8"/>
  <c r="K25" i="8" s="1"/>
  <c r="L25" i="8" s="1"/>
  <c r="M25" i="8" s="1"/>
  <c r="N25" i="8" s="1"/>
  <c r="O25" i="8" s="1"/>
  <c r="P25" i="8" s="1"/>
  <c r="J21" i="8"/>
  <c r="B26" i="8"/>
  <c r="R21" i="8"/>
  <c r="J26" i="8"/>
  <c r="K26" i="8"/>
  <c r="L26" i="8"/>
  <c r="M26" i="8"/>
  <c r="N26" i="8"/>
  <c r="O26" i="8"/>
  <c r="P26" i="8"/>
  <c r="E25" i="8" l="1"/>
  <c r="D26" i="8"/>
  <c r="M20" i="8"/>
  <c r="L21" i="8"/>
  <c r="E20" i="8"/>
  <c r="D21" i="8"/>
  <c r="U20" i="8"/>
  <c r="T21" i="8"/>
  <c r="R26" i="8"/>
  <c r="S26" i="8"/>
  <c r="T26" i="8"/>
  <c r="U26" i="8"/>
  <c r="V26" i="8"/>
  <c r="W26" i="8"/>
  <c r="X26" i="8"/>
  <c r="N20" i="8" l="1"/>
  <c r="M21" i="8"/>
  <c r="V20" i="8"/>
  <c r="U21" i="8"/>
  <c r="F20" i="8"/>
  <c r="E21" i="8"/>
  <c r="E26" i="8"/>
  <c r="F25" i="8"/>
  <c r="J27" i="8"/>
  <c r="K27" i="8" s="1"/>
  <c r="L27" i="8" s="1"/>
  <c r="M27" i="8" s="1"/>
  <c r="N27" i="8" s="1"/>
  <c r="O27" i="8" s="1"/>
  <c r="P27" i="8" s="1"/>
  <c r="R27" i="8"/>
  <c r="S27" i="8"/>
  <c r="T27" i="8" s="1"/>
  <c r="U27" i="8" s="1"/>
  <c r="V27" i="8" s="1"/>
  <c r="W27" i="8" s="1"/>
  <c r="X27" i="8" s="1"/>
  <c r="J28" i="8"/>
  <c r="K28" i="8"/>
  <c r="L28" i="8"/>
  <c r="M28" i="8"/>
  <c r="N28" i="8"/>
  <c r="O28" i="8"/>
  <c r="P28" i="8"/>
  <c r="R28" i="8"/>
  <c r="S28" i="8"/>
  <c r="T28" i="8"/>
  <c r="U28" i="8"/>
  <c r="V28" i="8"/>
  <c r="W28" i="8"/>
  <c r="X28" i="8"/>
  <c r="G25" i="8" l="1"/>
  <c r="F26" i="8"/>
  <c r="W20" i="8"/>
  <c r="V21" i="8"/>
  <c r="G20" i="8"/>
  <c r="F21" i="8"/>
  <c r="O20" i="8"/>
  <c r="N21" i="8"/>
  <c r="J29" i="8"/>
  <c r="K29" i="8" s="1"/>
  <c r="L29" i="8" s="1"/>
  <c r="M29" i="8" s="1"/>
  <c r="N29" i="8" s="1"/>
  <c r="O29" i="8" s="1"/>
  <c r="P29" i="8" s="1"/>
  <c r="R29" i="8"/>
  <c r="S29" i="8" s="1"/>
  <c r="T29" i="8" s="1"/>
  <c r="U29" i="8" s="1"/>
  <c r="V29" i="8" s="1"/>
  <c r="W29" i="8" s="1"/>
  <c r="X29" i="8" s="1"/>
  <c r="J30" i="8"/>
  <c r="K30" i="8"/>
  <c r="L30" i="8"/>
  <c r="M30" i="8"/>
  <c r="N30" i="8"/>
  <c r="O30" i="8"/>
  <c r="P30" i="8"/>
  <c r="R30" i="8"/>
  <c r="S30" i="8"/>
  <c r="T30" i="8"/>
  <c r="U30" i="8"/>
  <c r="V30" i="8"/>
  <c r="W30" i="8"/>
  <c r="X30" i="8"/>
  <c r="P20" i="8" l="1"/>
  <c r="P21" i="8" s="1"/>
  <c r="O21" i="8"/>
  <c r="X20" i="8"/>
  <c r="X21" i="8" s="1"/>
  <c r="W21" i="8"/>
  <c r="H20" i="8"/>
  <c r="H21" i="8" s="1"/>
  <c r="G21" i="8"/>
  <c r="H25" i="8"/>
  <c r="G26" i="8"/>
  <c r="J31" i="8"/>
  <c r="K31" i="8" s="1"/>
  <c r="L31" i="8" s="1"/>
  <c r="M31" i="8" s="1"/>
  <c r="N31" i="8" s="1"/>
  <c r="O31" i="8" s="1"/>
  <c r="P31" i="8" s="1"/>
  <c r="R31" i="8"/>
  <c r="S31" i="8"/>
  <c r="T31" i="8" s="1"/>
  <c r="U31" i="8" s="1"/>
  <c r="V31" i="8" s="1"/>
  <c r="W31" i="8" s="1"/>
  <c r="X31" i="8" s="1"/>
  <c r="H26" i="8"/>
  <c r="J32" i="8"/>
  <c r="K32" i="8"/>
  <c r="L32" i="8"/>
  <c r="M32" i="8"/>
  <c r="N32" i="8"/>
  <c r="O32" i="8"/>
  <c r="P32" i="8"/>
  <c r="R32" i="8"/>
  <c r="S32" i="8"/>
  <c r="T32" i="8"/>
  <c r="U32" i="8"/>
  <c r="V32" i="8"/>
  <c r="W32" i="8"/>
  <c r="X32" i="8"/>
  <c r="B27" i="8" l="1"/>
  <c r="J33" i="8"/>
  <c r="K33" i="8" s="1"/>
  <c r="L33" i="8" s="1"/>
  <c r="M33" i="8" s="1"/>
  <c r="N33" i="8" s="1"/>
  <c r="O33" i="8" s="1"/>
  <c r="P33" i="8" s="1"/>
  <c r="R33" i="8"/>
  <c r="S33" i="8" s="1"/>
  <c r="T33" i="8" s="1"/>
  <c r="U33" i="8" s="1"/>
  <c r="V33" i="8" s="1"/>
  <c r="W33" i="8" s="1"/>
  <c r="X33" i="8" s="1"/>
  <c r="B28" i="8"/>
  <c r="J34" i="8"/>
  <c r="K34" i="8"/>
  <c r="L34" i="8"/>
  <c r="M34" i="8"/>
  <c r="C27" i="8" l="1"/>
  <c r="N34" i="8"/>
  <c r="O34" i="8"/>
  <c r="P34" i="8"/>
  <c r="C28" i="8"/>
  <c r="R34" i="8"/>
  <c r="S34" i="8"/>
  <c r="T34" i="8"/>
  <c r="U34" i="8"/>
  <c r="V34" i="8"/>
  <c r="W34" i="8"/>
  <c r="D27" i="8" l="1"/>
  <c r="X34" i="8"/>
  <c r="J35" i="8"/>
  <c r="K35" i="8"/>
  <c r="L35" i="8" s="1"/>
  <c r="M35" i="8" s="1"/>
  <c r="N35" i="8" s="1"/>
  <c r="O35" i="8" s="1"/>
  <c r="P35" i="8" s="1"/>
  <c r="R35" i="8"/>
  <c r="S35" i="8" s="1"/>
  <c r="T35" i="8" s="1"/>
  <c r="U35" i="8" s="1"/>
  <c r="V35" i="8" s="1"/>
  <c r="W35" i="8" s="1"/>
  <c r="X35" i="8" s="1"/>
  <c r="D28" i="8"/>
  <c r="E27" i="8" l="1"/>
  <c r="J36" i="8"/>
  <c r="K36" i="8"/>
  <c r="L36" i="8"/>
  <c r="M36" i="8"/>
  <c r="N36" i="8"/>
  <c r="O36" i="8"/>
  <c r="P36" i="8"/>
  <c r="R36" i="8"/>
  <c r="S36" i="8"/>
  <c r="T36" i="8"/>
  <c r="U36" i="8"/>
  <c r="V36" i="8"/>
  <c r="W36" i="8"/>
  <c r="X36" i="8"/>
  <c r="B38" i="8"/>
  <c r="J38" i="8"/>
  <c r="R38" i="8"/>
  <c r="B39" i="8"/>
  <c r="C39" i="8"/>
  <c r="D39" i="8"/>
  <c r="E39" i="8"/>
  <c r="F39" i="8"/>
  <c r="G39" i="8"/>
  <c r="H39" i="8"/>
  <c r="J39" i="8"/>
  <c r="K39" i="8"/>
  <c r="L39" i="8"/>
  <c r="M39" i="8"/>
  <c r="N39" i="8"/>
  <c r="O39" i="8"/>
  <c r="P39" i="8"/>
  <c r="R39" i="8"/>
  <c r="S39" i="8"/>
  <c r="T39" i="8"/>
  <c r="U39" i="8"/>
  <c r="V39" i="8"/>
  <c r="W39" i="8"/>
  <c r="X39" i="8"/>
  <c r="B40" i="8"/>
  <c r="C40" i="8"/>
  <c r="D40" i="8"/>
  <c r="E40" i="8" s="1"/>
  <c r="J40" i="8"/>
  <c r="K40" i="8" s="1"/>
  <c r="L40" i="8" s="1"/>
  <c r="M40" i="8" s="1"/>
  <c r="N40" i="8" s="1"/>
  <c r="O40" i="8" s="1"/>
  <c r="P40" i="8" s="1"/>
  <c r="R40" i="8"/>
  <c r="S40" i="8" s="1"/>
  <c r="T40" i="8" s="1"/>
  <c r="U40" i="8" s="1"/>
  <c r="V40" i="8" s="1"/>
  <c r="W40" i="8" s="1"/>
  <c r="X40" i="8" s="1"/>
  <c r="B41" i="8"/>
  <c r="C41" i="8"/>
  <c r="E28" i="8"/>
  <c r="F40" i="8" l="1"/>
  <c r="E41" i="8"/>
  <c r="D41" i="8"/>
  <c r="F27" i="8"/>
  <c r="J41" i="8"/>
  <c r="K41" i="8"/>
  <c r="F28" i="8"/>
  <c r="L41" i="8"/>
  <c r="M41" i="8"/>
  <c r="N41" i="8"/>
  <c r="O41" i="8"/>
  <c r="P41" i="8"/>
  <c r="G27" i="8" l="1"/>
  <c r="G40" i="8"/>
  <c r="F41" i="8"/>
  <c r="R41" i="8"/>
  <c r="S41" i="8"/>
  <c r="T41" i="8"/>
  <c r="U41" i="8"/>
  <c r="V41" i="8"/>
  <c r="G28" i="8"/>
  <c r="W41" i="8"/>
  <c r="X41" i="8"/>
  <c r="H40" i="8" l="1"/>
  <c r="G41" i="8"/>
  <c r="H27" i="8"/>
  <c r="B42" i="8"/>
  <c r="C42" i="8" s="1"/>
  <c r="D42" i="8" s="1"/>
  <c r="E42" i="8" s="1"/>
  <c r="F42" i="8" s="1"/>
  <c r="G42" i="8" s="1"/>
  <c r="H42" i="8" s="1"/>
  <c r="J42" i="8"/>
  <c r="K42" i="8"/>
  <c r="L42" i="8" s="1"/>
  <c r="M42" i="8" s="1"/>
  <c r="N42" i="8" s="1"/>
  <c r="O42" i="8" s="1"/>
  <c r="P42" i="8" s="1"/>
  <c r="R42" i="8"/>
  <c r="S42" i="8"/>
  <c r="T42" i="8" s="1"/>
  <c r="U42" i="8" s="1"/>
  <c r="V42" i="8" s="1"/>
  <c r="W42" i="8" s="1"/>
  <c r="X42" i="8" s="1"/>
  <c r="H41" i="8"/>
  <c r="H28" i="8"/>
  <c r="B43" i="8"/>
  <c r="C43" i="8"/>
  <c r="D43" i="8"/>
  <c r="E43" i="8"/>
  <c r="F43" i="8"/>
  <c r="G43" i="8"/>
  <c r="H43" i="8"/>
  <c r="J43" i="8"/>
  <c r="K43" i="8"/>
  <c r="L43" i="8"/>
  <c r="M43" i="8"/>
  <c r="N43" i="8"/>
  <c r="O43" i="8"/>
  <c r="P43" i="8"/>
  <c r="R43" i="8"/>
  <c r="S43" i="8"/>
  <c r="T43" i="8"/>
  <c r="U43" i="8"/>
  <c r="V43" i="8"/>
  <c r="W43" i="8"/>
  <c r="X43" i="8"/>
  <c r="B29" i="8" l="1"/>
  <c r="B44" i="8"/>
  <c r="C44" i="8" s="1"/>
  <c r="D44" i="8" s="1"/>
  <c r="E44" i="8" s="1"/>
  <c r="F44" i="8" s="1"/>
  <c r="G44" i="8" s="1"/>
  <c r="H44" i="8" s="1"/>
  <c r="J44" i="8"/>
  <c r="K44" i="8" s="1"/>
  <c r="L44" i="8" s="1"/>
  <c r="M44" i="8" s="1"/>
  <c r="N44" i="8" s="1"/>
  <c r="O44" i="8" s="1"/>
  <c r="P44" i="8" s="1"/>
  <c r="R44" i="8"/>
  <c r="S44" i="8" s="1"/>
  <c r="T44" i="8" s="1"/>
  <c r="U44" i="8" s="1"/>
  <c r="V44" i="8" s="1"/>
  <c r="W44" i="8" s="1"/>
  <c r="X44" i="8" s="1"/>
  <c r="B30" i="8"/>
  <c r="B45" i="8"/>
  <c r="C45" i="8"/>
  <c r="D45" i="8"/>
  <c r="E45" i="8"/>
  <c r="F45" i="8"/>
  <c r="G45" i="8"/>
  <c r="H45" i="8"/>
  <c r="J45" i="8"/>
  <c r="K45" i="8"/>
  <c r="L45" i="8"/>
  <c r="M45" i="8"/>
  <c r="N45" i="8"/>
  <c r="O45" i="8"/>
  <c r="P45" i="8"/>
  <c r="R45" i="8"/>
  <c r="S45" i="8"/>
  <c r="T45" i="8"/>
  <c r="U45" i="8"/>
  <c r="V45" i="8"/>
  <c r="W45" i="8"/>
  <c r="X45" i="8"/>
  <c r="C29" i="8" l="1"/>
  <c r="B46" i="8"/>
  <c r="C46" i="8" s="1"/>
  <c r="D46" i="8" s="1"/>
  <c r="E46" i="8" s="1"/>
  <c r="F46" i="8" s="1"/>
  <c r="G46" i="8" s="1"/>
  <c r="H46" i="8" s="1"/>
  <c r="J46" i="8"/>
  <c r="K46" i="8" s="1"/>
  <c r="L46" i="8" s="1"/>
  <c r="M46" i="8" s="1"/>
  <c r="N46" i="8" s="1"/>
  <c r="O46" i="8" s="1"/>
  <c r="P46" i="8" s="1"/>
  <c r="R46" i="8"/>
  <c r="S46" i="8" s="1"/>
  <c r="T46" i="8" s="1"/>
  <c r="U46" i="8" s="1"/>
  <c r="V46" i="8" s="1"/>
  <c r="W46" i="8" s="1"/>
  <c r="X46" i="8" s="1"/>
  <c r="C30" i="8"/>
  <c r="B47" i="8"/>
  <c r="C47" i="8"/>
  <c r="D47" i="8"/>
  <c r="E47" i="8"/>
  <c r="F47" i="8"/>
  <c r="G47" i="8"/>
  <c r="H47" i="8"/>
  <c r="J47" i="8"/>
  <c r="K47" i="8"/>
  <c r="L47" i="8"/>
  <c r="M47" i="8"/>
  <c r="N47" i="8"/>
  <c r="O47" i="8"/>
  <c r="P47" i="8"/>
  <c r="R47" i="8"/>
  <c r="S47" i="8"/>
  <c r="T47" i="8"/>
  <c r="U47" i="8"/>
  <c r="V47" i="8"/>
  <c r="W47" i="8"/>
  <c r="X47" i="8"/>
  <c r="D29" i="8" l="1"/>
  <c r="B48" i="8"/>
  <c r="C48" i="8" s="1"/>
  <c r="D48" i="8" s="1"/>
  <c r="E48" i="8" s="1"/>
  <c r="F48" i="8" s="1"/>
  <c r="G48" i="8" s="1"/>
  <c r="H48" i="8" s="1"/>
  <c r="J48" i="8"/>
  <c r="K48" i="8"/>
  <c r="L48" i="8" s="1"/>
  <c r="M48" i="8" s="1"/>
  <c r="N48" i="8" s="1"/>
  <c r="O48" i="8" s="1"/>
  <c r="P48" i="8" s="1"/>
  <c r="R48" i="8"/>
  <c r="S48" i="8" s="1"/>
  <c r="T48" i="8" s="1"/>
  <c r="U48" i="8" s="1"/>
  <c r="V48" i="8" s="1"/>
  <c r="W48" i="8" s="1"/>
  <c r="X48" i="8" s="1"/>
  <c r="D30" i="8"/>
  <c r="B49" i="8"/>
  <c r="C49" i="8"/>
  <c r="D49" i="8"/>
  <c r="E49" i="8"/>
  <c r="F49" i="8"/>
  <c r="G49" i="8"/>
  <c r="H49" i="8"/>
  <c r="J49" i="8"/>
  <c r="K49" i="8"/>
  <c r="L49" i="8"/>
  <c r="M49" i="8"/>
  <c r="N49" i="8"/>
  <c r="E29" i="8" l="1"/>
  <c r="O49" i="8"/>
  <c r="P49" i="8"/>
  <c r="E30" i="8"/>
  <c r="R49" i="8"/>
  <c r="S49" i="8"/>
  <c r="T49" i="8"/>
  <c r="U49" i="8"/>
  <c r="V49" i="8"/>
  <c r="W49" i="8"/>
  <c r="X49" i="8"/>
  <c r="F29" i="8" l="1"/>
  <c r="B50" i="8"/>
  <c r="C50" i="8" s="1"/>
  <c r="D50" i="8" s="1"/>
  <c r="E50" i="8" s="1"/>
  <c r="F50" i="8" s="1"/>
  <c r="G50" i="8" s="1"/>
  <c r="H50" i="8" s="1"/>
  <c r="J50" i="8"/>
  <c r="K50" i="8" s="1"/>
  <c r="L50" i="8" s="1"/>
  <c r="M50" i="8" s="1"/>
  <c r="N50" i="8" s="1"/>
  <c r="O50" i="8" s="1"/>
  <c r="P50" i="8" s="1"/>
  <c r="R50" i="8"/>
  <c r="S50" i="8" s="1"/>
  <c r="T50" i="8" s="1"/>
  <c r="U50" i="8" s="1"/>
  <c r="V50" i="8" s="1"/>
  <c r="W50" i="8" s="1"/>
  <c r="X50" i="8" s="1"/>
  <c r="F30" i="8"/>
  <c r="B51" i="8"/>
  <c r="C51" i="8"/>
  <c r="G29" i="8" l="1"/>
  <c r="D51" i="8"/>
  <c r="E51" i="8"/>
  <c r="F51" i="8"/>
  <c r="G51" i="8"/>
  <c r="H51" i="8"/>
  <c r="J51" i="8"/>
  <c r="K51" i="8"/>
  <c r="L51" i="8"/>
  <c r="M51" i="8"/>
  <c r="N51" i="8"/>
  <c r="O51" i="8"/>
  <c r="P51" i="8"/>
  <c r="R51" i="8"/>
  <c r="S51" i="8"/>
  <c r="T51" i="8"/>
  <c r="U51" i="8"/>
  <c r="V51" i="8"/>
  <c r="W51" i="8"/>
  <c r="X51" i="8"/>
  <c r="B53" i="8"/>
  <c r="J53" i="8" s="1"/>
  <c r="B54" i="8"/>
  <c r="C54" i="8"/>
  <c r="D54" i="8"/>
  <c r="E54" i="8"/>
  <c r="F54" i="8"/>
  <c r="G54" i="8"/>
  <c r="H54" i="8"/>
  <c r="J54" i="8"/>
  <c r="K54" i="8"/>
  <c r="L54" i="8"/>
  <c r="M54" i="8"/>
  <c r="N54" i="8"/>
  <c r="O54" i="8"/>
  <c r="P54" i="8"/>
  <c r="R54" i="8"/>
  <c r="S54" i="8"/>
  <c r="T54" i="8"/>
  <c r="U54" i="8"/>
  <c r="V54" i="8"/>
  <c r="W54" i="8"/>
  <c r="X54" i="8"/>
  <c r="B55" i="8"/>
  <c r="C55" i="8" s="1"/>
  <c r="D55" i="8" s="1"/>
  <c r="E55" i="8" s="1"/>
  <c r="F55" i="8" s="1"/>
  <c r="G55" i="8" s="1"/>
  <c r="H55" i="8" s="1"/>
  <c r="G30" i="8"/>
  <c r="C56" i="8"/>
  <c r="D56" i="8"/>
  <c r="E56" i="8"/>
  <c r="F56" i="8"/>
  <c r="G56" i="8"/>
  <c r="H56" i="8"/>
  <c r="R53" i="8" l="1"/>
  <c r="R55" i="8" s="1"/>
  <c r="S55" i="8" s="1"/>
  <c r="T55" i="8" s="1"/>
  <c r="U55" i="8" s="1"/>
  <c r="V55" i="8" s="1"/>
  <c r="W55" i="8" s="1"/>
  <c r="X55" i="8" s="1"/>
  <c r="J55" i="8"/>
  <c r="K55" i="8" s="1"/>
  <c r="L55" i="8" s="1"/>
  <c r="M55" i="8" s="1"/>
  <c r="N55" i="8" s="1"/>
  <c r="O55" i="8" s="1"/>
  <c r="P55" i="8" s="1"/>
  <c r="B56" i="8"/>
  <c r="H29" i="8"/>
  <c r="J56" i="8"/>
  <c r="K56" i="8"/>
  <c r="H30" i="8"/>
  <c r="N56" i="8"/>
  <c r="O56" i="8"/>
  <c r="P56" i="8"/>
  <c r="M56" i="8" l="1"/>
  <c r="B31" i="8"/>
  <c r="L56" i="8"/>
  <c r="R56" i="8"/>
  <c r="S56" i="8"/>
  <c r="T56" i="8"/>
  <c r="U56" i="8"/>
  <c r="V56" i="8"/>
  <c r="W56" i="8"/>
  <c r="B32" i="8"/>
  <c r="X56" i="8"/>
  <c r="C31" i="8" l="1"/>
  <c r="B57" i="8"/>
  <c r="C57" i="8" s="1"/>
  <c r="D57" i="8" s="1"/>
  <c r="E57" i="8" s="1"/>
  <c r="F57" i="8" s="1"/>
  <c r="G57" i="8" s="1"/>
  <c r="H57" i="8" s="1"/>
  <c r="J57" i="8"/>
  <c r="K57" i="8" s="1"/>
  <c r="L57" i="8" s="1"/>
  <c r="M57" i="8" s="1"/>
  <c r="N57" i="8" s="1"/>
  <c r="O57" i="8" s="1"/>
  <c r="P57" i="8" s="1"/>
  <c r="R57" i="8"/>
  <c r="S57" i="8" s="1"/>
  <c r="T57" i="8" s="1"/>
  <c r="U57" i="8" s="1"/>
  <c r="V57" i="8" s="1"/>
  <c r="W57" i="8" s="1"/>
  <c r="X57" i="8" s="1"/>
  <c r="C32" i="8"/>
  <c r="B58" i="8"/>
  <c r="C58" i="8"/>
  <c r="D58" i="8"/>
  <c r="E58" i="8"/>
  <c r="F58" i="8"/>
  <c r="G58" i="8"/>
  <c r="H58" i="8"/>
  <c r="J58" i="8"/>
  <c r="K58" i="8"/>
  <c r="L58" i="8"/>
  <c r="M58" i="8"/>
  <c r="N58" i="8"/>
  <c r="O58" i="8"/>
  <c r="P58" i="8"/>
  <c r="R58" i="8"/>
  <c r="S58" i="8"/>
  <c r="T58" i="8"/>
  <c r="U58" i="8"/>
  <c r="V58" i="8"/>
  <c r="W58" i="8"/>
  <c r="X58" i="8"/>
  <c r="D31" i="8" l="1"/>
  <c r="B59" i="8"/>
  <c r="C59" i="8" s="1"/>
  <c r="D59" i="8" s="1"/>
  <c r="E59" i="8" s="1"/>
  <c r="F59" i="8" s="1"/>
  <c r="G59" i="8" s="1"/>
  <c r="H59" i="8" s="1"/>
  <c r="J59" i="8"/>
  <c r="K59" i="8" s="1"/>
  <c r="L59" i="8" s="1"/>
  <c r="M59" i="8" s="1"/>
  <c r="N59" i="8" s="1"/>
  <c r="O59" i="8" s="1"/>
  <c r="P59" i="8" s="1"/>
  <c r="R59" i="8"/>
  <c r="S59" i="8" s="1"/>
  <c r="T59" i="8" s="1"/>
  <c r="U59" i="8" s="1"/>
  <c r="V59" i="8" s="1"/>
  <c r="W59" i="8" s="1"/>
  <c r="X59" i="8" s="1"/>
  <c r="D32" i="8"/>
  <c r="B60" i="8"/>
  <c r="C60" i="8"/>
  <c r="D60" i="8"/>
  <c r="E60" i="8"/>
  <c r="F60" i="8"/>
  <c r="G60" i="8"/>
  <c r="H60" i="8"/>
  <c r="J60" i="8"/>
  <c r="K60" i="8"/>
  <c r="L60" i="8"/>
  <c r="M60" i="8"/>
  <c r="N60" i="8"/>
  <c r="O60" i="8"/>
  <c r="P60" i="8"/>
  <c r="R60" i="8"/>
  <c r="S60" i="8"/>
  <c r="T60" i="8"/>
  <c r="U60" i="8"/>
  <c r="V60" i="8"/>
  <c r="W60" i="8"/>
  <c r="X60" i="8"/>
  <c r="E31" i="8" l="1"/>
  <c r="B61" i="8"/>
  <c r="C61" i="8" s="1"/>
  <c r="D61" i="8" s="1"/>
  <c r="E61" i="8" s="1"/>
  <c r="F61" i="8" s="1"/>
  <c r="G61" i="8" s="1"/>
  <c r="H61" i="8" s="1"/>
  <c r="J61" i="8"/>
  <c r="K61" i="8"/>
  <c r="L61" i="8" s="1"/>
  <c r="M61" i="8" s="1"/>
  <c r="N61" i="8" s="1"/>
  <c r="O61" i="8" s="1"/>
  <c r="P61" i="8" s="1"/>
  <c r="R61" i="8"/>
  <c r="S61" i="8" s="1"/>
  <c r="T61" i="8" s="1"/>
  <c r="U61" i="8" s="1"/>
  <c r="V61" i="8" s="1"/>
  <c r="W61" i="8" s="1"/>
  <c r="X61" i="8" s="1"/>
  <c r="E32" i="8"/>
  <c r="B62" i="8"/>
  <c r="C62" i="8"/>
  <c r="D62" i="8"/>
  <c r="E62" i="8"/>
  <c r="F62" i="8"/>
  <c r="G62" i="8"/>
  <c r="H62" i="8"/>
  <c r="J62" i="8"/>
  <c r="K62" i="8"/>
  <c r="L62" i="8"/>
  <c r="M62" i="8"/>
  <c r="N62" i="8"/>
  <c r="O62" i="8"/>
  <c r="P62" i="8"/>
  <c r="R62" i="8"/>
  <c r="S62" i="8"/>
  <c r="T62" i="8"/>
  <c r="U62" i="8"/>
  <c r="V62" i="8"/>
  <c r="W62" i="8"/>
  <c r="X62" i="8"/>
  <c r="F31" i="8" l="1"/>
  <c r="B63" i="8"/>
  <c r="C63" i="8" s="1"/>
  <c r="D63" i="8" s="1"/>
  <c r="E63" i="8" s="1"/>
  <c r="F63" i="8" s="1"/>
  <c r="G63" i="8" s="1"/>
  <c r="H63" i="8" s="1"/>
  <c r="J63" i="8"/>
  <c r="K63" i="8"/>
  <c r="L63" i="8" s="1"/>
  <c r="M63" i="8" s="1"/>
  <c r="N63" i="8" s="1"/>
  <c r="O63" i="8" s="1"/>
  <c r="P63" i="8" s="1"/>
  <c r="R63" i="8"/>
  <c r="S63" i="8" s="1"/>
  <c r="T63" i="8" s="1"/>
  <c r="U63" i="8" s="1"/>
  <c r="V63" i="8" s="1"/>
  <c r="W63" i="8" s="1"/>
  <c r="X63" i="8" s="1"/>
  <c r="F32" i="8"/>
  <c r="B64" i="8"/>
  <c r="C64" i="8"/>
  <c r="D64" i="8"/>
  <c r="E64" i="8"/>
  <c r="G31" i="8" l="1"/>
  <c r="F64" i="8"/>
  <c r="G64" i="8"/>
  <c r="H64" i="8"/>
  <c r="G32" i="8"/>
  <c r="J64" i="8"/>
  <c r="K64" i="8"/>
  <c r="L64" i="8"/>
  <c r="M64" i="8"/>
  <c r="N64" i="8"/>
  <c r="O64" i="8"/>
  <c r="H31" i="8" l="1"/>
  <c r="P64" i="8"/>
  <c r="H32" i="8"/>
  <c r="R64" i="8"/>
  <c r="S64" i="8"/>
  <c r="T64" i="8"/>
  <c r="U64" i="8"/>
  <c r="V64" i="8"/>
  <c r="W64" i="8"/>
  <c r="X64" i="8"/>
  <c r="B33" i="8" l="1"/>
  <c r="B65" i="8"/>
  <c r="C65" i="8" s="1"/>
  <c r="J65" i="8"/>
  <c r="K65" i="8" s="1"/>
  <c r="R65" i="8"/>
  <c r="S65" i="8" s="1"/>
  <c r="T65" i="8" s="1"/>
  <c r="U65" i="8" s="1"/>
  <c r="V65" i="8" s="1"/>
  <c r="W65" i="8" s="1"/>
  <c r="X65" i="8" s="1"/>
  <c r="B34" i="8"/>
  <c r="R66" i="8"/>
  <c r="S66" i="8"/>
  <c r="J66" i="8" l="1"/>
  <c r="B66" i="8"/>
  <c r="L65" i="8"/>
  <c r="K66" i="8"/>
  <c r="C66" i="8"/>
  <c r="D65" i="8"/>
  <c r="C33" i="8"/>
  <c r="T66" i="8"/>
  <c r="U66" i="8"/>
  <c r="V66" i="8"/>
  <c r="W66" i="8"/>
  <c r="X66" i="8"/>
  <c r="C34" i="8"/>
  <c r="E65" i="8" l="1"/>
  <c r="D66" i="8"/>
  <c r="D33" i="8"/>
  <c r="M65" i="8"/>
  <c r="L66" i="8"/>
  <c r="D34" i="8"/>
  <c r="E33" i="8" l="1"/>
  <c r="N65" i="8"/>
  <c r="M66" i="8"/>
  <c r="F65" i="8"/>
  <c r="E66" i="8"/>
  <c r="E34" i="8"/>
  <c r="G65" i="8" l="1"/>
  <c r="F66" i="8"/>
  <c r="O65" i="8"/>
  <c r="N66" i="8"/>
  <c r="F33" i="8"/>
  <c r="F34" i="8"/>
  <c r="P65" i="8" l="1"/>
  <c r="P66" i="8" s="1"/>
  <c r="O66" i="8"/>
  <c r="G33" i="8"/>
  <c r="H65" i="8"/>
  <c r="H66" i="8" s="1"/>
  <c r="G66" i="8"/>
  <c r="G34" i="8"/>
  <c r="H33" i="8" l="1"/>
  <c r="H34" i="8"/>
  <c r="B35" i="8" l="1"/>
  <c r="B36" i="8"/>
  <c r="C35" i="8" l="1"/>
  <c r="D35" i="8" l="1"/>
  <c r="C36" i="8"/>
  <c r="E35" i="8" l="1"/>
  <c r="D36" i="8"/>
  <c r="F35" i="8" l="1"/>
  <c r="E36" i="8"/>
  <c r="G35" i="8" l="1"/>
  <c r="F36" i="8"/>
  <c r="H35" i="8" l="1"/>
  <c r="H36" i="8" s="1"/>
  <c r="G36" i="8"/>
  <c r="X54" i="6" l="1"/>
  <c r="W54" i="6"/>
  <c r="V54" i="6"/>
  <c r="U54" i="6"/>
  <c r="T54" i="6"/>
  <c r="S54" i="6"/>
  <c r="R54" i="6"/>
  <c r="P54" i="6"/>
  <c r="O54" i="6"/>
  <c r="N54" i="6"/>
  <c r="M54" i="6"/>
  <c r="L54" i="6"/>
  <c r="K54" i="6"/>
  <c r="J54" i="6"/>
  <c r="H54" i="6"/>
  <c r="G54" i="6"/>
  <c r="F54" i="6"/>
  <c r="E54" i="6"/>
  <c r="D54" i="6"/>
  <c r="C54" i="6"/>
  <c r="B54" i="6"/>
  <c r="X39" i="6"/>
  <c r="W39" i="6"/>
  <c r="V39" i="6"/>
  <c r="U39" i="6"/>
  <c r="T39" i="6"/>
  <c r="S39" i="6"/>
  <c r="R39" i="6"/>
  <c r="P39" i="6"/>
  <c r="O39" i="6"/>
  <c r="N39" i="6"/>
  <c r="M39" i="6"/>
  <c r="L39" i="6"/>
  <c r="K39" i="6"/>
  <c r="J39" i="6"/>
  <c r="H39" i="6"/>
  <c r="G39" i="6"/>
  <c r="F39" i="6"/>
  <c r="E39" i="6"/>
  <c r="D39" i="6"/>
  <c r="C39" i="6"/>
  <c r="B39" i="6"/>
  <c r="X24" i="6"/>
  <c r="W24" i="6"/>
  <c r="V24" i="6"/>
  <c r="U24" i="6"/>
  <c r="T24" i="6"/>
  <c r="S24" i="6"/>
  <c r="R24" i="6"/>
  <c r="P24" i="6"/>
  <c r="O24" i="6"/>
  <c r="N24" i="6"/>
  <c r="M24" i="6"/>
  <c r="L24" i="6"/>
  <c r="K24" i="6"/>
  <c r="J24" i="6"/>
  <c r="H24" i="6"/>
  <c r="G24" i="6"/>
  <c r="F24" i="6"/>
  <c r="E24" i="6"/>
  <c r="D24" i="6"/>
  <c r="C24" i="6"/>
  <c r="B24" i="6"/>
  <c r="X9" i="6"/>
  <c r="W9" i="6"/>
  <c r="V9" i="6"/>
  <c r="U9" i="6"/>
  <c r="T9" i="6"/>
  <c r="S9" i="6"/>
  <c r="R9" i="6"/>
  <c r="P9" i="6"/>
  <c r="O9" i="6"/>
  <c r="N9" i="6"/>
  <c r="M9" i="6"/>
  <c r="L9" i="6"/>
  <c r="K9" i="6"/>
  <c r="J9" i="6"/>
  <c r="H9" i="6"/>
  <c r="G9" i="6"/>
  <c r="F9" i="6"/>
  <c r="E9" i="6"/>
  <c r="D9" i="6"/>
  <c r="C9" i="6"/>
  <c r="B9" i="6"/>
  <c r="B5" i="6"/>
  <c r="B8" i="6" l="1"/>
  <c r="B10" i="6" l="1"/>
  <c r="C10" i="6" s="1"/>
  <c r="D10" i="6" s="1"/>
  <c r="E10" i="6" s="1"/>
  <c r="F10" i="6" s="1"/>
  <c r="G10" i="6" s="1"/>
  <c r="H10" i="6" s="1"/>
  <c r="B12" i="6" s="1"/>
  <c r="C12" i="6" s="1"/>
  <c r="D12" i="6" s="1"/>
  <c r="E12" i="6" s="1"/>
  <c r="F12" i="6" s="1"/>
  <c r="G12" i="6" s="1"/>
  <c r="H12" i="6" s="1"/>
  <c r="B14" i="6" s="1"/>
  <c r="C14" i="6" s="1"/>
  <c r="D14" i="6" s="1"/>
  <c r="E14" i="6" s="1"/>
  <c r="F14" i="6" s="1"/>
  <c r="G14" i="6" s="1"/>
  <c r="H14" i="6" s="1"/>
  <c r="B16" i="6" s="1"/>
  <c r="C16" i="6" s="1"/>
  <c r="D16" i="6" s="1"/>
  <c r="E16" i="6" s="1"/>
  <c r="F16" i="6" s="1"/>
  <c r="G16" i="6" s="1"/>
  <c r="H16" i="6" s="1"/>
  <c r="B18" i="6" s="1"/>
  <c r="C18" i="6" s="1"/>
  <c r="D18" i="6" s="1"/>
  <c r="E18" i="6" s="1"/>
  <c r="F18" i="6" s="1"/>
  <c r="G18" i="6" s="1"/>
  <c r="H18" i="6" s="1"/>
  <c r="B20" i="6" s="1"/>
  <c r="C20" i="6" s="1"/>
  <c r="D20" i="6" s="1"/>
  <c r="E20" i="6" s="1"/>
  <c r="F20" i="6" s="1"/>
  <c r="G20" i="6" s="1"/>
  <c r="H20" i="6" s="1"/>
  <c r="J8" i="6"/>
  <c r="R8" i="6" l="1"/>
  <c r="J10" i="6"/>
  <c r="K10" i="6" s="1"/>
  <c r="L10" i="6" s="1"/>
  <c r="M10" i="6" s="1"/>
  <c r="N10" i="6" s="1"/>
  <c r="O10" i="6" s="1"/>
  <c r="P10" i="6" s="1"/>
  <c r="B11" i="6"/>
  <c r="C11" i="6"/>
  <c r="J11" i="6" l="1"/>
  <c r="B23" i="6"/>
  <c r="R10" i="6"/>
  <c r="S10" i="6" s="1"/>
  <c r="T10" i="6" s="1"/>
  <c r="U10" i="6" s="1"/>
  <c r="V10" i="6" s="1"/>
  <c r="W10" i="6" s="1"/>
  <c r="X10" i="6" s="1"/>
  <c r="D11" i="6"/>
  <c r="K11" i="6"/>
  <c r="R11" i="6" l="1"/>
  <c r="J23" i="6"/>
  <c r="B25" i="6"/>
  <c r="C25" i="6" s="1"/>
  <c r="D25" i="6" s="1"/>
  <c r="E25" i="6" s="1"/>
  <c r="F25" i="6" s="1"/>
  <c r="G25" i="6" s="1"/>
  <c r="H25" i="6" s="1"/>
  <c r="S11" i="6"/>
  <c r="E11" i="6"/>
  <c r="L11" i="6"/>
  <c r="B26" i="6" l="1"/>
  <c r="R23" i="6"/>
  <c r="J25" i="6"/>
  <c r="K25" i="6" s="1"/>
  <c r="L25" i="6" s="1"/>
  <c r="M25" i="6" s="1"/>
  <c r="N25" i="6" s="1"/>
  <c r="O25" i="6" s="1"/>
  <c r="P25" i="6" s="1"/>
  <c r="C26" i="6"/>
  <c r="F11" i="6"/>
  <c r="T11" i="6"/>
  <c r="M11" i="6"/>
  <c r="B38" i="6" l="1"/>
  <c r="R25" i="6"/>
  <c r="S25" i="6" s="1"/>
  <c r="T25" i="6" s="1"/>
  <c r="U25" i="6" s="1"/>
  <c r="V25" i="6" s="1"/>
  <c r="W25" i="6" s="1"/>
  <c r="X25" i="6" s="1"/>
  <c r="D26" i="6"/>
  <c r="G11" i="6"/>
  <c r="K26" i="6"/>
  <c r="J26" i="6"/>
  <c r="N11" i="6"/>
  <c r="U11" i="6"/>
  <c r="R26" i="6" l="1"/>
  <c r="J38" i="6"/>
  <c r="B40" i="6"/>
  <c r="E26" i="6"/>
  <c r="S26" i="6"/>
  <c r="O11" i="6"/>
  <c r="V11" i="6"/>
  <c r="H11" i="6"/>
  <c r="L26" i="6"/>
  <c r="C40" i="6" l="1"/>
  <c r="B41" i="6"/>
  <c r="R38" i="6"/>
  <c r="J40" i="6"/>
  <c r="F26" i="6"/>
  <c r="T26" i="6"/>
  <c r="W11" i="6"/>
  <c r="P11" i="6"/>
  <c r="B13" i="6"/>
  <c r="M26" i="6"/>
  <c r="K40" i="6" l="1"/>
  <c r="J41" i="6"/>
  <c r="B53" i="6"/>
  <c r="J53" i="6" s="1"/>
  <c r="R53" i="6" s="1"/>
  <c r="R40" i="6"/>
  <c r="D40" i="6"/>
  <c r="C41" i="6"/>
  <c r="J12" i="6"/>
  <c r="B55" i="6"/>
  <c r="D41" i="6"/>
  <c r="U26" i="6"/>
  <c r="X11" i="6"/>
  <c r="G26" i="6"/>
  <c r="N26" i="6"/>
  <c r="C13" i="6"/>
  <c r="J13" i="6"/>
  <c r="B56" i="6"/>
  <c r="S40" i="6" l="1"/>
  <c r="S41" i="6" s="1"/>
  <c r="R41" i="6"/>
  <c r="E40" i="6"/>
  <c r="E41" i="6" s="1"/>
  <c r="L40" i="6"/>
  <c r="K12" i="6"/>
  <c r="C55" i="6"/>
  <c r="R12" i="6"/>
  <c r="J55" i="6"/>
  <c r="J56" i="6" s="1"/>
  <c r="O26" i="6"/>
  <c r="K13" i="6"/>
  <c r="D13" i="6"/>
  <c r="C56" i="6"/>
  <c r="V26" i="6"/>
  <c r="H26" i="6"/>
  <c r="K41" i="6"/>
  <c r="R13" i="6"/>
  <c r="F40" i="6" l="1"/>
  <c r="F41" i="6" s="1"/>
  <c r="M40" i="6"/>
  <c r="T40" i="6"/>
  <c r="T41" i="6" s="1"/>
  <c r="K55" i="6"/>
  <c r="K56" i="6" s="1"/>
  <c r="S12" i="6"/>
  <c r="D55" i="6"/>
  <c r="L12" i="6"/>
  <c r="B27" i="6"/>
  <c r="R55" i="6"/>
  <c r="R56" i="6" s="1"/>
  <c r="L41" i="6"/>
  <c r="S13" i="6"/>
  <c r="P26" i="6"/>
  <c r="L13" i="6"/>
  <c r="D56" i="6"/>
  <c r="E13" i="6"/>
  <c r="W26" i="6"/>
  <c r="B28" i="6"/>
  <c r="U40" i="6" l="1"/>
  <c r="U41" i="6" s="1"/>
  <c r="N40" i="6"/>
  <c r="G40" i="6"/>
  <c r="M12" i="6"/>
  <c r="L55" i="6"/>
  <c r="S55" i="6"/>
  <c r="S56" i="6" s="1"/>
  <c r="C27" i="6"/>
  <c r="J27" i="6"/>
  <c r="E55" i="6"/>
  <c r="T12" i="6"/>
  <c r="L56" i="6"/>
  <c r="X26" i="6"/>
  <c r="E56" i="6"/>
  <c r="C28" i="6"/>
  <c r="J28" i="6"/>
  <c r="F13" i="6"/>
  <c r="T13" i="6"/>
  <c r="G41" i="6"/>
  <c r="M41" i="6"/>
  <c r="M13" i="6"/>
  <c r="H40" i="6" l="1"/>
  <c r="O40" i="6"/>
  <c r="V40" i="6"/>
  <c r="U12" i="6"/>
  <c r="D27" i="6"/>
  <c r="M55" i="6"/>
  <c r="N12" i="6"/>
  <c r="F55" i="6"/>
  <c r="K27" i="6"/>
  <c r="T55" i="6"/>
  <c r="T56" i="6" s="1"/>
  <c r="R27" i="6"/>
  <c r="B42" i="6"/>
  <c r="N41" i="6"/>
  <c r="K28" i="6"/>
  <c r="M56" i="6"/>
  <c r="R28" i="6"/>
  <c r="O41" i="6"/>
  <c r="G13" i="6"/>
  <c r="H41" i="6"/>
  <c r="U13" i="6"/>
  <c r="D28" i="6"/>
  <c r="V41" i="6"/>
  <c r="F56" i="6"/>
  <c r="N13" i="6"/>
  <c r="B43" i="6"/>
  <c r="W40" i="6" l="1"/>
  <c r="P40" i="6"/>
  <c r="J42" i="6" s="1"/>
  <c r="C42" i="6"/>
  <c r="G55" i="6"/>
  <c r="O12" i="6"/>
  <c r="E27" i="6"/>
  <c r="V12" i="6"/>
  <c r="U55" i="6"/>
  <c r="S27" i="6"/>
  <c r="L27" i="6"/>
  <c r="N55" i="6"/>
  <c r="U56" i="6"/>
  <c r="H13" i="6"/>
  <c r="P41" i="6"/>
  <c r="O13" i="6"/>
  <c r="E28" i="6"/>
  <c r="W41" i="6"/>
  <c r="V13" i="6"/>
  <c r="J43" i="6"/>
  <c r="S28" i="6"/>
  <c r="L28" i="6"/>
  <c r="N56" i="6"/>
  <c r="C43" i="6"/>
  <c r="G56" i="6"/>
  <c r="X40" i="6" l="1"/>
  <c r="R42" i="6" s="1"/>
  <c r="O55" i="6"/>
  <c r="K42" i="6"/>
  <c r="T27" i="6"/>
  <c r="W12" i="6"/>
  <c r="P12" i="6"/>
  <c r="D42" i="6"/>
  <c r="M27" i="6"/>
  <c r="V55" i="6"/>
  <c r="F27" i="6"/>
  <c r="H55" i="6"/>
  <c r="V56" i="6"/>
  <c r="B15" i="6"/>
  <c r="R43" i="6"/>
  <c r="X41" i="6"/>
  <c r="P13" i="6"/>
  <c r="W13" i="6"/>
  <c r="F28" i="6"/>
  <c r="O56" i="6"/>
  <c r="D43" i="6"/>
  <c r="T28" i="6"/>
  <c r="K43" i="6"/>
  <c r="H56" i="6"/>
  <c r="M28" i="6"/>
  <c r="B57" i="6" l="1"/>
  <c r="W55" i="6"/>
  <c r="E42" i="6"/>
  <c r="X12" i="6"/>
  <c r="S42" i="6"/>
  <c r="P55" i="6"/>
  <c r="G27" i="6"/>
  <c r="N27" i="6"/>
  <c r="J14" i="6"/>
  <c r="U27" i="6"/>
  <c r="L42" i="6"/>
  <c r="B58" i="6"/>
  <c r="P56" i="6"/>
  <c r="J15" i="6"/>
  <c r="C15" i="6"/>
  <c r="W56" i="6"/>
  <c r="U28" i="6"/>
  <c r="E43" i="6"/>
  <c r="S43" i="6"/>
  <c r="G28" i="6"/>
  <c r="L43" i="6"/>
  <c r="X13" i="6"/>
  <c r="N28" i="6"/>
  <c r="V27" i="6" l="1"/>
  <c r="O27" i="6"/>
  <c r="J57" i="6"/>
  <c r="R14" i="6"/>
  <c r="X55" i="6"/>
  <c r="M42" i="6"/>
  <c r="K14" i="6"/>
  <c r="H27" i="6"/>
  <c r="T42" i="6"/>
  <c r="F42" i="6"/>
  <c r="C57" i="6"/>
  <c r="J58" i="6"/>
  <c r="K15" i="6"/>
  <c r="M43" i="6"/>
  <c r="O28" i="6"/>
  <c r="C58" i="6"/>
  <c r="V28" i="6"/>
  <c r="X56" i="6"/>
  <c r="D15" i="6"/>
  <c r="F43" i="6"/>
  <c r="T43" i="6"/>
  <c r="R15" i="6"/>
  <c r="H28" i="6"/>
  <c r="D57" i="6" l="1"/>
  <c r="U42" i="6"/>
  <c r="L14" i="6"/>
  <c r="R57" i="6"/>
  <c r="K57" i="6"/>
  <c r="W27" i="6"/>
  <c r="G42" i="6"/>
  <c r="B29" i="6"/>
  <c r="N42" i="6"/>
  <c r="S14" i="6"/>
  <c r="P27" i="6"/>
  <c r="G43" i="6"/>
  <c r="L15" i="6"/>
  <c r="K58" i="6"/>
  <c r="P28" i="6"/>
  <c r="W28" i="6"/>
  <c r="S15" i="6"/>
  <c r="U43" i="6"/>
  <c r="D58" i="6"/>
  <c r="N43" i="6"/>
  <c r="E15" i="6"/>
  <c r="R58" i="6"/>
  <c r="B30" i="6"/>
  <c r="J29" i="6" l="1"/>
  <c r="O42" i="6"/>
  <c r="H42" i="6"/>
  <c r="L57" i="6"/>
  <c r="M14" i="6"/>
  <c r="E57" i="6"/>
  <c r="T14" i="6"/>
  <c r="C29" i="6"/>
  <c r="X27" i="6"/>
  <c r="S57" i="6"/>
  <c r="V42" i="6"/>
  <c r="H43" i="6"/>
  <c r="S58" i="6"/>
  <c r="O43" i="6"/>
  <c r="M15" i="6"/>
  <c r="F15" i="6"/>
  <c r="T15" i="6"/>
  <c r="E58" i="6"/>
  <c r="V43" i="6"/>
  <c r="J30" i="6"/>
  <c r="X28" i="6"/>
  <c r="C30" i="6"/>
  <c r="L58" i="6"/>
  <c r="W42" i="6" l="1"/>
  <c r="R29" i="6"/>
  <c r="U14" i="6"/>
  <c r="N14" i="6"/>
  <c r="B44" i="6"/>
  <c r="K29" i="6"/>
  <c r="T57" i="6"/>
  <c r="D29" i="6"/>
  <c r="F57" i="6"/>
  <c r="M57" i="6"/>
  <c r="P42" i="6"/>
  <c r="G15" i="6"/>
  <c r="W43" i="6"/>
  <c r="B45" i="6"/>
  <c r="F58" i="6"/>
  <c r="D30" i="6"/>
  <c r="R30" i="6"/>
  <c r="K30" i="6"/>
  <c r="N15" i="6"/>
  <c r="M58" i="6"/>
  <c r="U15" i="6"/>
  <c r="P43" i="6"/>
  <c r="T58" i="6"/>
  <c r="J44" i="6" l="1"/>
  <c r="G57" i="6"/>
  <c r="U57" i="6"/>
  <c r="C44" i="6"/>
  <c r="V14" i="6"/>
  <c r="X42" i="6"/>
  <c r="N57" i="6"/>
  <c r="E29" i="6"/>
  <c r="L29" i="6"/>
  <c r="O14" i="6"/>
  <c r="S29" i="6"/>
  <c r="H15" i="6"/>
  <c r="N58" i="6"/>
  <c r="O15" i="6"/>
  <c r="U58" i="6"/>
  <c r="S30" i="6"/>
  <c r="J45" i="6"/>
  <c r="C45" i="6"/>
  <c r="L30" i="6"/>
  <c r="G58" i="6"/>
  <c r="V15" i="6"/>
  <c r="X43" i="6"/>
  <c r="E30" i="6"/>
  <c r="T29" i="6" l="1"/>
  <c r="M29" i="6"/>
  <c r="O57" i="6"/>
  <c r="W14" i="6"/>
  <c r="V57" i="6"/>
  <c r="K44" i="6"/>
  <c r="P14" i="6"/>
  <c r="F29" i="6"/>
  <c r="R44" i="6"/>
  <c r="D44" i="6"/>
  <c r="H57" i="6"/>
  <c r="P15" i="6"/>
  <c r="V58" i="6"/>
  <c r="T30" i="6"/>
  <c r="D45" i="6"/>
  <c r="M30" i="6"/>
  <c r="H58" i="6"/>
  <c r="B17" i="6"/>
  <c r="K45" i="6"/>
  <c r="R45" i="6"/>
  <c r="O58" i="6"/>
  <c r="F30" i="6"/>
  <c r="W15" i="6"/>
  <c r="B59" i="6" l="1"/>
  <c r="S44" i="6"/>
  <c r="J16" i="6"/>
  <c r="W57" i="6"/>
  <c r="P57" i="6"/>
  <c r="U29" i="6"/>
  <c r="E44" i="6"/>
  <c r="G29" i="6"/>
  <c r="L44" i="6"/>
  <c r="X14" i="6"/>
  <c r="N29" i="6"/>
  <c r="C17" i="6"/>
  <c r="B60" i="6"/>
  <c r="X15" i="6"/>
  <c r="U30" i="6"/>
  <c r="E45" i="6"/>
  <c r="J17" i="6"/>
  <c r="W58" i="6"/>
  <c r="N30" i="6"/>
  <c r="L45" i="6"/>
  <c r="P58" i="6"/>
  <c r="S45" i="6"/>
  <c r="G30" i="6"/>
  <c r="O29" i="6" l="1"/>
  <c r="M44" i="6"/>
  <c r="F44" i="6"/>
  <c r="J59" i="6"/>
  <c r="K16" i="6"/>
  <c r="C59" i="6"/>
  <c r="R16" i="6"/>
  <c r="H29" i="6"/>
  <c r="V29" i="6"/>
  <c r="X57" i="6"/>
  <c r="T44" i="6"/>
  <c r="T45" i="6"/>
  <c r="D17" i="6"/>
  <c r="O30" i="6"/>
  <c r="H30" i="6"/>
  <c r="F45" i="6"/>
  <c r="V30" i="6"/>
  <c r="K17" i="6"/>
  <c r="C60" i="6"/>
  <c r="R17" i="6"/>
  <c r="M45" i="6"/>
  <c r="X58" i="6"/>
  <c r="J60" i="6"/>
  <c r="U44" i="6" l="1"/>
  <c r="W29" i="6"/>
  <c r="S16" i="6"/>
  <c r="L16" i="6"/>
  <c r="G44" i="6"/>
  <c r="P29" i="6"/>
  <c r="R59" i="6"/>
  <c r="B31" i="6"/>
  <c r="D59" i="6"/>
  <c r="K59" i="6"/>
  <c r="N44" i="6"/>
  <c r="P30" i="6"/>
  <c r="U45" i="6"/>
  <c r="D60" i="6"/>
  <c r="L17" i="6"/>
  <c r="S17" i="6"/>
  <c r="R60" i="6"/>
  <c r="N45" i="6"/>
  <c r="G45" i="6"/>
  <c r="K60" i="6"/>
  <c r="W30" i="6"/>
  <c r="E17" i="6"/>
  <c r="B32" i="6"/>
  <c r="O44" i="6" l="1"/>
  <c r="E59" i="6"/>
  <c r="S59" i="6"/>
  <c r="H44" i="6"/>
  <c r="T16" i="6"/>
  <c r="V44" i="6"/>
  <c r="L59" i="6"/>
  <c r="C31" i="6"/>
  <c r="J31" i="6"/>
  <c r="M16" i="6"/>
  <c r="X29" i="6"/>
  <c r="L60" i="6"/>
  <c r="X30" i="6"/>
  <c r="V45" i="6"/>
  <c r="E60" i="6"/>
  <c r="F17" i="6"/>
  <c r="J32" i="6"/>
  <c r="H45" i="6"/>
  <c r="S60" i="6"/>
  <c r="O45" i="6"/>
  <c r="M17" i="6"/>
  <c r="T17" i="6"/>
  <c r="C32" i="6"/>
  <c r="R31" i="6" l="1"/>
  <c r="K31" i="6"/>
  <c r="M59" i="6"/>
  <c r="U16" i="6"/>
  <c r="T59" i="6"/>
  <c r="P44" i="6"/>
  <c r="N16" i="6"/>
  <c r="D31" i="6"/>
  <c r="W44" i="6"/>
  <c r="B46" i="6"/>
  <c r="F59" i="6"/>
  <c r="G17" i="6"/>
  <c r="R32" i="6"/>
  <c r="U17" i="6"/>
  <c r="N17" i="6"/>
  <c r="M60" i="6"/>
  <c r="B47" i="6"/>
  <c r="P45" i="6"/>
  <c r="F60" i="6"/>
  <c r="W45" i="6"/>
  <c r="T60" i="6"/>
  <c r="K32" i="6"/>
  <c r="D32" i="6"/>
  <c r="G59" i="6" l="1"/>
  <c r="X44" i="6"/>
  <c r="O16" i="6"/>
  <c r="U59" i="6"/>
  <c r="N59" i="6"/>
  <c r="S31" i="6"/>
  <c r="C46" i="6"/>
  <c r="E31" i="6"/>
  <c r="J46" i="6"/>
  <c r="V16" i="6"/>
  <c r="L31" i="6"/>
  <c r="H17" i="6"/>
  <c r="V17" i="6"/>
  <c r="U60" i="6"/>
  <c r="G60" i="6"/>
  <c r="O17" i="6"/>
  <c r="J47" i="6"/>
  <c r="X45" i="6"/>
  <c r="L32" i="6"/>
  <c r="N60" i="6"/>
  <c r="S32" i="6"/>
  <c r="C47" i="6"/>
  <c r="E32" i="6"/>
  <c r="M31" i="6" l="1"/>
  <c r="K46" i="6"/>
  <c r="D46" i="6"/>
  <c r="O59" i="6"/>
  <c r="P16" i="6"/>
  <c r="H59" i="6"/>
  <c r="W16" i="6"/>
  <c r="F31" i="6"/>
  <c r="T31" i="6"/>
  <c r="V59" i="6"/>
  <c r="R46" i="6"/>
  <c r="R47" i="6"/>
  <c r="B19" i="6"/>
  <c r="M32" i="6"/>
  <c r="O60" i="6"/>
  <c r="D47" i="6"/>
  <c r="W17" i="6"/>
  <c r="P17" i="6"/>
  <c r="F32" i="6"/>
  <c r="T32" i="6"/>
  <c r="K47" i="6"/>
  <c r="V60" i="6"/>
  <c r="H60" i="6"/>
  <c r="S46" i="6" l="1"/>
  <c r="U31" i="6"/>
  <c r="X16" i="6"/>
  <c r="J18" i="6"/>
  <c r="E46" i="6"/>
  <c r="N31" i="6"/>
  <c r="W59" i="6"/>
  <c r="G31" i="6"/>
  <c r="B61" i="6"/>
  <c r="P59" i="6"/>
  <c r="L46" i="6"/>
  <c r="C19" i="6"/>
  <c r="W60" i="6"/>
  <c r="S47" i="6"/>
  <c r="N32" i="6"/>
  <c r="X17" i="6"/>
  <c r="L47" i="6"/>
  <c r="E47" i="6"/>
  <c r="B62" i="6"/>
  <c r="U32" i="6"/>
  <c r="P60" i="6"/>
  <c r="G32" i="6"/>
  <c r="J19" i="6"/>
  <c r="M46" i="6" l="1"/>
  <c r="C61" i="6"/>
  <c r="X59" i="6"/>
  <c r="F46" i="6"/>
  <c r="R18" i="6"/>
  <c r="T46" i="6"/>
  <c r="J61" i="6"/>
  <c r="H31" i="6"/>
  <c r="O31" i="6"/>
  <c r="K18" i="6"/>
  <c r="V31" i="6"/>
  <c r="D19" i="6"/>
  <c r="J62" i="6"/>
  <c r="M47" i="6"/>
  <c r="T47" i="6"/>
  <c r="V32" i="6"/>
  <c r="K19" i="6"/>
  <c r="C62" i="6"/>
  <c r="X60" i="6"/>
  <c r="O32" i="6"/>
  <c r="F47" i="6"/>
  <c r="R19" i="6"/>
  <c r="H32" i="6"/>
  <c r="W31" i="6" l="1"/>
  <c r="P31" i="6"/>
  <c r="K61" i="6"/>
  <c r="S18" i="6"/>
  <c r="R61" i="6"/>
  <c r="N46" i="6"/>
  <c r="L18" i="6"/>
  <c r="L19" i="6" s="1"/>
  <c r="B33" i="6"/>
  <c r="U46" i="6"/>
  <c r="G46" i="6"/>
  <c r="D61" i="6"/>
  <c r="K62" i="6"/>
  <c r="E19" i="6"/>
  <c r="R62" i="6"/>
  <c r="N47" i="6"/>
  <c r="W32" i="6"/>
  <c r="U47" i="6"/>
  <c r="P32" i="6"/>
  <c r="D62" i="6"/>
  <c r="G47" i="6"/>
  <c r="B34" i="6"/>
  <c r="S19" i="6"/>
  <c r="E61" i="6" l="1"/>
  <c r="V46" i="6"/>
  <c r="M18" i="6"/>
  <c r="S61" i="6"/>
  <c r="L61" i="6"/>
  <c r="X31" i="6"/>
  <c r="H46" i="6"/>
  <c r="C33" i="6"/>
  <c r="O46" i="6"/>
  <c r="T18" i="6"/>
  <c r="J33" i="6"/>
  <c r="M19" i="6"/>
  <c r="F19" i="6"/>
  <c r="J34" i="6"/>
  <c r="L62" i="6"/>
  <c r="O47" i="6"/>
  <c r="X32" i="6"/>
  <c r="T19" i="6"/>
  <c r="V47" i="6"/>
  <c r="E62" i="6"/>
  <c r="H47" i="6"/>
  <c r="C34" i="6"/>
  <c r="S62" i="6"/>
  <c r="K33" i="6" l="1"/>
  <c r="P46" i="6"/>
  <c r="B48" i="6"/>
  <c r="M61" i="6"/>
  <c r="N18" i="6"/>
  <c r="F61" i="6"/>
  <c r="U18" i="6"/>
  <c r="D33" i="6"/>
  <c r="R33" i="6"/>
  <c r="T61" i="6"/>
  <c r="W46" i="6"/>
  <c r="N19" i="6"/>
  <c r="W47" i="6"/>
  <c r="B49" i="6"/>
  <c r="D34" i="6"/>
  <c r="F62" i="6"/>
  <c r="G19" i="6"/>
  <c r="P47" i="6"/>
  <c r="K34" i="6"/>
  <c r="U19" i="6"/>
  <c r="T62" i="6"/>
  <c r="R34" i="6"/>
  <c r="M62" i="6"/>
  <c r="U61" i="6" l="1"/>
  <c r="E33" i="6"/>
  <c r="G61" i="6"/>
  <c r="N61" i="6"/>
  <c r="J48" i="6"/>
  <c r="X46" i="6"/>
  <c r="S33" i="6"/>
  <c r="V18" i="6"/>
  <c r="O18" i="6"/>
  <c r="C48" i="6"/>
  <c r="L33" i="6"/>
  <c r="O19" i="6"/>
  <c r="X47" i="6"/>
  <c r="C49" i="6"/>
  <c r="N62" i="6"/>
  <c r="G62" i="6"/>
  <c r="L34" i="6"/>
  <c r="U62" i="6"/>
  <c r="S34" i="6"/>
  <c r="E34" i="6"/>
  <c r="J49" i="6"/>
  <c r="H19" i="6"/>
  <c r="V19" i="6"/>
  <c r="M33" i="6" l="1"/>
  <c r="M34" i="6" s="1"/>
  <c r="P18" i="6"/>
  <c r="T33" i="6"/>
  <c r="K48" i="6"/>
  <c r="H61" i="6"/>
  <c r="V61" i="6"/>
  <c r="D48" i="6"/>
  <c r="W18" i="6"/>
  <c r="W19" i="6" s="1"/>
  <c r="O61" i="6"/>
  <c r="F33" i="6"/>
  <c r="P19" i="6"/>
  <c r="R49" i="6"/>
  <c r="H62" i="6"/>
  <c r="B21" i="6"/>
  <c r="O62" i="6"/>
  <c r="V62" i="6"/>
  <c r="T34" i="6"/>
  <c r="K49" i="6"/>
  <c r="F34" i="6"/>
  <c r="D49" i="6"/>
  <c r="G33" i="6" l="1"/>
  <c r="S48" i="6"/>
  <c r="E48" i="6"/>
  <c r="B63" i="6"/>
  <c r="U33" i="6"/>
  <c r="N33" i="6"/>
  <c r="N34" i="6" s="1"/>
  <c r="P61" i="6"/>
  <c r="X18" i="6"/>
  <c r="W61" i="6"/>
  <c r="L48" i="6"/>
  <c r="J20" i="6"/>
  <c r="J21" i="6" s="1"/>
  <c r="X19" i="6"/>
  <c r="C21" i="6"/>
  <c r="P62" i="6"/>
  <c r="L49" i="6"/>
  <c r="E49" i="6"/>
  <c r="S49" i="6"/>
  <c r="G34" i="6"/>
  <c r="U34" i="6"/>
  <c r="W62" i="6"/>
  <c r="B64" i="6"/>
  <c r="K20" i="6" l="1"/>
  <c r="K21" i="6" s="1"/>
  <c r="X61" i="6"/>
  <c r="J63" i="6"/>
  <c r="V33" i="6"/>
  <c r="F48" i="6"/>
  <c r="H33" i="6"/>
  <c r="M48" i="6"/>
  <c r="R20" i="6"/>
  <c r="R21" i="6" s="1"/>
  <c r="O33" i="6"/>
  <c r="O34" i="6" s="1"/>
  <c r="C63" i="6"/>
  <c r="T48" i="6"/>
  <c r="D21" i="6"/>
  <c r="J64" i="6"/>
  <c r="C64" i="6"/>
  <c r="H34" i="6"/>
  <c r="F49" i="6"/>
  <c r="T49" i="6"/>
  <c r="M49" i="6"/>
  <c r="X62" i="6"/>
  <c r="V34" i="6"/>
  <c r="D63" i="6" l="1"/>
  <c r="U48" i="6"/>
  <c r="P33" i="6"/>
  <c r="N48" i="6"/>
  <c r="N49" i="6" s="1"/>
  <c r="G48" i="6"/>
  <c r="K63" i="6"/>
  <c r="L20" i="6"/>
  <c r="L21" i="6" s="1"/>
  <c r="S20" i="6"/>
  <c r="S21" i="6" s="1"/>
  <c r="B35" i="6"/>
  <c r="B36" i="6" s="1"/>
  <c r="W33" i="6"/>
  <c r="W34" i="6" s="1"/>
  <c r="R63" i="6"/>
  <c r="E21" i="6"/>
  <c r="P34" i="6"/>
  <c r="K64" i="6"/>
  <c r="R64" i="6"/>
  <c r="U49" i="6"/>
  <c r="G49" i="6"/>
  <c r="D64" i="6"/>
  <c r="S63" i="6" l="1"/>
  <c r="C35" i="6"/>
  <c r="C36" i="6" s="1"/>
  <c r="M20" i="6"/>
  <c r="M21" i="6" s="1"/>
  <c r="H48" i="6"/>
  <c r="J35" i="6"/>
  <c r="J36" i="6" s="1"/>
  <c r="E63" i="6"/>
  <c r="E64" i="6" s="1"/>
  <c r="X33" i="6"/>
  <c r="X34" i="6" s="1"/>
  <c r="T20" i="6"/>
  <c r="T21" i="6" s="1"/>
  <c r="L63" i="6"/>
  <c r="O48" i="6"/>
  <c r="O49" i="6" s="1"/>
  <c r="V48" i="6"/>
  <c r="F21" i="6"/>
  <c r="S64" i="6"/>
  <c r="V49" i="6"/>
  <c r="L64" i="6"/>
  <c r="H49" i="6"/>
  <c r="W48" i="6" l="1"/>
  <c r="M63" i="6"/>
  <c r="R35" i="6"/>
  <c r="R36" i="6" s="1"/>
  <c r="K35" i="6"/>
  <c r="K36" i="6" s="1"/>
  <c r="N20" i="6"/>
  <c r="N21" i="6" s="1"/>
  <c r="T63" i="6"/>
  <c r="P48" i="6"/>
  <c r="U20" i="6"/>
  <c r="U21" i="6" s="1"/>
  <c r="F63" i="6"/>
  <c r="F64" i="6" s="1"/>
  <c r="B50" i="6"/>
  <c r="D35" i="6"/>
  <c r="D36" i="6" s="1"/>
  <c r="G21" i="6"/>
  <c r="P49" i="6"/>
  <c r="T64" i="6"/>
  <c r="W49" i="6"/>
  <c r="M64" i="6"/>
  <c r="B51" i="6"/>
  <c r="E35" i="6" l="1"/>
  <c r="E36" i="6" s="1"/>
  <c r="G63" i="6"/>
  <c r="G64" i="6" s="1"/>
  <c r="J50" i="6"/>
  <c r="J51" i="6" s="1"/>
  <c r="O20" i="6"/>
  <c r="O21" i="6" s="1"/>
  <c r="S35" i="6"/>
  <c r="S36" i="6" s="1"/>
  <c r="X48" i="6"/>
  <c r="X49" i="6" s="1"/>
  <c r="C50" i="6"/>
  <c r="C51" i="6" s="1"/>
  <c r="V20" i="6"/>
  <c r="V21" i="6" s="1"/>
  <c r="U63" i="6"/>
  <c r="L35" i="6"/>
  <c r="L36" i="6" s="1"/>
  <c r="N63" i="6"/>
  <c r="H21" i="6"/>
  <c r="U64" i="6"/>
  <c r="N64" i="6"/>
  <c r="O63" i="6" l="1"/>
  <c r="O64" i="6" s="1"/>
  <c r="V63" i="6"/>
  <c r="D50" i="6"/>
  <c r="D51" i="6" s="1"/>
  <c r="T35" i="6"/>
  <c r="T36" i="6" s="1"/>
  <c r="K50" i="6"/>
  <c r="F35" i="6"/>
  <c r="F36" i="6" s="1"/>
  <c r="M35" i="6"/>
  <c r="W20" i="6"/>
  <c r="W21" i="6" s="1"/>
  <c r="R50" i="6"/>
  <c r="R51" i="6" s="1"/>
  <c r="P20" i="6"/>
  <c r="P21" i="6" s="1"/>
  <c r="H63" i="6"/>
  <c r="M36" i="6"/>
  <c r="K51" i="6"/>
  <c r="H64" i="6"/>
  <c r="V64" i="6"/>
  <c r="B65" i="6" l="1"/>
  <c r="B66" i="6" s="1"/>
  <c r="S50" i="6"/>
  <c r="S51" i="6" s="1"/>
  <c r="N35" i="6"/>
  <c r="N36" i="6" s="1"/>
  <c r="L50" i="6"/>
  <c r="L51" i="6" s="1"/>
  <c r="E50" i="6"/>
  <c r="E51" i="6" s="1"/>
  <c r="P63" i="6"/>
  <c r="P64" i="6" s="1"/>
  <c r="X20" i="6"/>
  <c r="X21" i="6" s="1"/>
  <c r="G35" i="6"/>
  <c r="G36" i="6" s="1"/>
  <c r="U35" i="6"/>
  <c r="U36" i="6" s="1"/>
  <c r="W63" i="6"/>
  <c r="W64" i="6"/>
  <c r="V35" i="6" l="1"/>
  <c r="V36" i="6" s="1"/>
  <c r="F50" i="6"/>
  <c r="O35" i="6"/>
  <c r="O36" i="6" s="1"/>
  <c r="C65" i="6"/>
  <c r="C66" i="6" s="1"/>
  <c r="X63" i="6"/>
  <c r="H35" i="6"/>
  <c r="H36" i="6" s="1"/>
  <c r="J65" i="6"/>
  <c r="J66" i="6" s="1"/>
  <c r="M50" i="6"/>
  <c r="M51" i="6" s="1"/>
  <c r="T50" i="6"/>
  <c r="T51" i="6" s="1"/>
  <c r="F51" i="6"/>
  <c r="X64" i="6"/>
  <c r="U50" i="6" l="1"/>
  <c r="U51" i="6" s="1"/>
  <c r="K65" i="6"/>
  <c r="K66" i="6" s="1"/>
  <c r="R65" i="6"/>
  <c r="P35" i="6"/>
  <c r="P36" i="6" s="1"/>
  <c r="W35" i="6"/>
  <c r="W36" i="6" s="1"/>
  <c r="N50" i="6"/>
  <c r="N51" i="6" s="1"/>
  <c r="D65" i="6"/>
  <c r="D66" i="6" s="1"/>
  <c r="G50" i="6"/>
  <c r="G51" i="6" s="1"/>
  <c r="R66" i="6"/>
  <c r="E65" i="6" l="1"/>
  <c r="E66" i="6" s="1"/>
  <c r="X35" i="6"/>
  <c r="X36" i="6" s="1"/>
  <c r="S65" i="6"/>
  <c r="S66" i="6" s="1"/>
  <c r="V50" i="6"/>
  <c r="V51" i="6" s="1"/>
  <c r="H50" i="6"/>
  <c r="H51" i="6" s="1"/>
  <c r="O50" i="6"/>
  <c r="O51" i="6" s="1"/>
  <c r="L65" i="6"/>
  <c r="L66" i="6" s="1"/>
  <c r="M65" i="6" l="1"/>
  <c r="M66" i="6" s="1"/>
  <c r="T65" i="6"/>
  <c r="F65" i="6"/>
  <c r="F66" i="6" s="1"/>
  <c r="P50" i="6"/>
  <c r="P51" i="6" s="1"/>
  <c r="W50" i="6"/>
  <c r="W51" i="6" s="1"/>
  <c r="T66" i="6"/>
  <c r="X50" i="6" l="1"/>
  <c r="X51" i="6" s="1"/>
  <c r="G65" i="6"/>
  <c r="G66" i="6" s="1"/>
  <c r="N65" i="6"/>
  <c r="N66" i="6" s="1"/>
  <c r="U65" i="6"/>
  <c r="U66" i="6" s="1"/>
  <c r="V65" i="6" l="1"/>
  <c r="V66" i="6" s="1"/>
  <c r="O65" i="6"/>
  <c r="O66" i="6" s="1"/>
  <c r="H65" i="6"/>
  <c r="H66" i="6" s="1"/>
  <c r="W65" i="6" l="1"/>
  <c r="W66" i="6" s="1"/>
  <c r="P65" i="6"/>
  <c r="P66" i="6" s="1"/>
  <c r="X65" i="6" l="1"/>
  <c r="X66" i="6" s="1"/>
</calcChain>
</file>

<file path=xl/comments1.xml><?xml version="1.0" encoding="utf-8"?>
<comments xmlns="http://schemas.openxmlformats.org/spreadsheetml/2006/main">
  <authors>
    <author>WIN</author>
  </authors>
  <commentList>
    <comment ref="J13" authorId="0" shapeId="0">
      <text>
        <r>
          <rPr>
            <b/>
            <sz val="9"/>
            <color indexed="81"/>
            <rFont val="Tahoma"/>
            <charset val="1"/>
          </rPr>
          <t>WIN: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sz val="14"/>
            <color indexed="81"/>
            <rFont val="Times New Roman"/>
            <family val="1"/>
          </rPr>
          <t>Chạy quảng cáo</t>
        </r>
      </text>
    </comment>
    <comment ref="J19" authorId="0" shapeId="0">
      <text>
        <r>
          <rPr>
            <b/>
            <sz val="9"/>
            <color indexed="81"/>
            <rFont val="Tahoma"/>
            <family val="2"/>
          </rPr>
          <t>WIN: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Bắt đầu khóa mới</t>
        </r>
      </text>
    </comment>
  </commentList>
</comments>
</file>

<file path=xl/comments2.xml><?xml version="1.0" encoding="utf-8"?>
<comments xmlns="http://schemas.openxmlformats.org/spreadsheetml/2006/main">
  <authors>
    <author>WIN</author>
  </authors>
  <commentList>
    <comment ref="J18" authorId="0" shapeId="0">
      <text>
        <r>
          <rPr>
            <b/>
            <sz val="9"/>
            <color indexed="81"/>
            <rFont val="Tahoma"/>
            <family val="2"/>
          </rPr>
          <t>WIN: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imes New Roman"/>
            <family val="1"/>
          </rPr>
          <t>Chạy quảng cáo</t>
        </r>
      </text>
    </comment>
  </commentList>
</comments>
</file>

<file path=xl/sharedStrings.xml><?xml version="1.0" encoding="utf-8"?>
<sst xmlns="http://schemas.openxmlformats.org/spreadsheetml/2006/main" count="14" uniqueCount="7">
  <si>
    <t>Start Day</t>
  </si>
  <si>
    <t>Month:</t>
  </si>
  <si>
    <t>Yearly Calendar Template</t>
  </si>
  <si>
    <t>Yearly Calendar</t>
  </si>
  <si>
    <t>1:Sun, 2:Mon</t>
  </si>
  <si>
    <t>Input the Year:</t>
  </si>
  <si>
    <t>https://www.dantaichinh.com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</si>
</sst>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"/>
    <numFmt numFmtId="165" formatCode="mmmm\ \'yy"/>
  </numFmts>
  <fonts count="28" x14ac:knownFonts="1">
    <font>
      <sz val="10"/>
      <name val="Arial"/>
    </font>
    <font>
      <u/>
      <sz val="10"/>
      <color indexed="12"/>
      <name val="Tahoma"/>
      <family val="2"/>
    </font>
    <font>
      <b/>
      <sz val="12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i/>
      <sz val="10"/>
      <name val="Arial"/>
      <family val="2"/>
    </font>
    <font>
      <b/>
      <sz val="32"/>
      <color theme="4" tint="-0.249977111117893"/>
      <name val="Arial"/>
      <family val="2"/>
    </font>
    <font>
      <b/>
      <sz val="14"/>
      <color theme="0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b/>
      <sz val="16"/>
      <color rgb="FFFF0000"/>
      <name val="Arial"/>
      <family val="2"/>
    </font>
    <font>
      <b/>
      <sz val="9"/>
      <color theme="1" tint="0.34998626667073579"/>
      <name val="Arial"/>
      <family val="2"/>
    </font>
    <font>
      <b/>
      <sz val="12"/>
      <color theme="4" tint="-0.249977111117893"/>
      <name val="Arial"/>
      <family val="2"/>
    </font>
    <font>
      <sz val="10"/>
      <color theme="0" tint="-4.9989318521683403E-2"/>
      <name val="Arial"/>
      <family val="2"/>
    </font>
    <font>
      <sz val="8"/>
      <color theme="0" tint="-4.9989318521683403E-2"/>
      <name val="Arial"/>
      <family val="2"/>
    </font>
    <font>
      <i/>
      <sz val="8"/>
      <color theme="0" tint="-4.9989318521683403E-2"/>
      <name val="Arial"/>
      <family val="2"/>
    </font>
    <font>
      <b/>
      <sz val="10"/>
      <name val="Arial"/>
      <family val="2"/>
    </font>
    <font>
      <sz val="12"/>
      <color indexed="12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4"/>
      <color indexed="8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/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/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-0.249977111117893"/>
      </right>
      <top style="thin">
        <color theme="4" tint="0.59996337778862885"/>
      </top>
      <bottom/>
      <diagonal/>
    </border>
    <border>
      <left style="thin">
        <color theme="4" tint="-0.249977111117893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-0.249977111117893"/>
      </right>
      <top/>
      <bottom style="thin">
        <color theme="4" tint="0.59996337778862885"/>
      </bottom>
      <diagonal/>
    </border>
    <border>
      <left style="thin">
        <color theme="4" tint="-0.249977111117893"/>
      </left>
      <right style="thin">
        <color theme="4" tint="0.59996337778862885"/>
      </right>
      <top/>
      <bottom style="thin">
        <color theme="4" tint="-0.249977111117893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-0.249977111117893"/>
      </bottom>
      <diagonal/>
    </border>
    <border>
      <left style="thin">
        <color theme="4" tint="0.59996337778862885"/>
      </left>
      <right style="thin">
        <color theme="4" tint="-0.249977111117893"/>
      </right>
      <top/>
      <bottom style="thin">
        <color theme="4" tint="-0.249977111117893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7" fillId="0" borderId="0"/>
  </cellStyleXfs>
  <cellXfs count="162">
    <xf numFmtId="0" fontId="0" fillId="0" borderId="0" xfId="0"/>
    <xf numFmtId="0" fontId="3" fillId="0" borderId="0" xfId="0" applyFont="1"/>
    <xf numFmtId="0" fontId="4" fillId="0" borderId="0" xfId="0" applyFont="1"/>
    <xf numFmtId="164" fontId="6" fillId="0" borderId="1" xfId="0" applyNumberFormat="1" applyFont="1" applyFill="1" applyBorder="1" applyAlignment="1">
      <alignment horizontal="left" vertical="center"/>
    </xf>
    <xf numFmtId="0" fontId="4" fillId="0" borderId="0" xfId="0" applyFont="1" applyAlignment="1">
      <alignment horizontal="left"/>
    </xf>
    <xf numFmtId="0" fontId="2" fillId="2" borderId="0" xfId="0" applyFont="1" applyFill="1"/>
    <xf numFmtId="0" fontId="7" fillId="2" borderId="0" xfId="0" applyFont="1" applyFill="1"/>
    <xf numFmtId="0" fontId="5" fillId="2" borderId="0" xfId="0" applyFont="1" applyFill="1" applyBorder="1" applyAlignment="1">
      <alignment horizontal="right"/>
    </xf>
    <xf numFmtId="0" fontId="7" fillId="0" borderId="0" xfId="0" applyFont="1"/>
    <xf numFmtId="0" fontId="7" fillId="2" borderId="0" xfId="0" applyFont="1" applyFill="1" applyAlignment="1">
      <alignment horizontal="right"/>
    </xf>
    <xf numFmtId="0" fontId="9" fillId="2" borderId="0" xfId="0" applyFont="1" applyFill="1" applyAlignment="1">
      <alignment horizontal="right"/>
    </xf>
    <xf numFmtId="0" fontId="7" fillId="0" borderId="0" xfId="0" applyFont="1" applyAlignment="1">
      <alignment vertical="center"/>
    </xf>
    <xf numFmtId="0" fontId="12" fillId="0" borderId="0" xfId="0" applyFont="1" applyBorder="1" applyAlignment="1">
      <alignment vertical="center"/>
    </xf>
    <xf numFmtId="0" fontId="13" fillId="4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4" fillId="0" borderId="0" xfId="0" applyFont="1" applyBorder="1" applyAlignment="1">
      <alignment horizontal="left" vertical="center"/>
    </xf>
    <xf numFmtId="164" fontId="14" fillId="0" borderId="1" xfId="0" applyNumberFormat="1" applyFont="1" applyFill="1" applyBorder="1" applyAlignment="1">
      <alignment horizontal="left" vertical="center"/>
    </xf>
    <xf numFmtId="0" fontId="15" fillId="0" borderId="0" xfId="0" applyFont="1" applyAlignment="1">
      <alignment horizontal="right"/>
    </xf>
    <xf numFmtId="164" fontId="15" fillId="0" borderId="2" xfId="0" applyNumberFormat="1" applyFont="1" applyFill="1" applyBorder="1" applyAlignment="1">
      <alignment horizontal="right"/>
    </xf>
    <xf numFmtId="0" fontId="15" fillId="0" borderId="0" xfId="0" applyFont="1" applyBorder="1" applyAlignment="1">
      <alignment horizontal="right"/>
    </xf>
    <xf numFmtId="0" fontId="7" fillId="2" borderId="0" xfId="0" applyFont="1" applyFill="1" applyAlignment="1">
      <alignment vertical="center"/>
    </xf>
    <xf numFmtId="0" fontId="17" fillId="2" borderId="0" xfId="0" applyFont="1" applyFill="1" applyAlignment="1">
      <alignment horizontal="right"/>
    </xf>
    <xf numFmtId="0" fontId="17" fillId="2" borderId="0" xfId="0" applyFont="1" applyFill="1"/>
    <xf numFmtId="0" fontId="18" fillId="2" borderId="0" xfId="0" applyFont="1" applyFill="1" applyAlignment="1">
      <alignment horizontal="right"/>
    </xf>
    <xf numFmtId="0" fontId="19" fillId="2" borderId="0" xfId="0" applyFont="1" applyFill="1"/>
    <xf numFmtId="0" fontId="13" fillId="4" borderId="6" xfId="0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/>
    </xf>
    <xf numFmtId="164" fontId="6" fillId="0" borderId="8" xfId="0" applyNumberFormat="1" applyFont="1" applyFill="1" applyBorder="1" applyAlignment="1">
      <alignment horizontal="left" vertical="center"/>
    </xf>
    <xf numFmtId="164" fontId="14" fillId="0" borderId="9" xfId="0" applyNumberFormat="1" applyFont="1" applyFill="1" applyBorder="1" applyAlignment="1">
      <alignment horizontal="left" vertical="center"/>
    </xf>
    <xf numFmtId="164" fontId="15" fillId="0" borderId="10" xfId="0" applyNumberFormat="1" applyFont="1" applyFill="1" applyBorder="1" applyAlignment="1">
      <alignment horizontal="right"/>
    </xf>
    <xf numFmtId="164" fontId="15" fillId="0" borderId="11" xfId="0" applyNumberFormat="1" applyFont="1" applyFill="1" applyBorder="1" applyAlignment="1">
      <alignment horizontal="right"/>
    </xf>
    <xf numFmtId="164" fontId="15" fillId="0" borderId="12" xfId="0" applyNumberFormat="1" applyFont="1" applyFill="1" applyBorder="1" applyAlignment="1">
      <alignment horizontal="right"/>
    </xf>
    <xf numFmtId="164" fontId="15" fillId="0" borderId="13" xfId="0" applyNumberFormat="1" applyFont="1" applyFill="1" applyBorder="1" applyAlignment="1">
      <alignment horizontal="right"/>
    </xf>
    <xf numFmtId="164" fontId="15" fillId="0" borderId="14" xfId="0" applyNumberFormat="1" applyFont="1" applyFill="1" applyBorder="1" applyAlignment="1">
      <alignment horizontal="right"/>
    </xf>
    <xf numFmtId="164" fontId="14" fillId="0" borderId="8" xfId="0" applyNumberFormat="1" applyFont="1" applyFill="1" applyBorder="1" applyAlignment="1">
      <alignment horizontal="left" vertical="center"/>
    </xf>
    <xf numFmtId="0" fontId="20" fillId="2" borderId="0" xfId="0" applyFont="1" applyFill="1"/>
    <xf numFmtId="0" fontId="16" fillId="5" borderId="0" xfId="0" applyFon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14" fontId="11" fillId="3" borderId="4" xfId="0" applyNumberFormat="1" applyFont="1" applyFill="1" applyBorder="1" applyAlignment="1">
      <alignment horizontal="center" vertical="center"/>
    </xf>
    <xf numFmtId="14" fontId="11" fillId="3" borderId="5" xfId="0" applyNumberFormat="1" applyFont="1" applyFill="1" applyBorder="1" applyAlignment="1">
      <alignment horizontal="center" vertical="center"/>
    </xf>
    <xf numFmtId="165" fontId="11" fillId="3" borderId="3" xfId="0" applyNumberFormat="1" applyFont="1" applyFill="1" applyBorder="1" applyAlignment="1">
      <alignment horizontal="center" vertical="center"/>
    </xf>
    <xf numFmtId="165" fontId="11" fillId="3" borderId="4" xfId="0" applyNumberFormat="1" applyFont="1" applyFill="1" applyBorder="1" applyAlignment="1">
      <alignment horizontal="center" vertical="center"/>
    </xf>
    <xf numFmtId="165" fontId="11" fillId="3" borderId="5" xfId="0" applyNumberFormat="1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8" fillId="2" borderId="0" xfId="1" applyFont="1" applyFill="1" applyAlignment="1" applyProtection="1">
      <alignment horizontal="left"/>
    </xf>
    <xf numFmtId="0" fontId="21" fillId="2" borderId="0" xfId="1" applyFont="1" applyFill="1" applyAlignment="1" applyProtection="1">
      <alignment horizontal="center"/>
    </xf>
    <xf numFmtId="0" fontId="10" fillId="0" borderId="0" xfId="0" applyFont="1" applyFill="1" applyBorder="1" applyAlignment="1">
      <alignment horizontal="center" vertical="center"/>
    </xf>
    <xf numFmtId="164" fontId="6" fillId="6" borderId="8" xfId="0" applyNumberFormat="1" applyFont="1" applyFill="1" applyBorder="1" applyAlignment="1">
      <alignment horizontal="left" vertical="center"/>
    </xf>
    <xf numFmtId="164" fontId="6" fillId="6" borderId="1" xfId="0" applyNumberFormat="1" applyFont="1" applyFill="1" applyBorder="1" applyAlignment="1">
      <alignment horizontal="left" vertical="center"/>
    </xf>
    <xf numFmtId="164" fontId="14" fillId="6" borderId="1" xfId="0" applyNumberFormat="1" applyFont="1" applyFill="1" applyBorder="1" applyAlignment="1">
      <alignment horizontal="left" vertical="center"/>
    </xf>
    <xf numFmtId="164" fontId="14" fillId="6" borderId="9" xfId="0" applyNumberFormat="1" applyFont="1" applyFill="1" applyBorder="1" applyAlignment="1">
      <alignment horizontal="left" vertical="center"/>
    </xf>
    <xf numFmtId="164" fontId="6" fillId="5" borderId="8" xfId="0" applyNumberFormat="1" applyFont="1" applyFill="1" applyBorder="1" applyAlignment="1">
      <alignment horizontal="left" vertical="center"/>
    </xf>
    <xf numFmtId="164" fontId="6" fillId="5" borderId="1" xfId="0" applyNumberFormat="1" applyFont="1" applyFill="1" applyBorder="1" applyAlignment="1">
      <alignment horizontal="left" vertical="center"/>
    </xf>
    <xf numFmtId="164" fontId="14" fillId="5" borderId="1" xfId="0" applyNumberFormat="1" applyFont="1" applyFill="1" applyBorder="1" applyAlignment="1">
      <alignment horizontal="left" vertical="center"/>
    </xf>
    <xf numFmtId="164" fontId="14" fillId="5" borderId="9" xfId="0" applyNumberFormat="1" applyFont="1" applyFill="1" applyBorder="1" applyAlignment="1">
      <alignment horizontal="left" vertical="center"/>
    </xf>
    <xf numFmtId="164" fontId="15" fillId="5" borderId="10" xfId="0" applyNumberFormat="1" applyFont="1" applyFill="1" applyBorder="1" applyAlignment="1">
      <alignment horizontal="right"/>
    </xf>
    <xf numFmtId="164" fontId="15" fillId="5" borderId="2" xfId="0" applyNumberFormat="1" applyFont="1" applyFill="1" applyBorder="1" applyAlignment="1">
      <alignment horizontal="right"/>
    </xf>
    <xf numFmtId="164" fontId="15" fillId="5" borderId="11" xfId="0" applyNumberFormat="1" applyFont="1" applyFill="1" applyBorder="1" applyAlignment="1">
      <alignment horizontal="right"/>
    </xf>
    <xf numFmtId="164" fontId="6" fillId="5" borderId="9" xfId="0" applyNumberFormat="1" applyFont="1" applyFill="1" applyBorder="1" applyAlignment="1">
      <alignment horizontal="left" vertical="center"/>
    </xf>
    <xf numFmtId="164" fontId="15" fillId="5" borderId="12" xfId="0" applyNumberFormat="1" applyFont="1" applyFill="1" applyBorder="1" applyAlignment="1">
      <alignment horizontal="right"/>
    </xf>
    <xf numFmtId="164" fontId="15" fillId="5" borderId="13" xfId="0" applyNumberFormat="1" applyFont="1" applyFill="1" applyBorder="1" applyAlignment="1">
      <alignment horizontal="right"/>
    </xf>
    <xf numFmtId="164" fontId="15" fillId="5" borderId="14" xfId="0" applyNumberFormat="1" applyFont="1" applyFill="1" applyBorder="1" applyAlignment="1">
      <alignment horizontal="right"/>
    </xf>
    <xf numFmtId="164" fontId="15" fillId="8" borderId="10" xfId="0" applyNumberFormat="1" applyFont="1" applyFill="1" applyBorder="1" applyAlignment="1">
      <alignment horizontal="right"/>
    </xf>
    <xf numFmtId="164" fontId="6" fillId="8" borderId="8" xfId="0" applyNumberFormat="1" applyFont="1" applyFill="1" applyBorder="1" applyAlignment="1">
      <alignment horizontal="left" vertical="center"/>
    </xf>
    <xf numFmtId="164" fontId="6" fillId="8" borderId="1" xfId="0" applyNumberFormat="1" applyFont="1" applyFill="1" applyBorder="1" applyAlignment="1">
      <alignment horizontal="left" vertical="center"/>
    </xf>
    <xf numFmtId="164" fontId="14" fillId="8" borderId="1" xfId="0" applyNumberFormat="1" applyFont="1" applyFill="1" applyBorder="1" applyAlignment="1">
      <alignment horizontal="left" vertical="center"/>
    </xf>
    <xf numFmtId="164" fontId="14" fillId="8" borderId="9" xfId="0" applyNumberFormat="1" applyFont="1" applyFill="1" applyBorder="1" applyAlignment="1">
      <alignment horizontal="left" vertical="center"/>
    </xf>
    <xf numFmtId="164" fontId="15" fillId="8" borderId="2" xfId="0" applyNumberFormat="1" applyFont="1" applyFill="1" applyBorder="1" applyAlignment="1">
      <alignment horizontal="right"/>
    </xf>
    <xf numFmtId="164" fontId="15" fillId="8" borderId="11" xfId="0" applyNumberFormat="1" applyFont="1" applyFill="1" applyBorder="1" applyAlignment="1">
      <alignment horizontal="right"/>
    </xf>
    <xf numFmtId="164" fontId="6" fillId="4" borderId="8" xfId="0" applyNumberFormat="1" applyFont="1" applyFill="1" applyBorder="1" applyAlignment="1">
      <alignment horizontal="left" vertical="center"/>
    </xf>
    <xf numFmtId="164" fontId="6" fillId="4" borderId="1" xfId="0" applyNumberFormat="1" applyFont="1" applyFill="1" applyBorder="1" applyAlignment="1">
      <alignment horizontal="left" vertical="center"/>
    </xf>
    <xf numFmtId="164" fontId="15" fillId="4" borderId="10" xfId="0" applyNumberFormat="1" applyFont="1" applyFill="1" applyBorder="1" applyAlignment="1">
      <alignment horizontal="right"/>
    </xf>
    <xf numFmtId="164" fontId="15" fillId="4" borderId="2" xfId="0" applyNumberFormat="1" applyFont="1" applyFill="1" applyBorder="1" applyAlignment="1">
      <alignment horizontal="right"/>
    </xf>
    <xf numFmtId="0" fontId="4" fillId="7" borderId="0" xfId="0" applyFont="1" applyFill="1" applyAlignment="1">
      <alignment horizontal="left"/>
    </xf>
    <xf numFmtId="0" fontId="15" fillId="7" borderId="0" xfId="0" applyFont="1" applyFill="1" applyAlignment="1">
      <alignment horizontal="right"/>
    </xf>
    <xf numFmtId="164" fontId="14" fillId="4" borderId="1" xfId="0" applyNumberFormat="1" applyFont="1" applyFill="1" applyBorder="1" applyAlignment="1">
      <alignment horizontal="left" vertical="center"/>
    </xf>
    <xf numFmtId="164" fontId="14" fillId="4" borderId="9" xfId="0" applyNumberFormat="1" applyFont="1" applyFill="1" applyBorder="1" applyAlignment="1">
      <alignment horizontal="left" vertical="center"/>
    </xf>
    <xf numFmtId="0" fontId="4" fillId="4" borderId="0" xfId="0" applyFont="1" applyFill="1" applyAlignment="1">
      <alignment horizontal="left"/>
    </xf>
    <xf numFmtId="164" fontId="15" fillId="4" borderId="11" xfId="0" applyNumberFormat="1" applyFont="1" applyFill="1" applyBorder="1" applyAlignment="1">
      <alignment horizontal="right"/>
    </xf>
    <xf numFmtId="0" fontId="15" fillId="4" borderId="0" xfId="0" applyFont="1" applyFill="1" applyAlignment="1">
      <alignment horizontal="right"/>
    </xf>
    <xf numFmtId="0" fontId="7" fillId="0" borderId="0" xfId="2" applyFont="1"/>
    <xf numFmtId="0" fontId="15" fillId="0" borderId="0" xfId="2" applyFont="1" applyAlignment="1">
      <alignment horizontal="right"/>
    </xf>
    <xf numFmtId="164" fontId="15" fillId="0" borderId="14" xfId="2" applyNumberFormat="1" applyFont="1" applyFill="1" applyBorder="1" applyAlignment="1">
      <alignment horizontal="right"/>
    </xf>
    <xf numFmtId="164" fontId="15" fillId="0" borderId="13" xfId="2" applyNumberFormat="1" applyFont="1" applyFill="1" applyBorder="1" applyAlignment="1">
      <alignment horizontal="right"/>
    </xf>
    <xf numFmtId="164" fontId="15" fillId="0" borderId="12" xfId="2" applyNumberFormat="1" applyFont="1" applyFill="1" applyBorder="1" applyAlignment="1">
      <alignment horizontal="right"/>
    </xf>
    <xf numFmtId="0" fontId="15" fillId="0" borderId="0" xfId="2" applyFont="1" applyBorder="1" applyAlignment="1">
      <alignment horizontal="right"/>
    </xf>
    <xf numFmtId="0" fontId="4" fillId="0" borderId="0" xfId="2" applyFont="1" applyAlignment="1">
      <alignment horizontal="left"/>
    </xf>
    <xf numFmtId="164" fontId="14" fillId="0" borderId="9" xfId="2" applyNumberFormat="1" applyFont="1" applyFill="1" applyBorder="1" applyAlignment="1">
      <alignment horizontal="left" vertical="center"/>
    </xf>
    <xf numFmtId="164" fontId="14" fillId="0" borderId="1" xfId="2" applyNumberFormat="1" applyFont="1" applyFill="1" applyBorder="1" applyAlignment="1">
      <alignment horizontal="left" vertical="center"/>
    </xf>
    <xf numFmtId="164" fontId="6" fillId="0" borderId="1" xfId="2" applyNumberFormat="1" applyFont="1" applyFill="1" applyBorder="1" applyAlignment="1">
      <alignment horizontal="left" vertical="center"/>
    </xf>
    <xf numFmtId="164" fontId="6" fillId="0" borderId="8" xfId="2" applyNumberFormat="1" applyFont="1" applyFill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164" fontId="15" fillId="0" borderId="11" xfId="2" applyNumberFormat="1" applyFont="1" applyFill="1" applyBorder="1" applyAlignment="1">
      <alignment horizontal="right"/>
    </xf>
    <xf numFmtId="164" fontId="15" fillId="0" borderId="2" xfId="2" applyNumberFormat="1" applyFont="1" applyFill="1" applyBorder="1" applyAlignment="1">
      <alignment horizontal="right"/>
    </xf>
    <xf numFmtId="164" fontId="15" fillId="0" borderId="10" xfId="2" applyNumberFormat="1" applyFont="1" applyFill="1" applyBorder="1" applyAlignment="1">
      <alignment horizontal="right"/>
    </xf>
    <xf numFmtId="0" fontId="12" fillId="0" borderId="0" xfId="2" applyFont="1" applyAlignment="1">
      <alignment vertical="center"/>
    </xf>
    <xf numFmtId="0" fontId="13" fillId="4" borderId="7" xfId="2" applyFont="1" applyFill="1" applyBorder="1" applyAlignment="1">
      <alignment horizontal="center" vertical="center"/>
    </xf>
    <xf numFmtId="0" fontId="13" fillId="4" borderId="0" xfId="2" applyFont="1" applyFill="1" applyBorder="1" applyAlignment="1">
      <alignment horizontal="center" vertical="center"/>
    </xf>
    <xf numFmtId="0" fontId="13" fillId="4" borderId="6" xfId="2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vertical="center"/>
    </xf>
    <xf numFmtId="0" fontId="12" fillId="0" borderId="0" xfId="2" applyFont="1" applyBorder="1" applyAlignment="1">
      <alignment vertical="center"/>
    </xf>
    <xf numFmtId="0" fontId="3" fillId="0" borderId="0" xfId="2" applyFont="1"/>
    <xf numFmtId="165" fontId="11" fillId="3" borderId="5" xfId="2" applyNumberFormat="1" applyFont="1" applyFill="1" applyBorder="1" applyAlignment="1">
      <alignment horizontal="center" vertical="center"/>
    </xf>
    <xf numFmtId="165" fontId="11" fillId="3" borderId="4" xfId="2" applyNumberFormat="1" applyFont="1" applyFill="1" applyBorder="1" applyAlignment="1">
      <alignment horizontal="center" vertical="center"/>
    </xf>
    <xf numFmtId="165" fontId="11" fillId="3" borderId="3" xfId="2" applyNumberFormat="1" applyFont="1" applyFill="1" applyBorder="1" applyAlignment="1">
      <alignment horizontal="center" vertical="center"/>
    </xf>
    <xf numFmtId="14" fontId="11" fillId="3" borderId="5" xfId="2" applyNumberFormat="1" applyFont="1" applyFill="1" applyBorder="1" applyAlignment="1">
      <alignment horizontal="center" vertical="center"/>
    </xf>
    <xf numFmtId="14" fontId="11" fillId="3" borderId="4" xfId="2" applyNumberFormat="1" applyFont="1" applyFill="1" applyBorder="1" applyAlignment="1">
      <alignment horizontal="center" vertical="center"/>
    </xf>
    <xf numFmtId="14" fontId="11" fillId="3" borderId="3" xfId="2" applyNumberFormat="1" applyFont="1" applyFill="1" applyBorder="1" applyAlignment="1">
      <alignment horizontal="center" vertical="center"/>
    </xf>
    <xf numFmtId="0" fontId="4" fillId="0" borderId="0" xfId="2" applyFont="1"/>
    <xf numFmtId="164" fontId="14" fillId="0" borderId="8" xfId="2" applyNumberFormat="1" applyFont="1" applyFill="1" applyBorder="1" applyAlignment="1">
      <alignment horizontal="left" vertical="center"/>
    </xf>
    <xf numFmtId="164" fontId="6" fillId="0" borderId="9" xfId="2" applyNumberFormat="1" applyFont="1" applyFill="1" applyBorder="1" applyAlignment="1">
      <alignment horizontal="left" vertical="center"/>
    </xf>
    <xf numFmtId="0" fontId="7" fillId="0" borderId="0" xfId="2" applyFont="1" applyAlignment="1">
      <alignment vertical="center"/>
    </xf>
    <xf numFmtId="0" fontId="10" fillId="0" borderId="0" xfId="2" applyFont="1" applyFill="1" applyBorder="1" applyAlignment="1">
      <alignment horizontal="center" vertical="center"/>
    </xf>
    <xf numFmtId="0" fontId="7" fillId="2" borderId="0" xfId="2" applyFont="1" applyFill="1"/>
    <xf numFmtId="0" fontId="7" fillId="2" borderId="0" xfId="2" applyFont="1" applyFill="1" applyAlignment="1">
      <alignment vertical="center"/>
    </xf>
    <xf numFmtId="0" fontId="9" fillId="2" borderId="0" xfId="2" applyFont="1" applyFill="1" applyAlignment="1">
      <alignment horizontal="right"/>
    </xf>
    <xf numFmtId="0" fontId="17" fillId="2" borderId="0" xfId="2" applyFont="1" applyFill="1"/>
    <xf numFmtId="0" fontId="19" fillId="2" borderId="0" xfId="2" applyFont="1" applyFill="1"/>
    <xf numFmtId="0" fontId="17" fillId="2" borderId="0" xfId="2" applyFont="1" applyFill="1" applyBorder="1" applyAlignment="1">
      <alignment horizontal="center"/>
    </xf>
    <xf numFmtId="0" fontId="18" fillId="2" borderId="0" xfId="2" applyFont="1" applyFill="1" applyAlignment="1">
      <alignment horizontal="right"/>
    </xf>
    <xf numFmtId="0" fontId="17" fillId="2" borderId="0" xfId="2" applyFont="1" applyFill="1" applyAlignment="1">
      <alignment horizontal="right"/>
    </xf>
    <xf numFmtId="0" fontId="16" fillId="5" borderId="0" xfId="2" applyFont="1" applyFill="1" applyBorder="1" applyAlignment="1">
      <alignment horizontal="center" vertical="center"/>
    </xf>
    <xf numFmtId="0" fontId="7" fillId="2" borderId="0" xfId="2" applyFont="1" applyFill="1" applyAlignment="1">
      <alignment horizontal="right"/>
    </xf>
    <xf numFmtId="0" fontId="5" fillId="2" borderId="0" xfId="2" applyFont="1" applyFill="1" applyBorder="1" applyAlignment="1">
      <alignment horizontal="right"/>
    </xf>
    <xf numFmtId="0" fontId="7" fillId="2" borderId="0" xfId="2" applyFont="1" applyFill="1" applyAlignment="1">
      <alignment horizontal="center"/>
    </xf>
    <xf numFmtId="0" fontId="20" fillId="2" borderId="0" xfId="2" applyFont="1" applyFill="1"/>
    <xf numFmtId="0" fontId="2" fillId="2" borderId="0" xfId="2" applyFont="1" applyFill="1"/>
    <xf numFmtId="164" fontId="6" fillId="5" borderId="8" xfId="2" applyNumberFormat="1" applyFont="1" applyFill="1" applyBorder="1" applyAlignment="1">
      <alignment horizontal="left" vertical="center"/>
    </xf>
    <xf numFmtId="164" fontId="15" fillId="5" borderId="10" xfId="2" applyNumberFormat="1" applyFont="1" applyFill="1" applyBorder="1" applyAlignment="1">
      <alignment horizontal="right"/>
    </xf>
    <xf numFmtId="164" fontId="6" fillId="6" borderId="1" xfId="2" applyNumberFormat="1" applyFont="1" applyFill="1" applyBorder="1" applyAlignment="1">
      <alignment horizontal="left" vertical="center"/>
    </xf>
    <xf numFmtId="164" fontId="14" fillId="6" borderId="1" xfId="2" applyNumberFormat="1" applyFont="1" applyFill="1" applyBorder="1" applyAlignment="1">
      <alignment horizontal="left" vertical="center"/>
    </xf>
    <xf numFmtId="164" fontId="14" fillId="6" borderId="9" xfId="2" applyNumberFormat="1" applyFont="1" applyFill="1" applyBorder="1" applyAlignment="1">
      <alignment horizontal="left" vertical="center"/>
    </xf>
    <xf numFmtId="164" fontId="15" fillId="6" borderId="2" xfId="2" applyNumberFormat="1" applyFont="1" applyFill="1" applyBorder="1" applyAlignment="1">
      <alignment horizontal="right"/>
    </xf>
    <xf numFmtId="164" fontId="15" fillId="6" borderId="11" xfId="2" applyNumberFormat="1" applyFont="1" applyFill="1" applyBorder="1" applyAlignment="1">
      <alignment horizontal="right"/>
    </xf>
    <xf numFmtId="164" fontId="6" fillId="5" borderId="1" xfId="2" applyNumberFormat="1" applyFont="1" applyFill="1" applyBorder="1" applyAlignment="1">
      <alignment horizontal="left" vertical="center"/>
    </xf>
    <xf numFmtId="164" fontId="15" fillId="5" borderId="2" xfId="2" applyNumberFormat="1" applyFont="1" applyFill="1" applyBorder="1" applyAlignment="1">
      <alignment horizontal="right"/>
    </xf>
    <xf numFmtId="164" fontId="14" fillId="5" borderId="1" xfId="2" applyNumberFormat="1" applyFont="1" applyFill="1" applyBorder="1" applyAlignment="1">
      <alignment horizontal="left" vertical="center"/>
    </xf>
    <xf numFmtId="164" fontId="14" fillId="5" borderId="9" xfId="2" applyNumberFormat="1" applyFont="1" applyFill="1" applyBorder="1" applyAlignment="1">
      <alignment horizontal="left" vertical="center"/>
    </xf>
    <xf numFmtId="164" fontId="15" fillId="5" borderId="11" xfId="2" applyNumberFormat="1" applyFont="1" applyFill="1" applyBorder="1" applyAlignment="1">
      <alignment horizontal="right"/>
    </xf>
    <xf numFmtId="164" fontId="6" fillId="8" borderId="1" xfId="2" applyNumberFormat="1" applyFont="1" applyFill="1" applyBorder="1" applyAlignment="1">
      <alignment horizontal="left" vertical="center"/>
    </xf>
    <xf numFmtId="164" fontId="14" fillId="8" borderId="1" xfId="2" applyNumberFormat="1" applyFont="1" applyFill="1" applyBorder="1" applyAlignment="1">
      <alignment horizontal="left" vertical="center"/>
    </xf>
    <xf numFmtId="164" fontId="14" fillId="8" borderId="9" xfId="2" applyNumberFormat="1" applyFont="1" applyFill="1" applyBorder="1" applyAlignment="1">
      <alignment horizontal="left" vertical="center"/>
    </xf>
    <xf numFmtId="164" fontId="15" fillId="8" borderId="2" xfId="2" applyNumberFormat="1" applyFont="1" applyFill="1" applyBorder="1" applyAlignment="1">
      <alignment horizontal="right"/>
    </xf>
    <xf numFmtId="164" fontId="15" fillId="8" borderId="11" xfId="2" applyNumberFormat="1" applyFont="1" applyFill="1" applyBorder="1" applyAlignment="1">
      <alignment horizontal="right"/>
    </xf>
    <xf numFmtId="164" fontId="6" fillId="8" borderId="8" xfId="2" applyNumberFormat="1" applyFont="1" applyFill="1" applyBorder="1" applyAlignment="1">
      <alignment horizontal="left" vertical="center"/>
    </xf>
    <xf numFmtId="164" fontId="15" fillId="8" borderId="10" xfId="2" applyNumberFormat="1" applyFont="1" applyFill="1" applyBorder="1" applyAlignment="1">
      <alignment horizontal="right"/>
    </xf>
    <xf numFmtId="0" fontId="4" fillId="8" borderId="0" xfId="2" applyFont="1" applyFill="1" applyAlignment="1">
      <alignment horizontal="left"/>
    </xf>
    <xf numFmtId="0" fontId="15" fillId="8" borderId="0" xfId="2" applyFont="1" applyFill="1" applyAlignment="1">
      <alignment horizontal="right"/>
    </xf>
    <xf numFmtId="164" fontId="15" fillId="9" borderId="10" xfId="0" applyNumberFormat="1" applyFont="1" applyFill="1" applyBorder="1" applyAlignment="1">
      <alignment horizontal="right"/>
    </xf>
    <xf numFmtId="164" fontId="15" fillId="9" borderId="2" xfId="0" applyNumberFormat="1" applyFont="1" applyFill="1" applyBorder="1" applyAlignment="1">
      <alignment horizontal="right"/>
    </xf>
    <xf numFmtId="164" fontId="15" fillId="9" borderId="11" xfId="0" applyNumberFormat="1" applyFont="1" applyFill="1" applyBorder="1" applyAlignment="1">
      <alignment horizontal="right"/>
    </xf>
    <xf numFmtId="164" fontId="6" fillId="9" borderId="8" xfId="0" applyNumberFormat="1" applyFont="1" applyFill="1" applyBorder="1" applyAlignment="1">
      <alignment horizontal="left" vertical="center"/>
    </xf>
    <xf numFmtId="164" fontId="6" fillId="9" borderId="1" xfId="0" applyNumberFormat="1" applyFont="1" applyFill="1" applyBorder="1" applyAlignment="1">
      <alignment horizontal="left" vertical="center"/>
    </xf>
    <xf numFmtId="164" fontId="14" fillId="9" borderId="1" xfId="0" applyNumberFormat="1" applyFont="1" applyFill="1" applyBorder="1" applyAlignment="1">
      <alignment horizontal="left" vertical="center"/>
    </xf>
    <xf numFmtId="164" fontId="14" fillId="9" borderId="9" xfId="0" applyNumberFormat="1" applyFont="1" applyFill="1" applyBorder="1" applyAlignment="1">
      <alignment horizontal="left" vertical="center"/>
    </xf>
    <xf numFmtId="0" fontId="15" fillId="8" borderId="0" xfId="0" applyFont="1" applyFill="1" applyAlignment="1">
      <alignment horizontal="right"/>
    </xf>
    <xf numFmtId="164" fontId="15" fillId="9" borderId="12" xfId="0" applyNumberFormat="1" applyFont="1" applyFill="1" applyBorder="1" applyAlignment="1">
      <alignment horizontal="right"/>
    </xf>
    <xf numFmtId="164" fontId="15" fillId="9" borderId="13" xfId="0" applyNumberFormat="1" applyFont="1" applyFill="1" applyBorder="1" applyAlignment="1">
      <alignment horizontal="right"/>
    </xf>
    <xf numFmtId="164" fontId="15" fillId="9" borderId="14" xfId="0" applyNumberFormat="1" applyFont="1" applyFill="1" applyBorder="1" applyAlignment="1">
      <alignment horizontal="right"/>
    </xf>
    <xf numFmtId="0" fontId="4" fillId="6" borderId="0" xfId="0" applyFont="1" applyFill="1" applyBorder="1" applyAlignment="1">
      <alignment horizontal="left" vertical="center"/>
    </xf>
  </cellXfs>
  <cellStyles count="3">
    <cellStyle name="Hyperlink" xfId="1" builtinId="8"/>
    <cellStyle name="Normal" xfId="0" builtinId="0"/>
    <cellStyle name="Normal 2" xfId="2"/>
  </cellStyles>
  <dxfs count="4">
    <dxf>
      <fill>
        <patternFill>
          <bgColor theme="0" tint="-4.9989318521683403E-2"/>
        </patternFill>
      </fill>
    </dxf>
    <dxf>
      <numFmt numFmtId="166" formatCode="mmmm"/>
    </dxf>
    <dxf>
      <fill>
        <patternFill>
          <bgColor theme="0" tint="-4.9989318521683403E-2"/>
        </patternFill>
      </fill>
    </dxf>
    <dxf>
      <numFmt numFmtId="166" formatCode="mmmm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EAEAEA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B2B2B2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FFFF00"/>
      <color rgb="FFFEE294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55011</xdr:colOff>
      <xdr:row>0</xdr:row>
      <xdr:rowOff>0</xdr:rowOff>
    </xdr:from>
    <xdr:to>
      <xdr:col>1</xdr:col>
      <xdr:colOff>562694</xdr:colOff>
      <xdr:row>3</xdr:row>
      <xdr:rowOff>10476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284" y="0"/>
          <a:ext cx="507683" cy="4953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55011</xdr:colOff>
      <xdr:row>0</xdr:row>
      <xdr:rowOff>0</xdr:rowOff>
    </xdr:from>
    <xdr:ext cx="507683" cy="500333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686" y="0"/>
          <a:ext cx="507683" cy="500333"/>
        </a:xfrm>
        <a:prstGeom prst="rect">
          <a:avLst/>
        </a:prstGeom>
      </xdr:spPr>
    </xdr:pic>
    <xdr:clientData/>
  </xdr:one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etro">
  <a:themeElements>
    <a:clrScheme name="Metro">
      <a:dk1>
        <a:sysClr val="windowText" lastClr="000000"/>
      </a:dk1>
      <a:lt1>
        <a:sysClr val="window" lastClr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Metro">
      <a:majorFont>
        <a:latin typeface="Consolas"/>
        <a:ea typeface=""/>
        <a:cs typeface=""/>
        <a:font script="Jpan" typeface="HG丸ｺﾞｼｯｸM-PRO"/>
        <a:font script="Hang" typeface="HY중고딕"/>
        <a:font script="Hans" typeface="华文楷体"/>
        <a:font script="Hant" typeface="新細明體"/>
        <a:font script="Arab" typeface="Tahoma"/>
        <a:font script="Hebr" typeface="Levenim MT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orbel"/>
        <a:ea typeface=""/>
        <a:cs typeface=""/>
        <a:font script="Jpan" typeface="HGｺﾞｼｯｸM"/>
        <a:font script="Hang" typeface="맑은 고딕"/>
        <a:font script="Hans" typeface="宋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Metro">
      <a:fillStyleLst>
        <a:solidFill>
          <a:schemeClr val="phClr"/>
        </a:solidFill>
        <a:gradFill rotWithShape="1">
          <a:gsLst>
            <a:gs pos="0">
              <a:schemeClr val="phClr">
                <a:tint val="25000"/>
                <a:satMod val="125000"/>
              </a:schemeClr>
            </a:gs>
            <a:gs pos="40000">
              <a:schemeClr val="phClr">
                <a:tint val="55000"/>
                <a:satMod val="130000"/>
              </a:schemeClr>
            </a:gs>
            <a:gs pos="50000">
              <a:schemeClr val="phClr">
                <a:tint val="59000"/>
                <a:satMod val="130000"/>
              </a:schemeClr>
            </a:gs>
            <a:gs pos="65000">
              <a:schemeClr val="phClr">
                <a:tint val="55000"/>
                <a:satMod val="130000"/>
              </a:schemeClr>
            </a:gs>
            <a:gs pos="100000">
              <a:schemeClr val="phClr">
                <a:tint val="20000"/>
                <a:satMod val="12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48000"/>
                <a:satMod val="138000"/>
              </a:schemeClr>
            </a:gs>
            <a:gs pos="25000">
              <a:schemeClr val="phClr">
                <a:tint val="85000"/>
              </a:schemeClr>
            </a:gs>
            <a:gs pos="40000">
              <a:schemeClr val="phClr">
                <a:tint val="92000"/>
              </a:schemeClr>
            </a:gs>
            <a:gs pos="50000">
              <a:schemeClr val="phClr">
                <a:tint val="93000"/>
              </a:schemeClr>
            </a:gs>
            <a:gs pos="60000">
              <a:schemeClr val="phClr">
                <a:tint val="92000"/>
              </a:schemeClr>
            </a:gs>
            <a:gs pos="75000">
              <a:schemeClr val="phClr">
                <a:tint val="83000"/>
                <a:satMod val="108000"/>
              </a:schemeClr>
            </a:gs>
            <a:gs pos="100000">
              <a:schemeClr val="phClr">
                <a:tint val="48000"/>
                <a:satMod val="150000"/>
              </a:schemeClr>
            </a:gs>
          </a:gsLst>
          <a:lin ang="5400000" scaled="0"/>
        </a:gradFill>
      </a:fillStyleLst>
      <a:lnStyleLst>
        <a:ln w="12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glow rad="63500">
              <a:schemeClr val="phClr">
                <a:alpha val="45000"/>
                <a:satMod val="120000"/>
              </a:schemeClr>
            </a:glow>
          </a:effectLst>
        </a:effectStyle>
        <a:effectStyle>
          <a:effectLst>
            <a:glow rad="63500">
              <a:schemeClr val="phClr">
                <a:alpha val="45000"/>
                <a:satMod val="120000"/>
              </a:schemeClr>
            </a:glo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>
            <a:bevelT w="0" h="0"/>
            <a:contourClr>
              <a:schemeClr val="phClr">
                <a:tint val="70000"/>
              </a:schemeClr>
            </a:contourClr>
          </a:sp3d>
        </a:effectStyle>
        <a:effectStyle>
          <a:effectLst>
            <a:glow rad="101500">
              <a:schemeClr val="phClr">
                <a:alpha val="42000"/>
                <a:satMod val="120000"/>
              </a:schemeClr>
            </a:glow>
          </a:effectLst>
          <a:scene3d>
            <a:camera prst="orthographicFront" fov="0">
              <a:rot lat="0" lon="0" rev="0"/>
            </a:camera>
            <a:lightRig rig="glow" dir="t">
              <a:rot lat="0" lon="0" rev="4800000"/>
            </a:lightRig>
          </a:scene3d>
          <a:sp3d prstMaterial="powder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bg1">
                <a:shade val="100000"/>
                <a:satMod val="150000"/>
              </a:schemeClr>
            </a:gs>
            <a:gs pos="65000">
              <a:schemeClr val="bg1">
                <a:shade val="90000"/>
                <a:satMod val="375000"/>
              </a:schemeClr>
            </a:gs>
            <a:gs pos="100000">
              <a:schemeClr val="phClr">
                <a:tint val="88000"/>
                <a:satMod val="400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0000"/>
                <a:satMod val="180000"/>
              </a:schemeClr>
              <a:schemeClr val="phClr">
                <a:tint val="90000"/>
                <a:satMod val="20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dantaichinh.com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dantaichinh.com/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7"/>
  <sheetViews>
    <sheetView showGridLines="0" tabSelected="1" topLeftCell="D24" zoomScale="70" zoomScaleNormal="70" workbookViewId="0">
      <selection activeCell="J28" sqref="J28"/>
    </sheetView>
  </sheetViews>
  <sheetFormatPr defaultColWidth="0" defaultRowHeight="12.75" zeroHeight="1" x14ac:dyDescent="0.2"/>
  <cols>
    <col min="1" max="1" width="1" style="8" customWidth="1"/>
    <col min="2" max="2" width="9.85546875" style="8" customWidth="1"/>
    <col min="3" max="8" width="13.28515625" style="8" customWidth="1"/>
    <col min="9" max="9" width="6.7109375" style="8" customWidth="1"/>
    <col min="10" max="16" width="13.28515625" style="8" customWidth="1"/>
    <col min="17" max="17" width="6.7109375" style="8" customWidth="1"/>
    <col min="18" max="24" width="13.28515625" style="8" customWidth="1"/>
    <col min="25" max="25" width="0.85546875" style="8" customWidth="1"/>
    <col min="26" max="26" width="4.140625" style="8" hidden="1" customWidth="1"/>
    <col min="27" max="16384" width="9.140625" style="8" hidden="1"/>
  </cols>
  <sheetData>
    <row r="1" spans="1:25" ht="15.75" x14ac:dyDescent="0.25">
      <c r="A1" s="5"/>
      <c r="B1" s="6"/>
      <c r="C1" s="36" t="s">
        <v>2</v>
      </c>
      <c r="D1" s="6"/>
      <c r="E1" s="6"/>
      <c r="F1" s="6"/>
      <c r="G1" s="6"/>
      <c r="H1" s="6"/>
      <c r="I1" s="6"/>
      <c r="J1" s="46"/>
      <c r="K1" s="46"/>
      <c r="L1" s="46"/>
      <c r="M1" s="46"/>
      <c r="N1" s="46"/>
      <c r="O1" s="46"/>
      <c r="P1" s="46"/>
      <c r="Q1" s="6"/>
      <c r="R1" s="6"/>
      <c r="S1" s="6"/>
      <c r="T1" s="6"/>
      <c r="U1" s="6"/>
      <c r="V1" s="44"/>
      <c r="W1" s="44"/>
      <c r="X1" s="44"/>
      <c r="Y1" s="7"/>
    </row>
    <row r="2" spans="1:25" ht="6" customHeight="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21"/>
      <c r="Y2" s="6"/>
    </row>
    <row r="3" spans="1:25" ht="15.75" x14ac:dyDescent="0.2">
      <c r="A3" s="6"/>
      <c r="B3" s="6"/>
      <c r="C3" s="9" t="s">
        <v>5</v>
      </c>
      <c r="D3" s="37">
        <v>2017</v>
      </c>
      <c r="E3" s="37"/>
      <c r="F3" s="37"/>
      <c r="G3" s="6"/>
      <c r="H3" s="6"/>
      <c r="I3" s="22" t="s">
        <v>1</v>
      </c>
      <c r="J3" s="45">
        <v>1</v>
      </c>
      <c r="K3" s="45"/>
      <c r="L3" s="23"/>
      <c r="M3" s="23"/>
      <c r="N3" s="24" t="s">
        <v>0</v>
      </c>
      <c r="O3" s="45">
        <v>1</v>
      </c>
      <c r="P3" s="45"/>
      <c r="Q3" s="25" t="s">
        <v>4</v>
      </c>
      <c r="R3" s="23"/>
      <c r="S3" s="6"/>
      <c r="T3" s="6"/>
      <c r="U3" s="6"/>
      <c r="V3" s="47" t="s">
        <v>6</v>
      </c>
      <c r="W3" s="47"/>
      <c r="X3" s="47"/>
      <c r="Y3" s="10"/>
    </row>
    <row r="4" spans="1:25" x14ac:dyDescent="0.2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21"/>
      <c r="Y4" s="6"/>
    </row>
    <row r="5" spans="1:25" ht="41.25" x14ac:dyDescent="0.2">
      <c r="B5" s="48">
        <f>D3</f>
        <v>2017</v>
      </c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</row>
    <row r="6" spans="1:25" ht="41.25" x14ac:dyDescent="0.2">
      <c r="B6" s="48" t="s">
        <v>3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</row>
    <row r="7" spans="1:25" x14ac:dyDescent="0.2"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</row>
    <row r="8" spans="1:25" s="1" customFormat="1" ht="20.25" x14ac:dyDescent="0.3">
      <c r="A8" s="2"/>
      <c r="B8" s="38">
        <f>DATE(D3,J3,1)</f>
        <v>42736</v>
      </c>
      <c r="C8" s="39"/>
      <c r="D8" s="39"/>
      <c r="E8" s="39"/>
      <c r="F8" s="39"/>
      <c r="G8" s="39"/>
      <c r="H8" s="40"/>
      <c r="I8" s="12"/>
      <c r="J8" s="41">
        <f>DATE(YEAR(B8+42),MONTH(B8+42),1)</f>
        <v>42767</v>
      </c>
      <c r="K8" s="42"/>
      <c r="L8" s="42"/>
      <c r="M8" s="42"/>
      <c r="N8" s="42"/>
      <c r="O8" s="42"/>
      <c r="P8" s="43"/>
      <c r="Q8" s="12"/>
      <c r="R8" s="41">
        <f>DATE(YEAR(J8+42),MONTH(J8+42),1)</f>
        <v>42795</v>
      </c>
      <c r="S8" s="42"/>
      <c r="T8" s="42"/>
      <c r="U8" s="42"/>
      <c r="V8" s="42"/>
      <c r="W8" s="42"/>
      <c r="X8" s="43"/>
    </row>
    <row r="9" spans="1:25" s="15" customFormat="1" ht="18" customHeight="1" x14ac:dyDescent="0.25">
      <c r="A9" s="1"/>
      <c r="B9" s="26" t="str">
        <f>CHOOSE(1+MOD($O$3+1-2,7),"Mon","Tue","Wed","Thu","Fri","Sat","Sun")</f>
        <v>Mon</v>
      </c>
      <c r="C9" s="13" t="str">
        <f>CHOOSE(1+MOD($O$3+2-2,7),"Mon","Tue","Wed","Thu","Fri","Sat","Sun")</f>
        <v>Tue</v>
      </c>
      <c r="D9" s="13" t="str">
        <f>CHOOSE(1+MOD($O$3+3-2,7),"Mon","Tue","Wed","Thu","Fri","Sat","Sun")</f>
        <v>Wed</v>
      </c>
      <c r="E9" s="13" t="str">
        <f>CHOOSE(1+MOD($O$3+4-2,7),"Mon","Tue","Wed","Thu","Fri","Sat","Sun")</f>
        <v>Thu</v>
      </c>
      <c r="F9" s="13" t="str">
        <f>CHOOSE(1+MOD($O$3+5-2,7),"Mon","Tue","Wed","Thu","Fri","Sat","Sun")</f>
        <v>Fri</v>
      </c>
      <c r="G9" s="13" t="str">
        <f>CHOOSE(1+MOD($O$3+6-2,7),"Mon","Tue","Wed","Thu","Fri","Sat","Sun")</f>
        <v>Sat</v>
      </c>
      <c r="H9" s="27" t="str">
        <f>CHOOSE(1+MOD($O$3+7-2,7),"Mon","Tue","Wed","Thu","Fri","Sat","Sun")</f>
        <v>Sun</v>
      </c>
      <c r="I9" s="12"/>
      <c r="J9" s="26" t="str">
        <f>CHOOSE(1+MOD($O$3+1-2,7),"Mon","Tue","Wed","Thu","Fri","Sat","Sun")</f>
        <v>Mon</v>
      </c>
      <c r="K9" s="13" t="str">
        <f>CHOOSE(1+MOD($O$3+2-2,7),"Mon","Tue","Wed","Thu","Fri","Sat","Sun")</f>
        <v>Tue</v>
      </c>
      <c r="L9" s="13" t="str">
        <f>CHOOSE(1+MOD($O$3+3-2,7),"Mon","Tue","Wed","Thu","Fri","Sat","Sun")</f>
        <v>Wed</v>
      </c>
      <c r="M9" s="13" t="str">
        <f>CHOOSE(1+MOD($O$3+4-2,7),"Mon","Tue","Wed","Thu","Fri","Sat","Sun")</f>
        <v>Thu</v>
      </c>
      <c r="N9" s="13" t="str">
        <f>CHOOSE(1+MOD($O$3+5-2,7),"Mon","Tue","Wed","Thu","Fri","Sat","Sun")</f>
        <v>Fri</v>
      </c>
      <c r="O9" s="13" t="str">
        <f>CHOOSE(1+MOD($O$3+6-2,7),"Mon","Tue","Wed","Thu","Fri","Sat","Sun")</f>
        <v>Sat</v>
      </c>
      <c r="P9" s="27" t="str">
        <f>CHOOSE(1+MOD($O$3+7-2,7),"Mon","Tue","Wed","Thu","Fri","Sat","Sun")</f>
        <v>Sun</v>
      </c>
      <c r="Q9" s="14"/>
      <c r="R9" s="26" t="str">
        <f>CHOOSE(1+MOD($O$3+1-2,7),"Mon","Tue","Wed","Thu","Fri","Sat","Sun")</f>
        <v>Mon</v>
      </c>
      <c r="S9" s="13" t="str">
        <f>CHOOSE(1+MOD($O$3+2-2,7),"Mon","Tue","Wed","Thu","Fri","Sat","Sun")</f>
        <v>Tue</v>
      </c>
      <c r="T9" s="13" t="str">
        <f>CHOOSE(1+MOD($O$3+3-2,7),"Mon","Tue","Wed","Thu","Fri","Sat","Sun")</f>
        <v>Wed</v>
      </c>
      <c r="U9" s="13" t="str">
        <f>CHOOSE(1+MOD($O$3+4-2,7),"Mon","Tue","Wed","Thu","Fri","Sat","Sun")</f>
        <v>Thu</v>
      </c>
      <c r="V9" s="13" t="str">
        <f>CHOOSE(1+MOD($O$3+5-2,7),"Mon","Tue","Wed","Thu","Fri","Sat","Sun")</f>
        <v>Fri</v>
      </c>
      <c r="W9" s="13" t="str">
        <f>CHOOSE(1+MOD($O$3+6-2,7),"Mon","Tue","Wed","Thu","Fri","Sat","Sun")</f>
        <v>Sat</v>
      </c>
      <c r="X9" s="27" t="str">
        <f>CHOOSE(1+MOD($O$3+7-2,7),"Mon","Tue","Wed","Thu","Fri","Sat","Sun")</f>
        <v>Sun</v>
      </c>
    </row>
    <row r="10" spans="1:25" s="75" customFormat="1" ht="45.95" customHeight="1" x14ac:dyDescent="0.3">
      <c r="A10" s="4"/>
      <c r="B10" s="28" t="str">
        <f>IF(WEEKDAY(B8,2)=$O$3,B8,"")</f>
        <v/>
      </c>
      <c r="C10" s="3" t="str">
        <f>IF(B10="",IF(WEEKDAY(B8,1)=MOD($O$3+1,7)+1,B8,""),B10+1)</f>
        <v/>
      </c>
      <c r="D10" s="3" t="str">
        <f>IF(C10="",IF(WEEKDAY(B8,1)=MOD($O$3+2,7)+1,B8,""),C10+1)</f>
        <v/>
      </c>
      <c r="E10" s="3" t="str">
        <f>IF(D10="",IF(WEEKDAY(B8,1)=MOD($O$3+3,7)+1,B8,""),D10+1)</f>
        <v/>
      </c>
      <c r="F10" s="3" t="str">
        <f>IF(E10="",IF(WEEKDAY(B8,1)=MOD($O$3+4,7)+1,B8,""),E10+1)</f>
        <v/>
      </c>
      <c r="G10" s="17" t="str">
        <f>IF(F10="",IF(WEEKDAY(B8,1)=MOD($O$3+5,7)+1,B8,""),F10+1)</f>
        <v/>
      </c>
      <c r="H10" s="29">
        <f>IF(G10="",IF(WEEKDAY(B8,1)=MOD($O$3+6,7)+1,B8,""),G10+1)</f>
        <v>42736</v>
      </c>
      <c r="I10" s="16"/>
      <c r="J10" s="28" t="str">
        <f>IF(WEEKDAY(J8,2)=$O$3,J8,"")</f>
        <v/>
      </c>
      <c r="K10" s="3" t="str">
        <f>IF(J10="",IF(WEEKDAY(J8,1)=MOD($O$3+1,7)+1,J8,""),J10+1)</f>
        <v/>
      </c>
      <c r="L10" s="54">
        <f>IF(K10="",IF(WEEKDAY(J8,1)=MOD($O$3+2,7)+1,J8,""),K10+1)</f>
        <v>42767</v>
      </c>
      <c r="M10" s="54">
        <f>IF(L10="",IF(WEEKDAY(J8,1)=MOD($O$3+3,7)+1,J8,""),L10+1)</f>
        <v>42768</v>
      </c>
      <c r="N10" s="54">
        <f>IF(M10="",IF(WEEKDAY(J8,1)=MOD($O$3+4,7)+1,J8,""),M10+1)</f>
        <v>42769</v>
      </c>
      <c r="O10" s="55">
        <f>IF(N10="",IF(WEEKDAY(J8,1)=MOD($O$3+5,7)+1,J8,""),N10+1)</f>
        <v>42770</v>
      </c>
      <c r="P10" s="56">
        <f>IF(O10="",IF(WEEKDAY(J8,1)=MOD($O$3+6,7)+1,J8,""),O10+1)</f>
        <v>42771</v>
      </c>
      <c r="Q10" s="16"/>
      <c r="R10" s="153" t="str">
        <f>IF(WEEKDAY(R8,2)=$O$3,R8,"")</f>
        <v/>
      </c>
      <c r="S10" s="154" t="str">
        <f>IF(R10="",IF(WEEKDAY(R8,1)=MOD($O$3+1,7)+1,R8,""),R10+1)</f>
        <v/>
      </c>
      <c r="T10" s="154">
        <f>IF(S10="",IF(WEEKDAY(R8,1)=MOD($O$3+2,7)+1,R8,""),S10+1)</f>
        <v>42795</v>
      </c>
      <c r="U10" s="154">
        <f>IF(T10="",IF(WEEKDAY(R8,1)=MOD($O$3+3,7)+1,R8,""),T10+1)</f>
        <v>42796</v>
      </c>
      <c r="V10" s="154">
        <f>IF(U10="",IF(WEEKDAY(R8,1)=MOD($O$3+4,7)+1,R8,""),U10+1)</f>
        <v>42797</v>
      </c>
      <c r="W10" s="155">
        <f>IF(V10="",IF(WEEKDAY(R8,1)=MOD($O$3+5,7)+1,R8,""),V10+1)</f>
        <v>42798</v>
      </c>
      <c r="X10" s="156">
        <f>IF(W10="",IF(WEEKDAY(R8,1)=MOD($O$3+6,7)+1,R8,""),W10+1)</f>
        <v>42799</v>
      </c>
    </row>
    <row r="11" spans="1:25" s="76" customFormat="1" ht="45.95" customHeight="1" x14ac:dyDescent="0.2">
      <c r="A11" s="18"/>
      <c r="B11" s="30" t="str">
        <f>IF(B10="","",IF(ngay(TEXT(B10,"d"),TEXT(B10,"m"),TEXT(B10,"yyyy"),7)=1,ngay(TEXT(B10,"d"),TEXT(B10,"m"),TEXT(B10,"yyyy"),7)&amp;"/"&amp;thang(TEXT(B10,"d"),TEXT(B10,"m"),TEXT(B10,"yyyy"),7),ngay(TEXT(B10,"d"),TEXT(B10,"m"),TEXT(B10,"yyyy"),7)))</f>
        <v/>
      </c>
      <c r="C11" s="19" t="str">
        <f>IF(C10="","",IF(ngay(TEXT(C10,"d"),TEXT(C10,"m"),TEXT(C10,"yyyy"),7)=1,ngay(TEXT(C10,"d"),TEXT(C10,"m"),TEXT(C10,"yyyy"),7)&amp;"/"&amp;thang(TEXT(C10,"d"),TEXT(C10,"m"),TEXT(C10,"yyyy"),7),ngay(TEXT(C10,"d"),TEXT(C10,"m"),TEXT(C10,"yyyy"),7)))</f>
        <v/>
      </c>
      <c r="D11" s="19" t="str">
        <f>IF(D10="","",IF(ngay(TEXT(D10,"d"),TEXT(D10,"m"),TEXT(D10,"yyyy"),7)=1,ngay(TEXT(D10,"d"),TEXT(D10,"m"),TEXT(D10,"yyyy"),7)&amp;"/"&amp;thang(TEXT(D10,"d"),TEXT(D10,"m"),TEXT(D10,"yyyy"),7),ngay(TEXT(D10,"d"),TEXT(D10,"m"),TEXT(D10,"yyyy"),7)))</f>
        <v/>
      </c>
      <c r="E11" s="19" t="str">
        <f>IF(E10="","",IF(ngay(TEXT(E10,"d"),TEXT(E10,"m"),TEXT(E10,"yyyy"),7)=1,ngay(TEXT(E10,"d"),TEXT(E10,"m"),TEXT(E10,"yyyy"),7)&amp;"/"&amp;thang(TEXT(E10,"d"),TEXT(E10,"m"),TEXT(E10,"yyyy"),7),ngay(TEXT(E10,"d"),TEXT(E10,"m"),TEXT(E10,"yyyy"),7)))</f>
        <v/>
      </c>
      <c r="F11" s="19" t="str">
        <f>IF(F10="","",IF(ngay(TEXT(F10,"d"),TEXT(F10,"m"),TEXT(F10,"yyyy"),7)=1,ngay(TEXT(F10,"d"),TEXT(F10,"m"),TEXT(F10,"yyyy"),7)&amp;"/"&amp;thang(TEXT(F10,"d"),TEXT(F10,"m"),TEXT(F10,"yyyy"),7),ngay(TEXT(F10,"d"),TEXT(F10,"m"),TEXT(F10,"yyyy"),7)))</f>
        <v/>
      </c>
      <c r="G11" s="19" t="str">
        <f>IF(G10="","",IF(ngay(TEXT(G10,"d"),TEXT(G10,"m"),TEXT(G10,"yyyy"),7)=1,ngay(TEXT(G10,"d"),TEXT(G10,"m"),TEXT(G10,"yyyy"),7)&amp;"/"&amp;thang(TEXT(G10,"d"),TEXT(G10,"m"),TEXT(G10,"yyyy"),7),ngay(TEXT(G10,"d"),TEXT(G10,"m"),TEXT(G10,"yyyy"),7)))</f>
        <v/>
      </c>
      <c r="H11" s="31">
        <f>IF(H10="","",IF(ngay(TEXT(H10,"d"),TEXT(H10,"m"),TEXT(H10,"yyyy"),7)=1,ngay(TEXT(H10,"d"),TEXT(H10,"m"),TEXT(H10,"yyyy"),7)&amp;"/"&amp;thang(TEXT(H10,"d"),TEXT(H10,"m"),TEXT(H10,"yyyy"),7),ngay(TEXT(H10,"d"),TEXT(H10,"m"),TEXT(H10,"yyyy"),7)))</f>
        <v>4</v>
      </c>
      <c r="I11" s="20"/>
      <c r="J11" s="30" t="str">
        <f>IF(J10="","",IF(ngay(TEXT(J10,"d"),TEXT(J10,"m"),TEXT(J10,"yyyy"),7)=1,ngay(TEXT(J10,"d"),TEXT(J10,"m"),TEXT(J10,"yyyy"),7)&amp;"/"&amp;thang(TEXT(J10,"d"),TEXT(J10,"m"),TEXT(J10,"yyyy"),7),ngay(TEXT(J10,"d"),TEXT(J10,"m"),TEXT(J10,"yyyy"),7)))</f>
        <v/>
      </c>
      <c r="K11" s="19" t="str">
        <f>IF(K10="","",IF(ngay(TEXT(K10,"d"),TEXT(K10,"m"),TEXT(K10,"yyyy"),7)=1,ngay(TEXT(K10,"d"),TEXT(K10,"m"),TEXT(K10,"yyyy"),7)&amp;"/"&amp;thang(TEXT(K10,"d"),TEXT(K10,"m"),TEXT(K10,"yyyy"),7),ngay(TEXT(K10,"d"),TEXT(K10,"m"),TEXT(K10,"yyyy"),7)))</f>
        <v/>
      </c>
      <c r="L11" s="58">
        <f>IF(L10="","",IF(ngay(TEXT(L10,"d"),TEXT(L10,"m"),TEXT(L10,"yyyy"),7)=1,ngay(TEXT(L10,"d"),TEXT(L10,"m"),TEXT(L10,"yyyy"),7)&amp;"/"&amp;thang(TEXT(L10,"d"),TEXT(L10,"m"),TEXT(L10,"yyyy"),7),ngay(TEXT(L10,"d"),TEXT(L10,"m"),TEXT(L10,"yyyy"),7)))</f>
        <v>5</v>
      </c>
      <c r="M11" s="58">
        <f>IF(M10="","",IF(ngay(TEXT(M10,"d"),TEXT(M10,"m"),TEXT(M10,"yyyy"),7)=1,ngay(TEXT(M10,"d"),TEXT(M10,"m"),TEXT(M10,"yyyy"),7)&amp;"/"&amp;thang(TEXT(M10,"d"),TEXT(M10,"m"),TEXT(M10,"yyyy"),7),ngay(TEXT(M10,"d"),TEXT(M10,"m"),TEXT(M10,"yyyy"),7)))</f>
        <v>6</v>
      </c>
      <c r="N11" s="58">
        <f>IF(N10="","",IF(ngay(TEXT(N10,"d"),TEXT(N10,"m"),TEXT(N10,"yyyy"),7)=1,ngay(TEXT(N10,"d"),TEXT(N10,"m"),TEXT(N10,"yyyy"),7)&amp;"/"&amp;thang(TEXT(N10,"d"),TEXT(N10,"m"),TEXT(N10,"yyyy"),7),ngay(TEXT(N10,"d"),TEXT(N10,"m"),TEXT(N10,"yyyy"),7)))</f>
        <v>7</v>
      </c>
      <c r="O11" s="58">
        <f>IF(O10="","",IF(ngay(TEXT(O10,"d"),TEXT(O10,"m"),TEXT(O10,"yyyy"),7)=1,ngay(TEXT(O10,"d"),TEXT(O10,"m"),TEXT(O10,"yyyy"),7)&amp;"/"&amp;thang(TEXT(O10,"d"),TEXT(O10,"m"),TEXT(O10,"yyyy"),7),ngay(TEXT(O10,"d"),TEXT(O10,"m"),TEXT(O10,"yyyy"),7)))</f>
        <v>8</v>
      </c>
      <c r="P11" s="59">
        <f>IF(P10="","",IF(ngay(TEXT(P10,"d"),TEXT(P10,"m"),TEXT(P10,"yyyy"),7)=1,ngay(TEXT(P10,"d"),TEXT(P10,"m"),TEXT(P10,"yyyy"),7)&amp;"/"&amp;thang(TEXT(P10,"d"),TEXT(P10,"m"),TEXT(P10,"yyyy"),7),ngay(TEXT(P10,"d"),TEXT(P10,"m"),TEXT(P10,"yyyy"),7)))</f>
        <v>9</v>
      </c>
      <c r="Q11" s="20"/>
      <c r="R11" s="150" t="str">
        <f>IF(R10="","",IF(ngay(TEXT(R10,"d"),TEXT(R10,"m"),TEXT(R10,"yyyy"),7)=1,ngay(TEXT(R10,"d"),TEXT(R10,"m"),TEXT(R10,"yyyy"),7)&amp;"/"&amp;thang(TEXT(R10,"d"),TEXT(R10,"m"),TEXT(R10,"yyyy"),7),ngay(TEXT(R10,"d"),TEXT(R10,"m"),TEXT(R10,"yyyy"),7)))</f>
        <v/>
      </c>
      <c r="S11" s="151" t="str">
        <f>IF(S10="","",IF(ngay(TEXT(S10,"d"),TEXT(S10,"m"),TEXT(S10,"yyyy"),7)=1,ngay(TEXT(S10,"d"),TEXT(S10,"m"),TEXT(S10,"yyyy"),7)&amp;"/"&amp;thang(TEXT(S10,"d"),TEXT(S10,"m"),TEXT(S10,"yyyy"),7),ngay(TEXT(S10,"d"),TEXT(S10,"m"),TEXT(S10,"yyyy"),7)))</f>
        <v/>
      </c>
      <c r="T11" s="151">
        <f>IF(T10="","",IF(ngay(TEXT(T10,"d"),TEXT(T10,"m"),TEXT(T10,"yyyy"),7)=1,ngay(TEXT(T10,"d"),TEXT(T10,"m"),TEXT(T10,"yyyy"),7)&amp;"/"&amp;thang(TEXT(T10,"d"),TEXT(T10,"m"),TEXT(T10,"yyyy"),7),ngay(TEXT(T10,"d"),TEXT(T10,"m"),TEXT(T10,"yyyy"),7)))</f>
        <v>4</v>
      </c>
      <c r="U11" s="151">
        <f>IF(U10="","",IF(ngay(TEXT(U10,"d"),TEXT(U10,"m"),TEXT(U10,"yyyy"),7)=1,ngay(TEXT(U10,"d"),TEXT(U10,"m"),TEXT(U10,"yyyy"),7)&amp;"/"&amp;thang(TEXT(U10,"d"),TEXT(U10,"m"),TEXT(U10,"yyyy"),7),ngay(TEXT(U10,"d"),TEXT(U10,"m"),TEXT(U10,"yyyy"),7)))</f>
        <v>5</v>
      </c>
      <c r="V11" s="151">
        <f>IF(V10="","",IF(ngay(TEXT(V10,"d"),TEXT(V10,"m"),TEXT(V10,"yyyy"),7)=1,ngay(TEXT(V10,"d"),TEXT(V10,"m"),TEXT(V10,"yyyy"),7)&amp;"/"&amp;thang(TEXT(V10,"d"),TEXT(V10,"m"),TEXT(V10,"yyyy"),7),ngay(TEXT(V10,"d"),TEXT(V10,"m"),TEXT(V10,"yyyy"),7)))</f>
        <v>6</v>
      </c>
      <c r="W11" s="151">
        <f>IF(W10="","",IF(ngay(TEXT(W10,"d"),TEXT(W10,"m"),TEXT(W10,"yyyy"),7)=1,ngay(TEXT(W10,"d"),TEXT(W10,"m"),TEXT(W10,"yyyy"),7)&amp;"/"&amp;thang(TEXT(W10,"d"),TEXT(W10,"m"),TEXT(W10,"yyyy"),7),ngay(TEXT(W10,"d"),TEXT(W10,"m"),TEXT(W10,"yyyy"),7)))</f>
        <v>7</v>
      </c>
      <c r="X11" s="152">
        <f>IF(X10="","",IF(ngay(TEXT(X10,"d"),TEXT(X10,"m"),TEXT(X10,"yyyy"),7)=1,ngay(TEXT(X10,"d"),TEXT(X10,"m"),TEXT(X10,"yyyy"),7)&amp;"/"&amp;thang(TEXT(X10,"d"),TEXT(X10,"m"),TEXT(X10,"yyyy"),7),ngay(TEXT(X10,"d"),TEXT(X10,"m"),TEXT(X10,"yyyy"),7)))</f>
        <v>8</v>
      </c>
    </row>
    <row r="12" spans="1:25" s="75" customFormat="1" ht="45.95" customHeight="1" x14ac:dyDescent="0.3">
      <c r="A12" s="4"/>
      <c r="B12" s="28">
        <f>IF(H10="","",IF(MONTH(H10+1)&lt;&gt;MONTH(H10),"",H10+1))</f>
        <v>42737</v>
      </c>
      <c r="C12" s="3">
        <f>IF(B12="","",IF(MONTH(B12+1)&lt;&gt;MONTH(B12),"",B12+1))</f>
        <v>42738</v>
      </c>
      <c r="D12" s="3">
        <f t="shared" ref="D12" si="0">IF(C12="","",IF(MONTH(C12+1)&lt;&gt;MONTH(C12),"",C12+1))</f>
        <v>42739</v>
      </c>
      <c r="E12" s="3">
        <f t="shared" ref="E12" si="1">IF(D12="","",IF(MONTH(D12+1)&lt;&gt;MONTH(D12),"",D12+1))</f>
        <v>42740</v>
      </c>
      <c r="F12" s="3">
        <f t="shared" ref="F12" si="2">IF(E12="","",IF(MONTH(E12+1)&lt;&gt;MONTH(E12),"",E12+1))</f>
        <v>42741</v>
      </c>
      <c r="G12" s="17">
        <f t="shared" ref="G12" si="3">IF(F12="","",IF(MONTH(F12+1)&lt;&gt;MONTH(F12),"",F12+1))</f>
        <v>42742</v>
      </c>
      <c r="H12" s="29">
        <f t="shared" ref="H12" si="4">IF(G12="","",IF(MONTH(G12+1)&lt;&gt;MONTH(G12),"",G12+1))</f>
        <v>42743</v>
      </c>
      <c r="I12" s="16"/>
      <c r="J12" s="65">
        <f>IF(P10="","",IF(MONTH(P10+1)&lt;&gt;MONTH(P10),"",P10+1))</f>
        <v>42772</v>
      </c>
      <c r="K12" s="66">
        <f>IF(J12="","",IF(MONTH(J12+1)&lt;&gt;MONTH(J12),"",J12+1))</f>
        <v>42773</v>
      </c>
      <c r="L12" s="66">
        <f t="shared" ref="L12:P12" si="5">IF(K12="","",IF(MONTH(K12+1)&lt;&gt;MONTH(K12),"",K12+1))</f>
        <v>42774</v>
      </c>
      <c r="M12" s="66">
        <f t="shared" si="5"/>
        <v>42775</v>
      </c>
      <c r="N12" s="66">
        <f t="shared" si="5"/>
        <v>42776</v>
      </c>
      <c r="O12" s="67">
        <f t="shared" si="5"/>
        <v>42777</v>
      </c>
      <c r="P12" s="68">
        <f t="shared" si="5"/>
        <v>42778</v>
      </c>
      <c r="Q12" s="16"/>
      <c r="R12" s="153">
        <f>IF(X10="","",IF(MONTH(X10+1)&lt;&gt;MONTH(X10),"",X10+1))</f>
        <v>42800</v>
      </c>
      <c r="S12" s="154">
        <f>IF(R12="","",IF(MONTH(R12+1)&lt;&gt;MONTH(R12),"",R12+1))</f>
        <v>42801</v>
      </c>
      <c r="T12" s="154">
        <f t="shared" ref="T12:X12" si="6">IF(S12="","",IF(MONTH(S12+1)&lt;&gt;MONTH(S12),"",S12+1))</f>
        <v>42802</v>
      </c>
      <c r="U12" s="154">
        <f t="shared" si="6"/>
        <v>42803</v>
      </c>
      <c r="V12" s="154">
        <f t="shared" si="6"/>
        <v>42804</v>
      </c>
      <c r="W12" s="155">
        <f t="shared" si="6"/>
        <v>42805</v>
      </c>
      <c r="X12" s="156">
        <f t="shared" si="6"/>
        <v>42806</v>
      </c>
    </row>
    <row r="13" spans="1:25" s="76" customFormat="1" ht="45.95" customHeight="1" x14ac:dyDescent="0.2">
      <c r="A13" s="18"/>
      <c r="B13" s="30">
        <f>IF(B12="","",IF(ngay(TEXT(B12,"d"),TEXT(B12,"m"),TEXT(B12,"yyyy"),7)=1,ngay(TEXT(B12,"d"),TEXT(B12,"m"),TEXT(B12,"yyyy"),7)&amp;"/"&amp;thang(TEXT(B12,"d"),TEXT(B12,"m"),TEXT(B12,"yyyy"),7),ngay(TEXT(B12,"d"),TEXT(B12,"m"),TEXT(B12,"yyyy"),7)))</f>
        <v>5</v>
      </c>
      <c r="C13" s="19">
        <f>IF(C12="","",IF(ngay(TEXT(C12,"d"),TEXT(C12,"m"),TEXT(C12,"yyyy"),7)=1,ngay(TEXT(C12,"d"),TEXT(C12,"m"),TEXT(C12,"yyyy"),7)&amp;"/"&amp;thang(TEXT(C12,"d"),TEXT(C12,"m"),TEXT(C12,"yyyy"),7),ngay(TEXT(C12,"d"),TEXT(C12,"m"),TEXT(C12,"yyyy"),7)))</f>
        <v>6</v>
      </c>
      <c r="D13" s="19">
        <f>IF(D12="","",IF(ngay(TEXT(D12,"d"),TEXT(D12,"m"),TEXT(D12,"yyyy"),7)=1,ngay(TEXT(D12,"d"),TEXT(D12,"m"),TEXT(D12,"yyyy"),7)&amp;"/"&amp;thang(TEXT(D12,"d"),TEXT(D12,"m"),TEXT(D12,"yyyy"),7),ngay(TEXT(D12,"d"),TEXT(D12,"m"),TEXT(D12,"yyyy"),7)))</f>
        <v>7</v>
      </c>
      <c r="E13" s="19">
        <f>IF(E12="","",IF(ngay(TEXT(E12,"d"),TEXT(E12,"m"),TEXT(E12,"yyyy"),7)=1,ngay(TEXT(E12,"d"),TEXT(E12,"m"),TEXT(E12,"yyyy"),7)&amp;"/"&amp;thang(TEXT(E12,"d"),TEXT(E12,"m"),TEXT(E12,"yyyy"),7),ngay(TEXT(E12,"d"),TEXT(E12,"m"),TEXT(E12,"yyyy"),7)))</f>
        <v>8</v>
      </c>
      <c r="F13" s="19">
        <f>IF(F12="","",IF(ngay(TEXT(F12,"d"),TEXT(F12,"m"),TEXT(F12,"yyyy"),7)=1,ngay(TEXT(F12,"d"),TEXT(F12,"m"),TEXT(F12,"yyyy"),7)&amp;"/"&amp;thang(TEXT(F12,"d"),TEXT(F12,"m"),TEXT(F12,"yyyy"),7),ngay(TEXT(F12,"d"),TEXT(F12,"m"),TEXT(F12,"yyyy"),7)))</f>
        <v>9</v>
      </c>
      <c r="G13" s="19">
        <f>IF(G12="","",IF(ngay(TEXT(G12,"d"),TEXT(G12,"m"),TEXT(G12,"yyyy"),7)=1,ngay(TEXT(G12,"d"),TEXT(G12,"m"),TEXT(G12,"yyyy"),7)&amp;"/"&amp;thang(TEXT(G12,"d"),TEXT(G12,"m"),TEXT(G12,"yyyy"),7),ngay(TEXT(G12,"d"),TEXT(G12,"m"),TEXT(G12,"yyyy"),7)))</f>
        <v>10</v>
      </c>
      <c r="H13" s="31">
        <f>IF(H12="","",IF(ngay(TEXT(H12,"d"),TEXT(H12,"m"),TEXT(H12,"yyyy"),7)=1,ngay(TEXT(H12,"d"),TEXT(H12,"m"),TEXT(H12,"yyyy"),7)&amp;"/"&amp;thang(TEXT(H12,"d"),TEXT(H12,"m"),TEXT(H12,"yyyy"),7),ngay(TEXT(H12,"d"),TEXT(H12,"m"),TEXT(H12,"yyyy"),7)))</f>
        <v>11</v>
      </c>
      <c r="I13" s="20"/>
      <c r="J13" s="64">
        <f>IF(J12="","",IF(ngay(TEXT(J12,"d"),TEXT(J12,"m"),TEXT(J12,"yyyy"),7)=1,ngay(TEXT(J12,"d"),TEXT(J12,"m"),TEXT(J12,"yyyy"),7)&amp;"/"&amp;thang(TEXT(J12,"d"),TEXT(J12,"m"),TEXT(J12,"yyyy"),7),ngay(TEXT(J12,"d"),TEXT(J12,"m"),TEXT(J12,"yyyy"),7)))</f>
        <v>10</v>
      </c>
      <c r="K13" s="69">
        <f>IF(K12="","",IF(ngay(TEXT(K12,"d"),TEXT(K12,"m"),TEXT(K12,"yyyy"),7)=1,ngay(TEXT(K12,"d"),TEXT(K12,"m"),TEXT(K12,"yyyy"),7)&amp;"/"&amp;thang(TEXT(K12,"d"),TEXT(K12,"m"),TEXT(K12,"yyyy"),7),ngay(TEXT(K12,"d"),TEXT(K12,"m"),TEXT(K12,"yyyy"),7)))</f>
        <v>11</v>
      </c>
      <c r="L13" s="69">
        <f>IF(L12="","",IF(ngay(TEXT(L12,"d"),TEXT(L12,"m"),TEXT(L12,"yyyy"),7)=1,ngay(TEXT(L12,"d"),TEXT(L12,"m"),TEXT(L12,"yyyy"),7)&amp;"/"&amp;thang(TEXT(L12,"d"),TEXT(L12,"m"),TEXT(L12,"yyyy"),7),ngay(TEXT(L12,"d"),TEXT(L12,"m"),TEXT(L12,"yyyy"),7)))</f>
        <v>12</v>
      </c>
      <c r="M13" s="69">
        <f>IF(M12="","",IF(ngay(TEXT(M12,"d"),TEXT(M12,"m"),TEXT(M12,"yyyy"),7)=1,ngay(TEXT(M12,"d"),TEXT(M12,"m"),TEXT(M12,"yyyy"),7)&amp;"/"&amp;thang(TEXT(M12,"d"),TEXT(M12,"m"),TEXT(M12,"yyyy"),7),ngay(TEXT(M12,"d"),TEXT(M12,"m"),TEXT(M12,"yyyy"),7)))</f>
        <v>13</v>
      </c>
      <c r="N13" s="69">
        <f>IF(N12="","",IF(ngay(TEXT(N12,"d"),TEXT(N12,"m"),TEXT(N12,"yyyy"),7)=1,ngay(TEXT(N12,"d"),TEXT(N12,"m"),TEXT(N12,"yyyy"),7)&amp;"/"&amp;thang(TEXT(N12,"d"),TEXT(N12,"m"),TEXT(N12,"yyyy"),7),ngay(TEXT(N12,"d"),TEXT(N12,"m"),TEXT(N12,"yyyy"),7)))</f>
        <v>14</v>
      </c>
      <c r="O13" s="69">
        <f>IF(O12="","",IF(ngay(TEXT(O12,"d"),TEXT(O12,"m"),TEXT(O12,"yyyy"),7)=1,ngay(TEXT(O12,"d"),TEXT(O12,"m"),TEXT(O12,"yyyy"),7)&amp;"/"&amp;thang(TEXT(O12,"d"),TEXT(O12,"m"),TEXT(O12,"yyyy"),7),ngay(TEXT(O12,"d"),TEXT(O12,"m"),TEXT(O12,"yyyy"),7)))</f>
        <v>15</v>
      </c>
      <c r="P13" s="70">
        <f>IF(P12="","",IF(ngay(TEXT(P12,"d"),TEXT(P12,"m"),TEXT(P12,"yyyy"),7)=1,ngay(TEXT(P12,"d"),TEXT(P12,"m"),TEXT(P12,"yyyy"),7)&amp;"/"&amp;thang(TEXT(P12,"d"),TEXT(P12,"m"),TEXT(P12,"yyyy"),7),ngay(TEXT(P12,"d"),TEXT(P12,"m"),TEXT(P12,"yyyy"),7)))</f>
        <v>16</v>
      </c>
      <c r="Q13" s="20"/>
      <c r="R13" s="150">
        <f>IF(R12="","",IF(ngay(TEXT(R12,"d"),TEXT(R12,"m"),TEXT(R12,"yyyy"),7)=1,ngay(TEXT(R12,"d"),TEXT(R12,"m"),TEXT(R12,"yyyy"),7)&amp;"/"&amp;thang(TEXT(R12,"d"),TEXT(R12,"m"),TEXT(R12,"yyyy"),7),ngay(TEXT(R12,"d"),TEXT(R12,"m"),TEXT(R12,"yyyy"),7)))</f>
        <v>9</v>
      </c>
      <c r="S13" s="151">
        <f>IF(S12="","",IF(ngay(TEXT(S12,"d"),TEXT(S12,"m"),TEXT(S12,"yyyy"),7)=1,ngay(TEXT(S12,"d"),TEXT(S12,"m"),TEXT(S12,"yyyy"),7)&amp;"/"&amp;thang(TEXT(S12,"d"),TEXT(S12,"m"),TEXT(S12,"yyyy"),7),ngay(TEXT(S12,"d"),TEXT(S12,"m"),TEXT(S12,"yyyy"),7)))</f>
        <v>10</v>
      </c>
      <c r="T13" s="151">
        <f>IF(T12="","",IF(ngay(TEXT(T12,"d"),TEXT(T12,"m"),TEXT(T12,"yyyy"),7)=1,ngay(TEXT(T12,"d"),TEXT(T12,"m"),TEXT(T12,"yyyy"),7)&amp;"/"&amp;thang(TEXT(T12,"d"),TEXT(T12,"m"),TEXT(T12,"yyyy"),7),ngay(TEXT(T12,"d"),TEXT(T12,"m"),TEXT(T12,"yyyy"),7)))</f>
        <v>11</v>
      </c>
      <c r="U13" s="151">
        <f>IF(U12="","",IF(ngay(TEXT(U12,"d"),TEXT(U12,"m"),TEXT(U12,"yyyy"),7)=1,ngay(TEXT(U12,"d"),TEXT(U12,"m"),TEXT(U12,"yyyy"),7)&amp;"/"&amp;thang(TEXT(U12,"d"),TEXT(U12,"m"),TEXT(U12,"yyyy"),7),ngay(TEXT(U12,"d"),TEXT(U12,"m"),TEXT(U12,"yyyy"),7)))</f>
        <v>12</v>
      </c>
      <c r="V13" s="151">
        <f>IF(V12="","",IF(ngay(TEXT(V12,"d"),TEXT(V12,"m"),TEXT(V12,"yyyy"),7)=1,ngay(TEXT(V12,"d"),TEXT(V12,"m"),TEXT(V12,"yyyy"),7)&amp;"/"&amp;thang(TEXT(V12,"d"),TEXT(V12,"m"),TEXT(V12,"yyyy"),7),ngay(TEXT(V12,"d"),TEXT(V12,"m"),TEXT(V12,"yyyy"),7)))</f>
        <v>13</v>
      </c>
      <c r="W13" s="151">
        <f>IF(W12="","",IF(ngay(TEXT(W12,"d"),TEXT(W12,"m"),TEXT(W12,"yyyy"),7)=1,ngay(TEXT(W12,"d"),TEXT(W12,"m"),TEXT(W12,"yyyy"),7)&amp;"/"&amp;thang(TEXT(W12,"d"),TEXT(W12,"m"),TEXT(W12,"yyyy"),7),ngay(TEXT(W12,"d"),TEXT(W12,"m"),TEXT(W12,"yyyy"),7)))</f>
        <v>14</v>
      </c>
      <c r="X13" s="152">
        <f>IF(X12="","",IF(ngay(TEXT(X12,"d"),TEXT(X12,"m"),TEXT(X12,"yyyy"),7)=1,ngay(TEXT(X12,"d"),TEXT(X12,"m"),TEXT(X12,"yyyy"),7)&amp;"/"&amp;thang(TEXT(X12,"d"),TEXT(X12,"m"),TEXT(X12,"yyyy"),7),ngay(TEXT(X12,"d"),TEXT(X12,"m"),TEXT(X12,"yyyy"),7)))</f>
        <v>15</v>
      </c>
    </row>
    <row r="14" spans="1:25" s="75" customFormat="1" ht="45.95" customHeight="1" x14ac:dyDescent="0.3">
      <c r="A14" s="4"/>
      <c r="B14" s="28">
        <f>IF(H12="","",IF(MONTH(H12+1)&lt;&gt;MONTH(H12),"",H12+1))</f>
        <v>42744</v>
      </c>
      <c r="C14" s="3">
        <f>IF(B14="","",IF(MONTH(B14+1)&lt;&gt;MONTH(B14),"",B14+1))</f>
        <v>42745</v>
      </c>
      <c r="D14" s="3">
        <f t="shared" ref="D14" si="7">IF(C14="","",IF(MONTH(C14+1)&lt;&gt;MONTH(C14),"",C14+1))</f>
        <v>42746</v>
      </c>
      <c r="E14" s="3">
        <f t="shared" ref="E14" si="8">IF(D14="","",IF(MONTH(D14+1)&lt;&gt;MONTH(D14),"",D14+1))</f>
        <v>42747</v>
      </c>
      <c r="F14" s="3">
        <f t="shared" ref="F14" si="9">IF(E14="","",IF(MONTH(E14+1)&lt;&gt;MONTH(E14),"",E14+1))</f>
        <v>42748</v>
      </c>
      <c r="G14" s="17">
        <f t="shared" ref="G14" si="10">IF(F14="","",IF(MONTH(F14+1)&lt;&gt;MONTH(F14),"",F14+1))</f>
        <v>42749</v>
      </c>
      <c r="H14" s="29">
        <f t="shared" ref="H14" si="11">IF(G14="","",IF(MONTH(G14+1)&lt;&gt;MONTH(G14),"",G14+1))</f>
        <v>42750</v>
      </c>
      <c r="I14" s="16"/>
      <c r="J14" s="65">
        <f>IF(P12="","",IF(MONTH(P12+1)&lt;&gt;MONTH(P12),"",P12+1))</f>
        <v>42779</v>
      </c>
      <c r="K14" s="66">
        <f>IF(J14="","",IF(MONTH(J14+1)&lt;&gt;MONTH(J14),"",J14+1))</f>
        <v>42780</v>
      </c>
      <c r="L14" s="66">
        <f t="shared" ref="L14:P14" si="12">IF(K14="","",IF(MONTH(K14+1)&lt;&gt;MONTH(K14),"",K14+1))</f>
        <v>42781</v>
      </c>
      <c r="M14" s="66">
        <f t="shared" si="12"/>
        <v>42782</v>
      </c>
      <c r="N14" s="66">
        <f t="shared" si="12"/>
        <v>42783</v>
      </c>
      <c r="O14" s="67">
        <f t="shared" si="12"/>
        <v>42784</v>
      </c>
      <c r="P14" s="68">
        <f t="shared" si="12"/>
        <v>42785</v>
      </c>
      <c r="Q14" s="16"/>
      <c r="R14" s="153">
        <f>IF(X12="","",IF(MONTH(X12+1)&lt;&gt;MONTH(X12),"",X12+1))</f>
        <v>42807</v>
      </c>
      <c r="S14" s="154">
        <f>IF(R14="","",IF(MONTH(R14+1)&lt;&gt;MONTH(R14),"",R14+1))</f>
        <v>42808</v>
      </c>
      <c r="T14" s="154">
        <f t="shared" ref="T14:X14" si="13">IF(S14="","",IF(MONTH(S14+1)&lt;&gt;MONTH(S14),"",S14+1))</f>
        <v>42809</v>
      </c>
      <c r="U14" s="154">
        <f t="shared" si="13"/>
        <v>42810</v>
      </c>
      <c r="V14" s="154">
        <f t="shared" si="13"/>
        <v>42811</v>
      </c>
      <c r="W14" s="155">
        <f t="shared" si="13"/>
        <v>42812</v>
      </c>
      <c r="X14" s="156">
        <f t="shared" si="13"/>
        <v>42813</v>
      </c>
    </row>
    <row r="15" spans="1:25" s="76" customFormat="1" ht="45.95" customHeight="1" x14ac:dyDescent="0.2">
      <c r="A15" s="18"/>
      <c r="B15" s="30">
        <f>IF(B14="","",IF(ngay(TEXT(B14,"d"),TEXT(B14,"m"),TEXT(B14,"yyyy"),7)=1,ngay(TEXT(B14,"d"),TEXT(B14,"m"),TEXT(B14,"yyyy"),7)&amp;"/"&amp;thang(TEXT(B14,"d"),TEXT(B14,"m"),TEXT(B14,"yyyy"),7),ngay(TEXT(B14,"d"),TEXT(B14,"m"),TEXT(B14,"yyyy"),7)))</f>
        <v>12</v>
      </c>
      <c r="C15" s="19">
        <f>IF(C14="","",IF(ngay(TEXT(C14,"d"),TEXT(C14,"m"),TEXT(C14,"yyyy"),7)=1,ngay(TEXT(C14,"d"),TEXT(C14,"m"),TEXT(C14,"yyyy"),7)&amp;"/"&amp;thang(TEXT(C14,"d"),TEXT(C14,"m"),TEXT(C14,"yyyy"),7),ngay(TEXT(C14,"d"),TEXT(C14,"m"),TEXT(C14,"yyyy"),7)))</f>
        <v>13</v>
      </c>
      <c r="D15" s="19">
        <f>IF(D14="","",IF(ngay(TEXT(D14,"d"),TEXT(D14,"m"),TEXT(D14,"yyyy"),7)=1,ngay(TEXT(D14,"d"),TEXT(D14,"m"),TEXT(D14,"yyyy"),7)&amp;"/"&amp;thang(TEXT(D14,"d"),TEXT(D14,"m"),TEXT(D14,"yyyy"),7),ngay(TEXT(D14,"d"),TEXT(D14,"m"),TEXT(D14,"yyyy"),7)))</f>
        <v>14</v>
      </c>
      <c r="E15" s="19">
        <f>IF(E14="","",IF(ngay(TEXT(E14,"d"),TEXT(E14,"m"),TEXT(E14,"yyyy"),7)=1,ngay(TEXT(E14,"d"),TEXT(E14,"m"),TEXT(E14,"yyyy"),7)&amp;"/"&amp;thang(TEXT(E14,"d"),TEXT(E14,"m"),TEXT(E14,"yyyy"),7),ngay(TEXT(E14,"d"),TEXT(E14,"m"),TEXT(E14,"yyyy"),7)))</f>
        <v>15</v>
      </c>
      <c r="F15" s="19">
        <f>IF(F14="","",IF(ngay(TEXT(F14,"d"),TEXT(F14,"m"),TEXT(F14,"yyyy"),7)=1,ngay(TEXT(F14,"d"),TEXT(F14,"m"),TEXT(F14,"yyyy"),7)&amp;"/"&amp;thang(TEXT(F14,"d"),TEXT(F14,"m"),TEXT(F14,"yyyy"),7),ngay(TEXT(F14,"d"),TEXT(F14,"m"),TEXT(F14,"yyyy"),7)))</f>
        <v>16</v>
      </c>
      <c r="G15" s="19">
        <f>IF(G14="","",IF(ngay(TEXT(G14,"d"),TEXT(G14,"m"),TEXT(G14,"yyyy"),7)=1,ngay(TEXT(G14,"d"),TEXT(G14,"m"),TEXT(G14,"yyyy"),7)&amp;"/"&amp;thang(TEXT(G14,"d"),TEXT(G14,"m"),TEXT(G14,"yyyy"),7),ngay(TEXT(G14,"d"),TEXT(G14,"m"),TEXT(G14,"yyyy"),7)))</f>
        <v>17</v>
      </c>
      <c r="H15" s="31">
        <f>IF(H14="","",IF(ngay(TEXT(H14,"d"),TEXT(H14,"m"),TEXT(H14,"yyyy"),7)=1,ngay(TEXT(H14,"d"),TEXT(H14,"m"),TEXT(H14,"yyyy"),7)&amp;"/"&amp;thang(TEXT(H14,"d"),TEXT(H14,"m"),TEXT(H14,"yyyy"),7),ngay(TEXT(H14,"d"),TEXT(H14,"m"),TEXT(H14,"yyyy"),7)))</f>
        <v>18</v>
      </c>
      <c r="I15" s="20"/>
      <c r="J15" s="64">
        <f>IF(J14="","",IF(ngay(TEXT(J14,"d"),TEXT(J14,"m"),TEXT(J14,"yyyy"),7)=1,ngay(TEXT(J14,"d"),TEXT(J14,"m"),TEXT(J14,"yyyy"),7)&amp;"/"&amp;thang(TEXT(J14,"d"),TEXT(J14,"m"),TEXT(J14,"yyyy"),7),ngay(TEXT(J14,"d"),TEXT(J14,"m"),TEXT(J14,"yyyy"),7)))</f>
        <v>17</v>
      </c>
      <c r="K15" s="69">
        <f>IF(K14="","",IF(ngay(TEXT(K14,"d"),TEXT(K14,"m"),TEXT(K14,"yyyy"),7)=1,ngay(TEXT(K14,"d"),TEXT(K14,"m"),TEXT(K14,"yyyy"),7)&amp;"/"&amp;thang(TEXT(K14,"d"),TEXT(K14,"m"),TEXT(K14,"yyyy"),7),ngay(TEXT(K14,"d"),TEXT(K14,"m"),TEXT(K14,"yyyy"),7)))</f>
        <v>18</v>
      </c>
      <c r="L15" s="69">
        <f>IF(L14="","",IF(ngay(TEXT(L14,"d"),TEXT(L14,"m"),TEXT(L14,"yyyy"),7)=1,ngay(TEXT(L14,"d"),TEXT(L14,"m"),TEXT(L14,"yyyy"),7)&amp;"/"&amp;thang(TEXT(L14,"d"),TEXT(L14,"m"),TEXT(L14,"yyyy"),7),ngay(TEXT(L14,"d"),TEXT(L14,"m"),TEXT(L14,"yyyy"),7)))</f>
        <v>19</v>
      </c>
      <c r="M15" s="69">
        <f>IF(M14="","",IF(ngay(TEXT(M14,"d"),TEXT(M14,"m"),TEXT(M14,"yyyy"),7)=1,ngay(TEXT(M14,"d"),TEXT(M14,"m"),TEXT(M14,"yyyy"),7)&amp;"/"&amp;thang(TEXT(M14,"d"),TEXT(M14,"m"),TEXT(M14,"yyyy"),7),ngay(TEXT(M14,"d"),TEXT(M14,"m"),TEXT(M14,"yyyy"),7)))</f>
        <v>20</v>
      </c>
      <c r="N15" s="69">
        <f>IF(N14="","",IF(ngay(TEXT(N14,"d"),TEXT(N14,"m"),TEXT(N14,"yyyy"),7)=1,ngay(TEXT(N14,"d"),TEXT(N14,"m"),TEXT(N14,"yyyy"),7)&amp;"/"&amp;thang(TEXT(N14,"d"),TEXT(N14,"m"),TEXT(N14,"yyyy"),7),ngay(TEXT(N14,"d"),TEXT(N14,"m"),TEXT(N14,"yyyy"),7)))</f>
        <v>21</v>
      </c>
      <c r="O15" s="69">
        <f>IF(O14="","",IF(ngay(TEXT(O14,"d"),TEXT(O14,"m"),TEXT(O14,"yyyy"),7)=1,ngay(TEXT(O14,"d"),TEXT(O14,"m"),TEXT(O14,"yyyy"),7)&amp;"/"&amp;thang(TEXT(O14,"d"),TEXT(O14,"m"),TEXT(O14,"yyyy"),7),ngay(TEXT(O14,"d"),TEXT(O14,"m"),TEXT(O14,"yyyy"),7)))</f>
        <v>22</v>
      </c>
      <c r="P15" s="70">
        <f>IF(P14="","",IF(ngay(TEXT(P14,"d"),TEXT(P14,"m"),TEXT(P14,"yyyy"),7)=1,ngay(TEXT(P14,"d"),TEXT(P14,"m"),TEXT(P14,"yyyy"),7)&amp;"/"&amp;thang(TEXT(P14,"d"),TEXT(P14,"m"),TEXT(P14,"yyyy"),7),ngay(TEXT(P14,"d"),TEXT(P14,"m"),TEXT(P14,"yyyy"),7)))</f>
        <v>23</v>
      </c>
      <c r="Q15" s="20"/>
      <c r="R15" s="150">
        <f>IF(R14="","",IF(ngay(TEXT(R14,"d"),TEXT(R14,"m"),TEXT(R14,"yyyy"),7)=1,ngay(TEXT(R14,"d"),TEXT(R14,"m"),TEXT(R14,"yyyy"),7)&amp;"/"&amp;thang(TEXT(R14,"d"),TEXT(R14,"m"),TEXT(R14,"yyyy"),7),ngay(TEXT(R14,"d"),TEXT(R14,"m"),TEXT(R14,"yyyy"),7)))</f>
        <v>16</v>
      </c>
      <c r="S15" s="151">
        <f>IF(S14="","",IF(ngay(TEXT(S14,"d"),TEXT(S14,"m"),TEXT(S14,"yyyy"),7)=1,ngay(TEXT(S14,"d"),TEXT(S14,"m"),TEXT(S14,"yyyy"),7)&amp;"/"&amp;thang(TEXT(S14,"d"),TEXT(S14,"m"),TEXT(S14,"yyyy"),7),ngay(TEXT(S14,"d"),TEXT(S14,"m"),TEXT(S14,"yyyy"),7)))</f>
        <v>17</v>
      </c>
      <c r="T15" s="151">
        <f>IF(T14="","",IF(ngay(TEXT(T14,"d"),TEXT(T14,"m"),TEXT(T14,"yyyy"),7)=1,ngay(TEXT(T14,"d"),TEXT(T14,"m"),TEXT(T14,"yyyy"),7)&amp;"/"&amp;thang(TEXT(T14,"d"),TEXT(T14,"m"),TEXT(T14,"yyyy"),7),ngay(TEXT(T14,"d"),TEXT(T14,"m"),TEXT(T14,"yyyy"),7)))</f>
        <v>18</v>
      </c>
      <c r="U15" s="151">
        <f>IF(U14="","",IF(ngay(TEXT(U14,"d"),TEXT(U14,"m"),TEXT(U14,"yyyy"),7)=1,ngay(TEXT(U14,"d"),TEXT(U14,"m"),TEXT(U14,"yyyy"),7)&amp;"/"&amp;thang(TEXT(U14,"d"),TEXT(U14,"m"),TEXT(U14,"yyyy"),7),ngay(TEXT(U14,"d"),TEXT(U14,"m"),TEXT(U14,"yyyy"),7)))</f>
        <v>19</v>
      </c>
      <c r="V15" s="151">
        <f>IF(V14="","",IF(ngay(TEXT(V14,"d"),TEXT(V14,"m"),TEXT(V14,"yyyy"),7)=1,ngay(TEXT(V14,"d"),TEXT(V14,"m"),TEXT(V14,"yyyy"),7)&amp;"/"&amp;thang(TEXT(V14,"d"),TEXT(V14,"m"),TEXT(V14,"yyyy"),7),ngay(TEXT(V14,"d"),TEXT(V14,"m"),TEXT(V14,"yyyy"),7)))</f>
        <v>20</v>
      </c>
      <c r="W15" s="151">
        <f>IF(W14="","",IF(ngay(TEXT(W14,"d"),TEXT(W14,"m"),TEXT(W14,"yyyy"),7)=1,ngay(TEXT(W14,"d"),TEXT(W14,"m"),TEXT(W14,"yyyy"),7)&amp;"/"&amp;thang(TEXT(W14,"d"),TEXT(W14,"m"),TEXT(W14,"yyyy"),7),ngay(TEXT(W14,"d"),TEXT(W14,"m"),TEXT(W14,"yyyy"),7)))</f>
        <v>21</v>
      </c>
      <c r="X15" s="152">
        <f>IF(X14="","",IF(ngay(TEXT(X14,"d"),TEXT(X14,"m"),TEXT(X14,"yyyy"),7)=1,ngay(TEXT(X14,"d"),TEXT(X14,"m"),TEXT(X14,"yyyy"),7)&amp;"/"&amp;thang(TEXT(X14,"d"),TEXT(X14,"m"),TEXT(X14,"yyyy"),7),ngay(TEXT(X14,"d"),TEXT(X14,"m"),TEXT(X14,"yyyy"),7)))</f>
        <v>22</v>
      </c>
    </row>
    <row r="16" spans="1:25" s="75" customFormat="1" ht="45.95" customHeight="1" x14ac:dyDescent="0.3">
      <c r="A16" s="4"/>
      <c r="B16" s="53">
        <f>IF(H14="","",IF(MONTH(H14+1)&lt;&gt;MONTH(H14),"",H14+1))</f>
        <v>42751</v>
      </c>
      <c r="C16" s="54">
        <f>IF(B16="","",IF(MONTH(B16+1)&lt;&gt;MONTH(B16),"",B16+1))</f>
        <v>42752</v>
      </c>
      <c r="D16" s="54">
        <f t="shared" ref="D16" si="14">IF(C16="","",IF(MONTH(C16+1)&lt;&gt;MONTH(C16),"",C16+1))</f>
        <v>42753</v>
      </c>
      <c r="E16" s="54">
        <f t="shared" ref="E16" si="15">IF(D16="","",IF(MONTH(D16+1)&lt;&gt;MONTH(D16),"",D16+1))</f>
        <v>42754</v>
      </c>
      <c r="F16" s="54">
        <f t="shared" ref="F16" si="16">IF(E16="","",IF(MONTH(E16+1)&lt;&gt;MONTH(E16),"",E16+1))</f>
        <v>42755</v>
      </c>
      <c r="G16" s="55">
        <f t="shared" ref="G16" si="17">IF(F16="","",IF(MONTH(F16+1)&lt;&gt;MONTH(F16),"",F16+1))</f>
        <v>42756</v>
      </c>
      <c r="H16" s="56">
        <f t="shared" ref="H16" si="18">IF(G16="","",IF(MONTH(G16+1)&lt;&gt;MONTH(G16),"",G16+1))</f>
        <v>42757</v>
      </c>
      <c r="I16" s="16"/>
      <c r="J16" s="65">
        <f>IF(P14="","",IF(MONTH(P14+1)&lt;&gt;MONTH(P14),"",P14+1))</f>
        <v>42786</v>
      </c>
      <c r="K16" s="66">
        <f>IF(J16="","",IF(MONTH(J16+1)&lt;&gt;MONTH(J16),"",J16+1))</f>
        <v>42787</v>
      </c>
      <c r="L16" s="66">
        <f t="shared" ref="L16:P16" si="19">IF(K16="","",IF(MONTH(K16+1)&lt;&gt;MONTH(K16),"",K16+1))</f>
        <v>42788</v>
      </c>
      <c r="M16" s="66">
        <f t="shared" si="19"/>
        <v>42789</v>
      </c>
      <c r="N16" s="66">
        <f t="shared" si="19"/>
        <v>42790</v>
      </c>
      <c r="O16" s="67">
        <f t="shared" si="19"/>
        <v>42791</v>
      </c>
      <c r="P16" s="68">
        <f t="shared" si="19"/>
        <v>42792</v>
      </c>
      <c r="Q16" s="16"/>
      <c r="R16" s="153">
        <f>IF(X14="","",IF(MONTH(X14+1)&lt;&gt;MONTH(X14),"",X14+1))</f>
        <v>42814</v>
      </c>
      <c r="S16" s="154">
        <f>IF(R16="","",IF(MONTH(R16+1)&lt;&gt;MONTH(R16),"",R16+1))</f>
        <v>42815</v>
      </c>
      <c r="T16" s="154">
        <f t="shared" ref="T16:X16" si="20">IF(S16="","",IF(MONTH(S16+1)&lt;&gt;MONTH(S16),"",S16+1))</f>
        <v>42816</v>
      </c>
      <c r="U16" s="154">
        <f t="shared" si="20"/>
        <v>42817</v>
      </c>
      <c r="V16" s="154">
        <f t="shared" si="20"/>
        <v>42818</v>
      </c>
      <c r="W16" s="155">
        <f t="shared" si="20"/>
        <v>42819</v>
      </c>
      <c r="X16" s="156">
        <f t="shared" si="20"/>
        <v>42820</v>
      </c>
    </row>
    <row r="17" spans="1:25" s="76" customFormat="1" ht="45.95" customHeight="1" x14ac:dyDescent="0.2">
      <c r="A17" s="18"/>
      <c r="B17" s="57">
        <f>IF(B16="","",IF(ngay(TEXT(B16,"d"),TEXT(B16,"m"),TEXT(B16,"yyyy"),7)=1,ngay(TEXT(B16,"d"),TEXT(B16,"m"),TEXT(B16,"yyyy"),7)&amp;"/"&amp;thang(TEXT(B16,"d"),TEXT(B16,"m"),TEXT(B16,"yyyy"),7),ngay(TEXT(B16,"d"),TEXT(B16,"m"),TEXT(B16,"yyyy"),7)))</f>
        <v>19</v>
      </c>
      <c r="C17" s="58">
        <f>IF(C16="","",IF(ngay(TEXT(C16,"d"),TEXT(C16,"m"),TEXT(C16,"yyyy"),7)=1,ngay(TEXT(C16,"d"),TEXT(C16,"m"),TEXT(C16,"yyyy"),7)&amp;"/"&amp;thang(TEXT(C16,"d"),TEXT(C16,"m"),TEXT(C16,"yyyy"),7),ngay(TEXT(C16,"d"),TEXT(C16,"m"),TEXT(C16,"yyyy"),7)))</f>
        <v>20</v>
      </c>
      <c r="D17" s="58">
        <f>IF(D16="","",IF(ngay(TEXT(D16,"d"),TEXT(D16,"m"),TEXT(D16,"yyyy"),7)=1,ngay(TEXT(D16,"d"),TEXT(D16,"m"),TEXT(D16,"yyyy"),7)&amp;"/"&amp;thang(TEXT(D16,"d"),TEXT(D16,"m"),TEXT(D16,"yyyy"),7),ngay(TEXT(D16,"d"),TEXT(D16,"m"),TEXT(D16,"yyyy"),7)))</f>
        <v>21</v>
      </c>
      <c r="E17" s="58">
        <f>IF(E16="","",IF(ngay(TEXT(E16,"d"),TEXT(E16,"m"),TEXT(E16,"yyyy"),7)=1,ngay(TEXT(E16,"d"),TEXT(E16,"m"),TEXT(E16,"yyyy"),7)&amp;"/"&amp;thang(TEXT(E16,"d"),TEXT(E16,"m"),TEXT(E16,"yyyy"),7),ngay(TEXT(E16,"d"),TEXT(E16,"m"),TEXT(E16,"yyyy"),7)))</f>
        <v>22</v>
      </c>
      <c r="F17" s="58">
        <f>IF(F16="","",IF(ngay(TEXT(F16,"d"),TEXT(F16,"m"),TEXT(F16,"yyyy"),7)=1,ngay(TEXT(F16,"d"),TEXT(F16,"m"),TEXT(F16,"yyyy"),7)&amp;"/"&amp;thang(TEXT(F16,"d"),TEXT(F16,"m"),TEXT(F16,"yyyy"),7),ngay(TEXT(F16,"d"),TEXT(F16,"m"),TEXT(F16,"yyyy"),7)))</f>
        <v>23</v>
      </c>
      <c r="G17" s="58">
        <f>IF(G16="","",IF(ngay(TEXT(G16,"d"),TEXT(G16,"m"),TEXT(G16,"yyyy"),7)=1,ngay(TEXT(G16,"d"),TEXT(G16,"m"),TEXT(G16,"yyyy"),7)&amp;"/"&amp;thang(TEXT(G16,"d"),TEXT(G16,"m"),TEXT(G16,"yyyy"),7),ngay(TEXT(G16,"d"),TEXT(G16,"m"),TEXT(G16,"yyyy"),7)))</f>
        <v>24</v>
      </c>
      <c r="H17" s="59">
        <f>IF(H16="","",IF(ngay(TEXT(H16,"d"),TEXT(H16,"m"),TEXT(H16,"yyyy"),7)=1,ngay(TEXT(H16,"d"),TEXT(H16,"m"),TEXT(H16,"yyyy"),7)&amp;"/"&amp;thang(TEXT(H16,"d"),TEXT(H16,"m"),TEXT(H16,"yyyy"),7),ngay(TEXT(H16,"d"),TEXT(H16,"m"),TEXT(H16,"yyyy"),7)))</f>
        <v>25</v>
      </c>
      <c r="I17" s="20"/>
      <c r="J17" s="64">
        <f>IF(J16="","",IF(ngay(TEXT(J16,"d"),TEXT(J16,"m"),TEXT(J16,"yyyy"),7)=1,ngay(TEXT(J16,"d"),TEXT(J16,"m"),TEXT(J16,"yyyy"),7)&amp;"/"&amp;thang(TEXT(J16,"d"),TEXT(J16,"m"),TEXT(J16,"yyyy"),7),ngay(TEXT(J16,"d"),TEXT(J16,"m"),TEXT(J16,"yyyy"),7)))</f>
        <v>24</v>
      </c>
      <c r="K17" s="69">
        <f>IF(K16="","",IF(ngay(TEXT(K16,"d"),TEXT(K16,"m"),TEXT(K16,"yyyy"),7)=1,ngay(TEXT(K16,"d"),TEXT(K16,"m"),TEXT(K16,"yyyy"),7)&amp;"/"&amp;thang(TEXT(K16,"d"),TEXT(K16,"m"),TEXT(K16,"yyyy"),7),ngay(TEXT(K16,"d"),TEXT(K16,"m"),TEXT(K16,"yyyy"),7)))</f>
        <v>25</v>
      </c>
      <c r="L17" s="69">
        <f>IF(L16="","",IF(ngay(TEXT(L16,"d"),TEXT(L16,"m"),TEXT(L16,"yyyy"),7)=1,ngay(TEXT(L16,"d"),TEXT(L16,"m"),TEXT(L16,"yyyy"),7)&amp;"/"&amp;thang(TEXT(L16,"d"),TEXT(L16,"m"),TEXT(L16,"yyyy"),7),ngay(TEXT(L16,"d"),TEXT(L16,"m"),TEXT(L16,"yyyy"),7)))</f>
        <v>26</v>
      </c>
      <c r="M17" s="69">
        <f>IF(M16="","",IF(ngay(TEXT(M16,"d"),TEXT(M16,"m"),TEXT(M16,"yyyy"),7)=1,ngay(TEXT(M16,"d"),TEXT(M16,"m"),TEXT(M16,"yyyy"),7)&amp;"/"&amp;thang(TEXT(M16,"d"),TEXT(M16,"m"),TEXT(M16,"yyyy"),7),ngay(TEXT(M16,"d"),TEXT(M16,"m"),TEXT(M16,"yyyy"),7)))</f>
        <v>27</v>
      </c>
      <c r="N17" s="69">
        <f>IF(N16="","",IF(ngay(TEXT(N16,"d"),TEXT(N16,"m"),TEXT(N16,"yyyy"),7)=1,ngay(TEXT(N16,"d"),TEXT(N16,"m"),TEXT(N16,"yyyy"),7)&amp;"/"&amp;thang(TEXT(N16,"d"),TEXT(N16,"m"),TEXT(N16,"yyyy"),7),ngay(TEXT(N16,"d"),TEXT(N16,"m"),TEXT(N16,"yyyy"),7)))</f>
        <v>28</v>
      </c>
      <c r="O17" s="69">
        <f>IF(O16="","",IF(ngay(TEXT(O16,"d"),TEXT(O16,"m"),TEXT(O16,"yyyy"),7)=1,ngay(TEXT(O16,"d"),TEXT(O16,"m"),TEXT(O16,"yyyy"),7)&amp;"/"&amp;thang(TEXT(O16,"d"),TEXT(O16,"m"),TEXT(O16,"yyyy"),7),ngay(TEXT(O16,"d"),TEXT(O16,"m"),TEXT(O16,"yyyy"),7)))</f>
        <v>29</v>
      </c>
      <c r="P17" s="70" t="str">
        <f>IF(P16="","",IF(ngay(TEXT(P16,"d"),TEXT(P16,"m"),TEXT(P16,"yyyy"),7)=1,ngay(TEXT(P16,"d"),TEXT(P16,"m"),TEXT(P16,"yyyy"),7)&amp;"/"&amp;thang(TEXT(P16,"d"),TEXT(P16,"m"),TEXT(P16,"yyyy"),7),ngay(TEXT(P16,"d"),TEXT(P16,"m"),TEXT(P16,"yyyy"),7)))</f>
        <v>1/2</v>
      </c>
      <c r="Q17" s="20"/>
      <c r="R17" s="150">
        <f>IF(R16="","",IF(ngay(TEXT(R16,"d"),TEXT(R16,"m"),TEXT(R16,"yyyy"),7)=1,ngay(TEXT(R16,"d"),TEXT(R16,"m"),TEXT(R16,"yyyy"),7)&amp;"/"&amp;thang(TEXT(R16,"d"),TEXT(R16,"m"),TEXT(R16,"yyyy"),7),ngay(TEXT(R16,"d"),TEXT(R16,"m"),TEXT(R16,"yyyy"),7)))</f>
        <v>23</v>
      </c>
      <c r="S17" s="151">
        <f>IF(S16="","",IF(ngay(TEXT(S16,"d"),TEXT(S16,"m"),TEXT(S16,"yyyy"),7)=1,ngay(TEXT(S16,"d"),TEXT(S16,"m"),TEXT(S16,"yyyy"),7)&amp;"/"&amp;thang(TEXT(S16,"d"),TEXT(S16,"m"),TEXT(S16,"yyyy"),7),ngay(TEXT(S16,"d"),TEXT(S16,"m"),TEXT(S16,"yyyy"),7)))</f>
        <v>24</v>
      </c>
      <c r="T17" s="151">
        <f>IF(T16="","",IF(ngay(TEXT(T16,"d"),TEXT(T16,"m"),TEXT(T16,"yyyy"),7)=1,ngay(TEXT(T16,"d"),TEXT(T16,"m"),TEXT(T16,"yyyy"),7)&amp;"/"&amp;thang(TEXT(T16,"d"),TEXT(T16,"m"),TEXT(T16,"yyyy"),7),ngay(TEXT(T16,"d"),TEXT(T16,"m"),TEXT(T16,"yyyy"),7)))</f>
        <v>25</v>
      </c>
      <c r="U17" s="151">
        <f>IF(U16="","",IF(ngay(TEXT(U16,"d"),TEXT(U16,"m"),TEXT(U16,"yyyy"),7)=1,ngay(TEXT(U16,"d"),TEXT(U16,"m"),TEXT(U16,"yyyy"),7)&amp;"/"&amp;thang(TEXT(U16,"d"),TEXT(U16,"m"),TEXT(U16,"yyyy"),7),ngay(TEXT(U16,"d"),TEXT(U16,"m"),TEXT(U16,"yyyy"),7)))</f>
        <v>26</v>
      </c>
      <c r="V17" s="151">
        <f>IF(V16="","",IF(ngay(TEXT(V16,"d"),TEXT(V16,"m"),TEXT(V16,"yyyy"),7)=1,ngay(TEXT(V16,"d"),TEXT(V16,"m"),TEXT(V16,"yyyy"),7)&amp;"/"&amp;thang(TEXT(V16,"d"),TEXT(V16,"m"),TEXT(V16,"yyyy"),7),ngay(TEXT(V16,"d"),TEXT(V16,"m"),TEXT(V16,"yyyy"),7)))</f>
        <v>27</v>
      </c>
      <c r="W17" s="151">
        <f>IF(W16="","",IF(ngay(TEXT(W16,"d"),TEXT(W16,"m"),TEXT(W16,"yyyy"),7)=1,ngay(TEXT(W16,"d"),TEXT(W16,"m"),TEXT(W16,"yyyy"),7)&amp;"/"&amp;thang(TEXT(W16,"d"),TEXT(W16,"m"),TEXT(W16,"yyyy"),7),ngay(TEXT(W16,"d"),TEXT(W16,"m"),TEXT(W16,"yyyy"),7)))</f>
        <v>28</v>
      </c>
      <c r="X17" s="152">
        <f>IF(X16="","",IF(ngay(TEXT(X16,"d"),TEXT(X16,"m"),TEXT(X16,"yyyy"),7)=1,ngay(TEXT(X16,"d"),TEXT(X16,"m"),TEXT(X16,"yyyy"),7)&amp;"/"&amp;thang(TEXT(X16,"d"),TEXT(X16,"m"),TEXT(X16,"yyyy"),7),ngay(TEXT(X16,"d"),TEXT(X16,"m"),TEXT(X16,"yyyy"),7)))</f>
        <v>29</v>
      </c>
    </row>
    <row r="18" spans="1:25" s="4" customFormat="1" ht="45.95" customHeight="1" x14ac:dyDescent="0.3">
      <c r="B18" s="53">
        <f>IF(H16="","",IF(MONTH(H16+1)&lt;&gt;MONTH(H16),"",H16+1))</f>
        <v>42758</v>
      </c>
      <c r="C18" s="54">
        <f>IF(B18="","",IF(MONTH(B18+1)&lt;&gt;MONTH(B18),"",B18+1))</f>
        <v>42759</v>
      </c>
      <c r="D18" s="54">
        <f t="shared" ref="D18" si="21">IF(C18="","",IF(MONTH(C18+1)&lt;&gt;MONTH(C18),"",C18+1))</f>
        <v>42760</v>
      </c>
      <c r="E18" s="54">
        <f t="shared" ref="E18" si="22">IF(D18="","",IF(MONTH(D18+1)&lt;&gt;MONTH(D18),"",D18+1))</f>
        <v>42761</v>
      </c>
      <c r="F18" s="54">
        <f t="shared" ref="F18" si="23">IF(E18="","",IF(MONTH(E18+1)&lt;&gt;MONTH(E18),"",E18+1))</f>
        <v>42762</v>
      </c>
      <c r="G18" s="55">
        <f t="shared" ref="G18" si="24">IF(F18="","",IF(MONTH(F18+1)&lt;&gt;MONTH(F18),"",F18+1))</f>
        <v>42763</v>
      </c>
      <c r="H18" s="56">
        <f t="shared" ref="H18" si="25">IF(G18="","",IF(MONTH(G18+1)&lt;&gt;MONTH(G18),"",G18+1))</f>
        <v>42764</v>
      </c>
      <c r="I18" s="16"/>
      <c r="J18" s="153">
        <f>IF(P16="","",IF(MONTH(P16+1)&lt;&gt;MONTH(P16),"",P16+1))</f>
        <v>42793</v>
      </c>
      <c r="K18" s="154">
        <f>IF(J18="","",IF(MONTH(J18+1)&lt;&gt;MONTH(J18),"",J18+1))</f>
        <v>42794</v>
      </c>
      <c r="L18" s="3" t="str">
        <f t="shared" ref="L18:P18" si="26">IF(K18="","",IF(MONTH(K18+1)&lt;&gt;MONTH(K18),"",K18+1))</f>
        <v/>
      </c>
      <c r="M18" s="3" t="str">
        <f t="shared" si="26"/>
        <v/>
      </c>
      <c r="N18" s="3" t="str">
        <f t="shared" si="26"/>
        <v/>
      </c>
      <c r="O18" s="17" t="str">
        <f t="shared" si="26"/>
        <v/>
      </c>
      <c r="P18" s="29" t="str">
        <f t="shared" si="26"/>
        <v/>
      </c>
      <c r="Q18" s="16"/>
      <c r="R18" s="153">
        <f>IF(X16="","",IF(MONTH(X16+1)&lt;&gt;MONTH(X16),"",X16+1))</f>
        <v>42821</v>
      </c>
      <c r="S18" s="154">
        <f>IF(R18="","",IF(MONTH(R18+1)&lt;&gt;MONTH(R18),"",R18+1))</f>
        <v>42822</v>
      </c>
      <c r="T18" s="154">
        <f t="shared" ref="T18:X18" si="27">IF(S18="","",IF(MONTH(S18+1)&lt;&gt;MONTH(S18),"",S18+1))</f>
        <v>42823</v>
      </c>
      <c r="U18" s="154">
        <f t="shared" si="27"/>
        <v>42824</v>
      </c>
      <c r="V18" s="154">
        <f t="shared" si="27"/>
        <v>42825</v>
      </c>
      <c r="W18" s="155" t="str">
        <f t="shared" si="27"/>
        <v/>
      </c>
      <c r="X18" s="156" t="str">
        <f t="shared" si="27"/>
        <v/>
      </c>
    </row>
    <row r="19" spans="1:25" s="18" customFormat="1" ht="45.95" customHeight="1" x14ac:dyDescent="0.2">
      <c r="B19" s="57">
        <f>IF(B18="","",IF(ngay(TEXT(B18,"d"),TEXT(B18,"m"),TEXT(B18,"yyyy"),7)=1,ngay(TEXT(B18,"d"),TEXT(B18,"m"),TEXT(B18,"yyyy"),7)&amp;"/"&amp;thang(TEXT(B18,"d"),TEXT(B18,"m"),TEXT(B18,"yyyy"),7),ngay(TEXT(B18,"d"),TEXT(B18,"m"),TEXT(B18,"yyyy"),7)))</f>
        <v>26</v>
      </c>
      <c r="C19" s="58">
        <f>IF(C18="","",IF(ngay(TEXT(C18,"d"),TEXT(C18,"m"),TEXT(C18,"yyyy"),7)=1,ngay(TEXT(C18,"d"),TEXT(C18,"m"),TEXT(C18,"yyyy"),7)&amp;"/"&amp;thang(TEXT(C18,"d"),TEXT(C18,"m"),TEXT(C18,"yyyy"),7),ngay(TEXT(C18,"d"),TEXT(C18,"m"),TEXT(C18,"yyyy"),7)))</f>
        <v>27</v>
      </c>
      <c r="D19" s="58">
        <f>IF(D18="","",IF(ngay(TEXT(D18,"d"),TEXT(D18,"m"),TEXT(D18,"yyyy"),7)=1,ngay(TEXT(D18,"d"),TEXT(D18,"m"),TEXT(D18,"yyyy"),7)&amp;"/"&amp;thang(TEXT(D18,"d"),TEXT(D18,"m"),TEXT(D18,"yyyy"),7),ngay(TEXT(D18,"d"),TEXT(D18,"m"),TEXT(D18,"yyyy"),7)))</f>
        <v>28</v>
      </c>
      <c r="E19" s="58">
        <f>IF(E18="","",IF(ngay(TEXT(E18,"d"),TEXT(E18,"m"),TEXT(E18,"yyyy"),7)=1,ngay(TEXT(E18,"d"),TEXT(E18,"m"),TEXT(E18,"yyyy"),7)&amp;"/"&amp;thang(TEXT(E18,"d"),TEXT(E18,"m"),TEXT(E18,"yyyy"),7),ngay(TEXT(E18,"d"),TEXT(E18,"m"),TEXT(E18,"yyyy"),7)))</f>
        <v>29</v>
      </c>
      <c r="F19" s="58">
        <f>IF(F18="","",IF(ngay(TEXT(F18,"d"),TEXT(F18,"m"),TEXT(F18,"yyyy"),7)=1,ngay(TEXT(F18,"d"),TEXT(F18,"m"),TEXT(F18,"yyyy"),7)&amp;"/"&amp;thang(TEXT(F18,"d"),TEXT(F18,"m"),TEXT(F18,"yyyy"),7),ngay(TEXT(F18,"d"),TEXT(F18,"m"),TEXT(F18,"yyyy"),7)))</f>
        <v>30</v>
      </c>
      <c r="G19" s="58" t="str">
        <f>IF(G18="","",IF(ngay(TEXT(G18,"d"),TEXT(G18,"m"),TEXT(G18,"yyyy"),7)=1,ngay(TEXT(G18,"d"),TEXT(G18,"m"),TEXT(G18,"yyyy"),7)&amp;"/"&amp;thang(TEXT(G18,"d"),TEXT(G18,"m"),TEXT(G18,"yyyy"),7),ngay(TEXT(G18,"d"),TEXT(G18,"m"),TEXT(G18,"yyyy"),7)))</f>
        <v>1/1</v>
      </c>
      <c r="H19" s="59">
        <f>IF(H18="","",IF(ngay(TEXT(H18,"d"),TEXT(H18,"m"),TEXT(H18,"yyyy"),7)=1,ngay(TEXT(H18,"d"),TEXT(H18,"m"),TEXT(H18,"yyyy"),7)&amp;"/"&amp;thang(TEXT(H18,"d"),TEXT(H18,"m"),TEXT(H18,"yyyy"),7),ngay(TEXT(H18,"d"),TEXT(H18,"m"),TEXT(H18,"yyyy"),7)))</f>
        <v>2</v>
      </c>
      <c r="I19" s="20"/>
      <c r="J19" s="150">
        <f>IF(J18="","",IF(ngay(TEXT(J18,"d"),TEXT(J18,"m"),TEXT(J18,"yyyy"),7)=1,ngay(TEXT(J18,"d"),TEXT(J18,"m"),TEXT(J18,"yyyy"),7)&amp;"/"&amp;thang(TEXT(J18,"d"),TEXT(J18,"m"),TEXT(J18,"yyyy"),7),ngay(TEXT(J18,"d"),TEXT(J18,"m"),TEXT(J18,"yyyy"),7)))</f>
        <v>2</v>
      </c>
      <c r="K19" s="151">
        <f>IF(K18="","",IF(ngay(TEXT(K18,"d"),TEXT(K18,"m"),TEXT(K18,"yyyy"),7)=1,ngay(TEXT(K18,"d"),TEXT(K18,"m"),TEXT(K18,"yyyy"),7)&amp;"/"&amp;thang(TEXT(K18,"d"),TEXT(K18,"m"),TEXT(K18,"yyyy"),7),ngay(TEXT(K18,"d"),TEXT(K18,"m"),TEXT(K18,"yyyy"),7)))</f>
        <v>3</v>
      </c>
      <c r="L19" s="19" t="str">
        <f>IF(L18="","",IF(ngay(TEXT(L18,"d"),TEXT(L18,"m"),TEXT(L18,"yyyy"),7)=1,ngay(TEXT(L18,"d"),TEXT(L18,"m"),TEXT(L18,"yyyy"),7)&amp;"/"&amp;thang(TEXT(L18,"d"),TEXT(L18,"m"),TEXT(L18,"yyyy"),7),ngay(TEXT(L18,"d"),TEXT(L18,"m"),TEXT(L18,"yyyy"),7)))</f>
        <v/>
      </c>
      <c r="M19" s="19" t="str">
        <f>IF(M18="","",IF(ngay(TEXT(M18,"d"),TEXT(M18,"m"),TEXT(M18,"yyyy"),7)=1,ngay(TEXT(M18,"d"),TEXT(M18,"m"),TEXT(M18,"yyyy"),7)&amp;"/"&amp;thang(TEXT(M18,"d"),TEXT(M18,"m"),TEXT(M18,"yyyy"),7),ngay(TEXT(M18,"d"),TEXT(M18,"m"),TEXT(M18,"yyyy"),7)))</f>
        <v/>
      </c>
      <c r="N19" s="19" t="str">
        <f>IF(N18="","",IF(ngay(TEXT(N18,"d"),TEXT(N18,"m"),TEXT(N18,"yyyy"),7)=1,ngay(TEXT(N18,"d"),TEXT(N18,"m"),TEXT(N18,"yyyy"),7)&amp;"/"&amp;thang(TEXT(N18,"d"),TEXT(N18,"m"),TEXT(N18,"yyyy"),7),ngay(TEXT(N18,"d"),TEXT(N18,"m"),TEXT(N18,"yyyy"),7)))</f>
        <v/>
      </c>
      <c r="O19" s="19" t="str">
        <f>IF(O18="","",IF(ngay(TEXT(O18,"d"),TEXT(O18,"m"),TEXT(O18,"yyyy"),7)=1,ngay(TEXT(O18,"d"),TEXT(O18,"m"),TEXT(O18,"yyyy"),7)&amp;"/"&amp;thang(TEXT(O18,"d"),TEXT(O18,"m"),TEXT(O18,"yyyy"),7),ngay(TEXT(O18,"d"),TEXT(O18,"m"),TEXT(O18,"yyyy"),7)))</f>
        <v/>
      </c>
      <c r="P19" s="31" t="str">
        <f>IF(P18="","",IF(ngay(TEXT(P18,"d"),TEXT(P18,"m"),TEXT(P18,"yyyy"),7)=1,ngay(TEXT(P18,"d"),TEXT(P18,"m"),TEXT(P18,"yyyy"),7)&amp;"/"&amp;thang(TEXT(P18,"d"),TEXT(P18,"m"),TEXT(P18,"yyyy"),7),ngay(TEXT(P18,"d"),TEXT(P18,"m"),TEXT(P18,"yyyy"),7)))</f>
        <v/>
      </c>
      <c r="Q19" s="20"/>
      <c r="R19" s="150">
        <f>IF(R18="","",IF(ngay(TEXT(R18,"d"),TEXT(R18,"m"),TEXT(R18,"yyyy"),7)=1,ngay(TEXT(R18,"d"),TEXT(R18,"m"),TEXT(R18,"yyyy"),7)&amp;"/"&amp;thang(TEXT(R18,"d"),TEXT(R18,"m"),TEXT(R18,"yyyy"),7),ngay(TEXT(R18,"d"),TEXT(R18,"m"),TEXT(R18,"yyyy"),7)))</f>
        <v>30</v>
      </c>
      <c r="S19" s="151" t="str">
        <f>IF(S18="","",IF(ngay(TEXT(S18,"d"),TEXT(S18,"m"),TEXT(S18,"yyyy"),7)=1,ngay(TEXT(S18,"d"),TEXT(S18,"m"),TEXT(S18,"yyyy"),7)&amp;"/"&amp;thang(TEXT(S18,"d"),TEXT(S18,"m"),TEXT(S18,"yyyy"),7),ngay(TEXT(S18,"d"),TEXT(S18,"m"),TEXT(S18,"yyyy"),7)))</f>
        <v>1/3</v>
      </c>
      <c r="T19" s="151">
        <f>IF(T18="","",IF(ngay(TEXT(T18,"d"),TEXT(T18,"m"),TEXT(T18,"yyyy"),7)=1,ngay(TEXT(T18,"d"),TEXT(T18,"m"),TEXT(T18,"yyyy"),7)&amp;"/"&amp;thang(TEXT(T18,"d"),TEXT(T18,"m"),TEXT(T18,"yyyy"),7),ngay(TEXT(T18,"d"),TEXT(T18,"m"),TEXT(T18,"yyyy"),7)))</f>
        <v>2</v>
      </c>
      <c r="U19" s="151">
        <f>IF(U18="","",IF(ngay(TEXT(U18,"d"),TEXT(U18,"m"),TEXT(U18,"yyyy"),7)=1,ngay(TEXT(U18,"d"),TEXT(U18,"m"),TEXT(U18,"yyyy"),7)&amp;"/"&amp;thang(TEXT(U18,"d"),TEXT(U18,"m"),TEXT(U18,"yyyy"),7),ngay(TEXT(U18,"d"),TEXT(U18,"m"),TEXT(U18,"yyyy"),7)))</f>
        <v>3</v>
      </c>
      <c r="V19" s="151">
        <f>IF(V18="","",IF(ngay(TEXT(V18,"d"),TEXT(V18,"m"),TEXT(V18,"yyyy"),7)=1,ngay(TEXT(V18,"d"),TEXT(V18,"m"),TEXT(V18,"yyyy"),7)&amp;"/"&amp;thang(TEXT(V18,"d"),TEXT(V18,"m"),TEXT(V18,"yyyy"),7),ngay(TEXT(V18,"d"),TEXT(V18,"m"),TEXT(V18,"yyyy"),7)))</f>
        <v>4</v>
      </c>
      <c r="W19" s="151" t="str">
        <f>IF(W18="","",IF(ngay(TEXT(W18,"d"),TEXT(W18,"m"),TEXT(W18,"yyyy"),7)=1,ngay(TEXT(W18,"d"),TEXT(W18,"m"),TEXT(W18,"yyyy"),7)&amp;"/"&amp;thang(TEXT(W18,"d"),TEXT(W18,"m"),TEXT(W18,"yyyy"),7),ngay(TEXT(W18,"d"),TEXT(W18,"m"),TEXT(W18,"yyyy"),7)))</f>
        <v/>
      </c>
      <c r="X19" s="152" t="str">
        <f>IF(X18="","",IF(ngay(TEXT(X18,"d"),TEXT(X18,"m"),TEXT(X18,"yyyy"),7)=1,ngay(TEXT(X18,"d"),TEXT(X18,"m"),TEXT(X18,"yyyy"),7)&amp;"/"&amp;thang(TEXT(X18,"d"),TEXT(X18,"m"),TEXT(X18,"yyyy"),7),ngay(TEXT(X18,"d"),TEXT(X18,"m"),TEXT(X18,"yyyy"),7)))</f>
        <v/>
      </c>
    </row>
    <row r="20" spans="1:25" s="4" customFormat="1" ht="45.95" customHeight="1" x14ac:dyDescent="0.3">
      <c r="B20" s="53">
        <f>IF(H18="","",IF(MONTH(H18+1)&lt;&gt;MONTH(H18),"",H18+1))</f>
        <v>42765</v>
      </c>
      <c r="C20" s="54">
        <f>IF(B20="","",IF(MONTH(B20+1)&lt;&gt;MONTH(B20),"",B20+1))</f>
        <v>42766</v>
      </c>
      <c r="D20" s="54" t="str">
        <f t="shared" ref="D20" si="28">IF(C20="","",IF(MONTH(C20+1)&lt;&gt;MONTH(C20),"",C20+1))</f>
        <v/>
      </c>
      <c r="E20" s="54" t="str">
        <f t="shared" ref="E20" si="29">IF(D20="","",IF(MONTH(D20+1)&lt;&gt;MONTH(D20),"",D20+1))</f>
        <v/>
      </c>
      <c r="F20" s="54" t="str">
        <f t="shared" ref="F20" si="30">IF(E20="","",IF(MONTH(E20+1)&lt;&gt;MONTH(E20),"",E20+1))</f>
        <v/>
      </c>
      <c r="G20" s="55" t="str">
        <f t="shared" ref="G20" si="31">IF(F20="","",IF(MONTH(F20+1)&lt;&gt;MONTH(F20),"",F20+1))</f>
        <v/>
      </c>
      <c r="H20" s="60" t="str">
        <f t="shared" ref="H20" si="32">IF(G20="","",IF(MONTH(G20+1)&lt;&gt;MONTH(G20),"",G20+1))</f>
        <v/>
      </c>
      <c r="I20" s="16"/>
      <c r="J20" s="28" t="str">
        <f>IF(P18="","",IF(MONTH(P18+1)&lt;&gt;MONTH(P18),"",P18+1))</f>
        <v/>
      </c>
      <c r="K20" s="3" t="str">
        <f>IF(J20="","",IF(MONTH(J20+1)&lt;&gt;MONTH(J20),"",J20+1))</f>
        <v/>
      </c>
      <c r="L20" s="3" t="str">
        <f t="shared" ref="L20:P20" si="33">IF(K20="","",IF(MONTH(K20+1)&lt;&gt;MONTH(K20),"",K20+1))</f>
        <v/>
      </c>
      <c r="M20" s="3" t="str">
        <f t="shared" si="33"/>
        <v/>
      </c>
      <c r="N20" s="3" t="str">
        <f t="shared" si="33"/>
        <v/>
      </c>
      <c r="O20" s="17" t="str">
        <f t="shared" si="33"/>
        <v/>
      </c>
      <c r="P20" s="29" t="str">
        <f t="shared" si="33"/>
        <v/>
      </c>
      <c r="Q20" s="16"/>
      <c r="R20" s="28" t="str">
        <f>IF(X18="","",IF(MONTH(X18+1)&lt;&gt;MONTH(X18),"",X18+1))</f>
        <v/>
      </c>
      <c r="S20" s="3" t="str">
        <f>IF(R20="","",IF(MONTH(R20+1)&lt;&gt;MONTH(R20),"",R20+1))</f>
        <v/>
      </c>
      <c r="T20" s="3" t="str">
        <f t="shared" ref="T20:X20" si="34">IF(S20="","",IF(MONTH(S20+1)&lt;&gt;MONTH(S20),"",S20+1))</f>
        <v/>
      </c>
      <c r="U20" s="3" t="str">
        <f t="shared" si="34"/>
        <v/>
      </c>
      <c r="V20" s="3" t="str">
        <f t="shared" si="34"/>
        <v/>
      </c>
      <c r="W20" s="17" t="str">
        <f t="shared" si="34"/>
        <v/>
      </c>
      <c r="X20" s="29" t="str">
        <f t="shared" si="34"/>
        <v/>
      </c>
    </row>
    <row r="21" spans="1:25" s="18" customFormat="1" ht="45.95" customHeight="1" x14ac:dyDescent="0.2">
      <c r="B21" s="61">
        <f>IF(B20="","",ngay(TEXT(B20,"d"),TEXT(B20,"m"),TEXT(B20,"yyyy"),7))</f>
        <v>3</v>
      </c>
      <c r="C21" s="62">
        <f>IF(C20="","",ngay(TEXT(C20,"d"),TEXT(C20,"m"),TEXT(C20,"yyyy"),7))</f>
        <v>4</v>
      </c>
      <c r="D21" s="62" t="str">
        <f>IF(D20="","",ngay(TEXT(D20,"d"),TEXT(D20,"m"),TEXT(D20,"yyyy"),7))</f>
        <v/>
      </c>
      <c r="E21" s="62" t="str">
        <f>IF(E20="","",ngay(TEXT(E20,"d"),TEXT(E20,"m"),TEXT(E20,"yyyy"),7))</f>
        <v/>
      </c>
      <c r="F21" s="62" t="str">
        <f>IF(F20="","",ngay(TEXT(F20,"d"),TEXT(F20,"m"),TEXT(F20,"yyyy"),7))</f>
        <v/>
      </c>
      <c r="G21" s="62" t="str">
        <f>IF(G20="","",ngay(TEXT(G20,"d"),TEXT(G20,"m"),TEXT(G20,"yyyy"),7))</f>
        <v/>
      </c>
      <c r="H21" s="63" t="str">
        <f>IF(H20="","",ngay(TEXT(H20,"d"),TEXT(H20,"m"),TEXT(H20,"yyyy"),7))</f>
        <v/>
      </c>
      <c r="I21" s="20"/>
      <c r="J21" s="32" t="str">
        <f>IF(J20="","",IF(ngay(TEXT(J20,"d"),TEXT(J20,"m"),TEXT(J20,"yyyy"),7)=1,ngay(TEXT(J20,"d"),TEXT(J20,"m"),TEXT(J20,"yyyy"),7)&amp;"/"&amp;thang(TEXT(J20,"d"),TEXT(J20,"m"),TEXT(J20,"yyyy"),7),ngay(TEXT(J20,"d"),TEXT(J20,"m"),TEXT(J20,"yyyy"),7)))</f>
        <v/>
      </c>
      <c r="K21" s="33" t="str">
        <f>IF(K20="","",IF(ngay(TEXT(K20,"d"),TEXT(K20,"m"),TEXT(K20,"yyyy"),7)=1,ngay(TEXT(K20,"d"),TEXT(K20,"m"),TEXT(K20,"yyyy"),7)&amp;"/"&amp;thang(TEXT(K20,"d"),TEXT(K20,"m"),TEXT(K20,"yyyy"),7),ngay(TEXT(K20,"d"),TEXT(K20,"m"),TEXT(K20,"yyyy"),7)))</f>
        <v/>
      </c>
      <c r="L21" s="33" t="str">
        <f>IF(L20="","",IF(ngay(TEXT(L20,"d"),TEXT(L20,"m"),TEXT(L20,"yyyy"),7)=1,ngay(TEXT(L20,"d"),TEXT(L20,"m"),TEXT(L20,"yyyy"),7)&amp;"/"&amp;thang(TEXT(L20,"d"),TEXT(L20,"m"),TEXT(L20,"yyyy"),7),ngay(TEXT(L20,"d"),TEXT(L20,"m"),TEXT(L20,"yyyy"),7)))</f>
        <v/>
      </c>
      <c r="M21" s="33" t="str">
        <f>IF(M20="","",IF(ngay(TEXT(M20,"d"),TEXT(M20,"m"),TEXT(M20,"yyyy"),7)=1,ngay(TEXT(M20,"d"),TEXT(M20,"m"),TEXT(M20,"yyyy"),7)&amp;"/"&amp;thang(TEXT(M20,"d"),TEXT(M20,"m"),TEXT(M20,"yyyy"),7),ngay(TEXT(M20,"d"),TEXT(M20,"m"),TEXT(M20,"yyyy"),7)))</f>
        <v/>
      </c>
      <c r="N21" s="33" t="str">
        <f>IF(N20="","",IF(ngay(TEXT(N20,"d"),TEXT(N20,"m"),TEXT(N20,"yyyy"),7)=1,ngay(TEXT(N20,"d"),TEXT(N20,"m"),TEXT(N20,"yyyy"),7)&amp;"/"&amp;thang(TEXT(N20,"d"),TEXT(N20,"m"),TEXT(N20,"yyyy"),7),ngay(TEXT(N20,"d"),TEXT(N20,"m"),TEXT(N20,"yyyy"),7)))</f>
        <v/>
      </c>
      <c r="O21" s="33" t="str">
        <f>IF(O20="","",IF(ngay(TEXT(O20,"d"),TEXT(O20,"m"),TEXT(O20,"yyyy"),7)=1,ngay(TEXT(O20,"d"),TEXT(O20,"m"),TEXT(O20,"yyyy"),7)&amp;"/"&amp;thang(TEXT(O20,"d"),TEXT(O20,"m"),TEXT(O20,"yyyy"),7),ngay(TEXT(O20,"d"),TEXT(O20,"m"),TEXT(O20,"yyyy"),7)))</f>
        <v/>
      </c>
      <c r="P21" s="34" t="str">
        <f>IF(P20="","",IF(ngay(TEXT(P20,"d"),TEXT(P20,"m"),TEXT(P20,"yyyy"),7)=1,ngay(TEXT(P20,"d"),TEXT(P20,"m"),TEXT(P20,"yyyy"),7)&amp;"/"&amp;thang(TEXT(P20,"d"),TEXT(P20,"m"),TEXT(P20,"yyyy"),7),ngay(TEXT(P20,"d"),TEXT(P20,"m"),TEXT(P20,"yyyy"),7)))</f>
        <v/>
      </c>
      <c r="Q21" s="20"/>
      <c r="R21" s="32" t="str">
        <f>IF(R20="","",IF(ngay(TEXT(R20,"d"),TEXT(R20,"m"),TEXT(R20,"yyyy"),7)=1,ngay(TEXT(R20,"d"),TEXT(R20,"m"),TEXT(R20,"yyyy"),7)&amp;"/"&amp;thang(TEXT(R20,"d"),TEXT(R20,"m"),TEXT(R20,"yyyy"),7),ngay(TEXT(R20,"d"),TEXT(R20,"m"),TEXT(R20,"yyyy"),7)))</f>
        <v/>
      </c>
      <c r="S21" s="33" t="str">
        <f>IF(S20="","",IF(ngay(TEXT(S20,"d"),TEXT(S20,"m"),TEXT(S20,"yyyy"),7)=1,ngay(TEXT(S20,"d"),TEXT(S20,"m"),TEXT(S20,"yyyy"),7)&amp;"/"&amp;thang(TEXT(S20,"d"),TEXT(S20,"m"),TEXT(S20,"yyyy"),7),ngay(TEXT(S20,"d"),TEXT(S20,"m"),TEXT(S20,"yyyy"),7)))</f>
        <v/>
      </c>
      <c r="T21" s="33" t="str">
        <f>IF(T20="","",IF(ngay(TEXT(T20,"d"),TEXT(T20,"m"),TEXT(T20,"yyyy"),7)=1,ngay(TEXT(T20,"d"),TEXT(T20,"m"),TEXT(T20,"yyyy"),7)&amp;"/"&amp;thang(TEXT(T20,"d"),TEXT(T20,"m"),TEXT(T20,"yyyy"),7),ngay(TEXT(T20,"d"),TEXT(T20,"m"),TEXT(T20,"yyyy"),7)))</f>
        <v/>
      </c>
      <c r="U21" s="33" t="str">
        <f>IF(U20="","",IF(ngay(TEXT(U20,"d"),TEXT(U20,"m"),TEXT(U20,"yyyy"),7)=1,ngay(TEXT(U20,"d"),TEXT(U20,"m"),TEXT(U20,"yyyy"),7)&amp;"/"&amp;thang(TEXT(U20,"d"),TEXT(U20,"m"),TEXT(U20,"yyyy"),7),ngay(TEXT(U20,"d"),TEXT(U20,"m"),TEXT(U20,"yyyy"),7)))</f>
        <v/>
      </c>
      <c r="V21" s="33" t="str">
        <f>IF(V20="","",IF(ngay(TEXT(V20,"d"),TEXT(V20,"m"),TEXT(V20,"yyyy"),7)=1,ngay(TEXT(V20,"d"),TEXT(V20,"m"),TEXT(V20,"yyyy"),7)&amp;"/"&amp;thang(TEXT(V20,"d"),TEXT(V20,"m"),TEXT(V20,"yyyy"),7),ngay(TEXT(V20,"d"),TEXT(V20,"m"),TEXT(V20,"yyyy"),7)))</f>
        <v/>
      </c>
      <c r="W21" s="33" t="str">
        <f>IF(W20="","",IF(ngay(TEXT(W20,"d"),TEXT(W20,"m"),TEXT(W20,"yyyy"),7)=1,ngay(TEXT(W20,"d"),TEXT(W20,"m"),TEXT(W20,"yyyy"),7)&amp;"/"&amp;thang(TEXT(W20,"d"),TEXT(W20,"m"),TEXT(W20,"yyyy"),7),ngay(TEXT(W20,"d"),TEXT(W20,"m"),TEXT(W20,"yyyy"),7)))</f>
        <v/>
      </c>
      <c r="X21" s="34" t="str">
        <f>IF(X20="","",IF(ngay(TEXT(X20,"d"),TEXT(X20,"m"),TEXT(X20,"yyyy"),7)=1,ngay(TEXT(X20,"d"),TEXT(X20,"m"),TEXT(X20,"yyyy"),7)&amp;"/"&amp;thang(TEXT(X20,"d"),TEXT(X20,"m"),TEXT(X20,"yyyy"),7),ngay(TEXT(X20,"d"),TEXT(X20,"m"),TEXT(X20,"yyyy"),7)))</f>
        <v/>
      </c>
    </row>
    <row r="22" spans="1:25" ht="12" customHeight="1" x14ac:dyDescent="0.25">
      <c r="A22" s="1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</row>
    <row r="23" spans="1:25" s="1" customFormat="1" ht="20.25" x14ac:dyDescent="0.3">
      <c r="A23" s="2"/>
      <c r="B23" s="38">
        <f>DATE(YEAR(R8+42),MONTH(R8+42),1)</f>
        <v>42826</v>
      </c>
      <c r="C23" s="39"/>
      <c r="D23" s="39"/>
      <c r="E23" s="39"/>
      <c r="F23" s="39"/>
      <c r="G23" s="39"/>
      <c r="H23" s="40"/>
      <c r="I23" s="12"/>
      <c r="J23" s="41">
        <f>DATE(YEAR(B23+42),MONTH(B23+42),1)</f>
        <v>42856</v>
      </c>
      <c r="K23" s="42"/>
      <c r="L23" s="42"/>
      <c r="M23" s="42"/>
      <c r="N23" s="42"/>
      <c r="O23" s="42"/>
      <c r="P23" s="43"/>
      <c r="Q23" s="12"/>
      <c r="R23" s="41">
        <f>DATE(YEAR(J23+42),MONTH(J23+42),1)</f>
        <v>42887</v>
      </c>
      <c r="S23" s="42"/>
      <c r="T23" s="42"/>
      <c r="U23" s="42"/>
      <c r="V23" s="42"/>
      <c r="W23" s="42"/>
      <c r="X23" s="43"/>
    </row>
    <row r="24" spans="1:25" s="15" customFormat="1" ht="18" customHeight="1" x14ac:dyDescent="0.25">
      <c r="A24" s="1"/>
      <c r="B24" s="26" t="str">
        <f>CHOOSE(1+MOD($O$3+1-2,7),"Mon","Tue","Wed","Thu","Fri","Sat","Sun")</f>
        <v>Mon</v>
      </c>
      <c r="C24" s="13" t="str">
        <f>CHOOSE(1+MOD($O$3+2-2,7),"Mon","Tue","Wed","Thu","Fri","Sat","Sun")</f>
        <v>Tue</v>
      </c>
      <c r="D24" s="13" t="str">
        <f>CHOOSE(1+MOD($O$3+3-2,7),"Mon","Tue","Wed","Thu","Fri","Sat","Sun")</f>
        <v>Wed</v>
      </c>
      <c r="E24" s="13" t="str">
        <f>CHOOSE(1+MOD($O$3+4-2,7),"Mon","Tue","Wed","Thu","Fri","Sat","Sun")</f>
        <v>Thu</v>
      </c>
      <c r="F24" s="13" t="str">
        <f>CHOOSE(1+MOD($O$3+5-2,7),"Mon","Tue","Wed","Thu","Fri","Sat","Sun")</f>
        <v>Fri</v>
      </c>
      <c r="G24" s="13" t="str">
        <f>CHOOSE(1+MOD($O$3+6-2,7),"Mon","Tue","Wed","Thu","Fri","Sat","Sun")</f>
        <v>Sat</v>
      </c>
      <c r="H24" s="27" t="str">
        <f>CHOOSE(1+MOD($O$3+7-2,7),"Mon","Tue","Wed","Thu","Fri","Sat","Sun")</f>
        <v>Sun</v>
      </c>
      <c r="I24" s="12"/>
      <c r="J24" s="26" t="str">
        <f>CHOOSE(1+MOD($O$3+1-2,7),"Mon","Tue","Wed","Thu","Fri","Sat","Sun")</f>
        <v>Mon</v>
      </c>
      <c r="K24" s="13" t="str">
        <f>CHOOSE(1+MOD($O$3+2-2,7),"Mon","Tue","Wed","Thu","Fri","Sat","Sun")</f>
        <v>Tue</v>
      </c>
      <c r="L24" s="13" t="str">
        <f>CHOOSE(1+MOD($O$3+3-2,7),"Mon","Tue","Wed","Thu","Fri","Sat","Sun")</f>
        <v>Wed</v>
      </c>
      <c r="M24" s="13" t="str">
        <f>CHOOSE(1+MOD($O$3+4-2,7),"Mon","Tue","Wed","Thu","Fri","Sat","Sun")</f>
        <v>Thu</v>
      </c>
      <c r="N24" s="13" t="str">
        <f>CHOOSE(1+MOD($O$3+5-2,7),"Mon","Tue","Wed","Thu","Fri","Sat","Sun")</f>
        <v>Fri</v>
      </c>
      <c r="O24" s="13" t="str">
        <f>CHOOSE(1+MOD($O$3+6-2,7),"Mon","Tue","Wed","Thu","Fri","Sat","Sun")</f>
        <v>Sat</v>
      </c>
      <c r="P24" s="27" t="str">
        <f>CHOOSE(1+MOD($O$3+7-2,7),"Mon","Tue","Wed","Thu","Fri","Sat","Sun")</f>
        <v>Sun</v>
      </c>
      <c r="Q24" s="14"/>
      <c r="R24" s="26" t="str">
        <f>CHOOSE(1+MOD($O$3+1-2,7),"Mon","Tue","Wed","Thu","Fri","Sat","Sun")</f>
        <v>Mon</v>
      </c>
      <c r="S24" s="13" t="str">
        <f>CHOOSE(1+MOD($O$3+2-2,7),"Mon","Tue","Wed","Thu","Fri","Sat","Sun")</f>
        <v>Tue</v>
      </c>
      <c r="T24" s="13" t="str">
        <f>CHOOSE(1+MOD($O$3+3-2,7),"Mon","Tue","Wed","Thu","Fri","Sat","Sun")</f>
        <v>Wed</v>
      </c>
      <c r="U24" s="13" t="str">
        <f>CHOOSE(1+MOD($O$3+4-2,7),"Mon","Tue","Wed","Thu","Fri","Sat","Sun")</f>
        <v>Thu</v>
      </c>
      <c r="V24" s="13" t="str">
        <f>CHOOSE(1+MOD($O$3+5-2,7),"Mon","Tue","Wed","Thu","Fri","Sat","Sun")</f>
        <v>Fri</v>
      </c>
      <c r="W24" s="13" t="str">
        <f>CHOOSE(1+MOD($O$3+6-2,7),"Mon","Tue","Wed","Thu","Fri","Sat","Sun")</f>
        <v>Sat</v>
      </c>
      <c r="X24" s="27" t="str">
        <f>CHOOSE(1+MOD($O$3+7-2,7),"Mon","Tue","Wed","Thu","Fri","Sat","Sun")</f>
        <v>Sun</v>
      </c>
    </row>
    <row r="25" spans="1:25" s="79" customFormat="1" ht="45.95" customHeight="1" x14ac:dyDescent="0.3">
      <c r="A25" s="4"/>
      <c r="B25" s="28" t="str">
        <f>IF(WEEKDAY(B23,2)=$O$3,B23,"")</f>
        <v/>
      </c>
      <c r="C25" s="3" t="str">
        <f>IF(B25="",IF(WEEKDAY(B23,1)=MOD($O$3+1,7)+1,B23,""),B25+1)</f>
        <v/>
      </c>
      <c r="D25" s="3" t="str">
        <f>IF(C25="",IF(WEEKDAY(B23,1)=MOD($O$3+2,7)+1,B23,""),C25+1)</f>
        <v/>
      </c>
      <c r="E25" s="3" t="str">
        <f>IF(D25="",IF(WEEKDAY(B23,1)=MOD($O$3+3,7)+1,B23,""),D25+1)</f>
        <v/>
      </c>
      <c r="F25" s="3" t="str">
        <f>IF(E25="",IF(WEEKDAY(B23,1)=MOD($O$3+4,7)+1,B23,""),E25+1)</f>
        <v/>
      </c>
      <c r="G25" s="155">
        <f>IF(F25="",IF(WEEKDAY(B23,1)=MOD($O$3+5,7)+1,B23,""),F25+1)</f>
        <v>42826</v>
      </c>
      <c r="H25" s="156">
        <f>IF(G25="",IF(WEEKDAY(B23,1)=MOD($O$3+6,7)+1,B23,""),G25+1)</f>
        <v>42827</v>
      </c>
      <c r="I25" s="16"/>
      <c r="J25" s="53">
        <f>IF(WEEKDAY(J23,2)=$O$3,J23,"")</f>
        <v>42856</v>
      </c>
      <c r="K25" s="54">
        <f>IF(J25="",IF(WEEKDAY(J23,1)=MOD($O$3+1,7)+1,J23,""),J25+1)</f>
        <v>42857</v>
      </c>
      <c r="L25" s="154">
        <f>IF(K25="",IF(WEEKDAY(J23,1)=MOD($O$3+2,7)+1,J23,""),K25+1)</f>
        <v>42858</v>
      </c>
      <c r="M25" s="154">
        <f>IF(L25="",IF(WEEKDAY(J23,1)=MOD($O$3+3,7)+1,J23,""),L25+1)</f>
        <v>42859</v>
      </c>
      <c r="N25" s="154">
        <f>IF(M25="",IF(WEEKDAY(J23,1)=MOD($O$3+4,7)+1,J23,""),M25+1)</f>
        <v>42860</v>
      </c>
      <c r="O25" s="155">
        <f>IF(N25="",IF(WEEKDAY(J23,1)=MOD($O$3+5,7)+1,J23,""),N25+1)</f>
        <v>42861</v>
      </c>
      <c r="P25" s="156">
        <f>IF(O25="",IF(WEEKDAY(J23,1)=MOD($O$3+6,7)+1,J23,""),O25+1)</f>
        <v>42862</v>
      </c>
      <c r="Q25" s="16"/>
      <c r="R25" s="28" t="str">
        <f>IF(WEEKDAY(R23,2)=$O$3,R23,"")</f>
        <v/>
      </c>
      <c r="S25" s="3" t="str">
        <f>IF(R25="",IF(WEEKDAY(R23,1)=MOD($O$3+1,7)+1,R23,""),R25+1)</f>
        <v/>
      </c>
      <c r="T25" s="3" t="str">
        <f>IF(S25="",IF(WEEKDAY(R23,1)=MOD($O$3+2,7)+1,R23,""),S25+1)</f>
        <v/>
      </c>
      <c r="U25" s="72">
        <f>IF(T25="",IF(WEEKDAY(R23,1)=MOD($O$3+3,7)+1,R23,""),T25+1)</f>
        <v>42887</v>
      </c>
      <c r="V25" s="72">
        <f>IF(U25="",IF(WEEKDAY(R23,1)=MOD($O$3+4,7)+1,R23,""),U25+1)</f>
        <v>42888</v>
      </c>
      <c r="W25" s="77">
        <f>IF(V25="",IF(WEEKDAY(R23,1)=MOD($O$3+5,7)+1,R23,""),V25+1)</f>
        <v>42889</v>
      </c>
      <c r="X25" s="78">
        <f>IF(W25="",IF(WEEKDAY(R23,1)=MOD($O$3+6,7)+1,R23,""),W25+1)</f>
        <v>42890</v>
      </c>
    </row>
    <row r="26" spans="1:25" s="81" customFormat="1" ht="45.95" customHeight="1" x14ac:dyDescent="0.2">
      <c r="A26" s="18"/>
      <c r="B26" s="30" t="str">
        <f>IF(B25="","",IF(ngay(TEXT(B25,"d"),TEXT(B25,"m"),TEXT(B25,"yyyy"),7)=1,ngay(TEXT(B25,"d"),TEXT(B25,"m"),TEXT(B25,"yyyy"),7)&amp;"/"&amp;thang(TEXT(B25,"d"),TEXT(B25,"m"),TEXT(B25,"yyyy"),7),ngay(TEXT(B25,"d"),TEXT(B25,"m"),TEXT(B25,"yyyy"),7)))</f>
        <v/>
      </c>
      <c r="C26" s="19" t="str">
        <f>IF(C25="","",IF(ngay(TEXT(C25,"d"),TEXT(C25,"m"),TEXT(C25,"yyyy"),7)=1,ngay(TEXT(C25,"d"),TEXT(C25,"m"),TEXT(C25,"yyyy"),7)&amp;"/"&amp;thang(TEXT(C25,"d"),TEXT(C25,"m"),TEXT(C25,"yyyy"),7),ngay(TEXT(C25,"d"),TEXT(C25,"m"),TEXT(C25,"yyyy"),7)))</f>
        <v/>
      </c>
      <c r="D26" s="19" t="str">
        <f>IF(D25="","",IF(ngay(TEXT(D25,"d"),TEXT(D25,"m"),TEXT(D25,"yyyy"),7)=1,ngay(TEXT(D25,"d"),TEXT(D25,"m"),TEXT(D25,"yyyy"),7)&amp;"/"&amp;thang(TEXT(D25,"d"),TEXT(D25,"m"),TEXT(D25,"yyyy"),7),ngay(TEXT(D25,"d"),TEXT(D25,"m"),TEXT(D25,"yyyy"),7)))</f>
        <v/>
      </c>
      <c r="E26" s="19" t="str">
        <f>IF(E25="","",IF(ngay(TEXT(E25,"d"),TEXT(E25,"m"),TEXT(E25,"yyyy"),7)=1,ngay(TEXT(E25,"d"),TEXT(E25,"m"),TEXT(E25,"yyyy"),7)&amp;"/"&amp;thang(TEXT(E25,"d"),TEXT(E25,"m"),TEXT(E25,"yyyy"),7),ngay(TEXT(E25,"d"),TEXT(E25,"m"),TEXT(E25,"yyyy"),7)))</f>
        <v/>
      </c>
      <c r="F26" s="19" t="str">
        <f>IF(F25="","",IF(ngay(TEXT(F25,"d"),TEXT(F25,"m"),TEXT(F25,"yyyy"),7)=1,ngay(TEXT(F25,"d"),TEXT(F25,"m"),TEXT(F25,"yyyy"),7)&amp;"/"&amp;thang(TEXT(F25,"d"),TEXT(F25,"m"),TEXT(F25,"yyyy"),7),ngay(TEXT(F25,"d"),TEXT(F25,"m"),TEXT(F25,"yyyy"),7)))</f>
        <v/>
      </c>
      <c r="G26" s="151">
        <f>IF(G25="","",IF(ngay(TEXT(G25,"d"),TEXT(G25,"m"),TEXT(G25,"yyyy"),7)=1,ngay(TEXT(G25,"d"),TEXT(G25,"m"),TEXT(G25,"yyyy"),7)&amp;"/"&amp;thang(TEXT(G25,"d"),TEXT(G25,"m"),TEXT(G25,"yyyy"),7),ngay(TEXT(G25,"d"),TEXT(G25,"m"),TEXT(G25,"yyyy"),7)))</f>
        <v>5</v>
      </c>
      <c r="H26" s="152">
        <f>IF(H25="","",IF(ngay(TEXT(H25,"d"),TEXT(H25,"m"),TEXT(H25,"yyyy"),7)=1,ngay(TEXT(H25,"d"),TEXT(H25,"m"),TEXT(H25,"yyyy"),7)&amp;"/"&amp;thang(TEXT(H25,"d"),TEXT(H25,"m"),TEXT(H25,"yyyy"),7),ngay(TEXT(H25,"d"),TEXT(H25,"m"),TEXT(H25,"yyyy"),7)))</f>
        <v>6</v>
      </c>
      <c r="I26" s="20"/>
      <c r="J26" s="64">
        <f>IF(J25="","",IF(ngay(TEXT(J25,"d"),TEXT(J25,"m"),TEXT(J25,"yyyy"),7)=1,ngay(TEXT(J25,"d"),TEXT(J25,"m"),TEXT(J25,"yyyy"),7)&amp;"/"&amp;thang(TEXT(J25,"d"),TEXT(J25,"m"),TEXT(J25,"yyyy"),7),ngay(TEXT(J25,"d"),TEXT(J25,"m"),TEXT(J25,"yyyy"),7)))</f>
        <v>6</v>
      </c>
      <c r="K26" s="69">
        <f>IF(K25="","",IF(ngay(TEXT(K25,"d"),TEXT(K25,"m"),TEXT(K25,"yyyy"),7)=1,ngay(TEXT(K25,"d"),TEXT(K25,"m"),TEXT(K25,"yyyy"),7)&amp;"/"&amp;thang(TEXT(K25,"d"),TEXT(K25,"m"),TEXT(K25,"yyyy"),7),ngay(TEXT(K25,"d"),TEXT(K25,"m"),TEXT(K25,"yyyy"),7)))</f>
        <v>7</v>
      </c>
      <c r="L26" s="69">
        <f>IF(L25="","",IF(ngay(TEXT(L25,"d"),TEXT(L25,"m"),TEXT(L25,"yyyy"),7)=1,ngay(TEXT(L25,"d"),TEXT(L25,"m"),TEXT(L25,"yyyy"),7)&amp;"/"&amp;thang(TEXT(L25,"d"),TEXT(L25,"m"),TEXT(L25,"yyyy"),7),ngay(TEXT(L25,"d"),TEXT(L25,"m"),TEXT(L25,"yyyy"),7)))</f>
        <v>8</v>
      </c>
      <c r="M26" s="69">
        <f>IF(M25="","",IF(ngay(TEXT(M25,"d"),TEXT(M25,"m"),TEXT(M25,"yyyy"),7)=1,ngay(TEXT(M25,"d"),TEXT(M25,"m"),TEXT(M25,"yyyy"),7)&amp;"/"&amp;thang(TEXT(M25,"d"),TEXT(M25,"m"),TEXT(M25,"yyyy"),7),ngay(TEXT(M25,"d"),TEXT(M25,"m"),TEXT(M25,"yyyy"),7)))</f>
        <v>9</v>
      </c>
      <c r="N26" s="69">
        <f>IF(N25="","",IF(ngay(TEXT(N25,"d"),TEXT(N25,"m"),TEXT(N25,"yyyy"),7)=1,ngay(TEXT(N25,"d"),TEXT(N25,"m"),TEXT(N25,"yyyy"),7)&amp;"/"&amp;thang(TEXT(N25,"d"),TEXT(N25,"m"),TEXT(N25,"yyyy"),7),ngay(TEXT(N25,"d"),TEXT(N25,"m"),TEXT(N25,"yyyy"),7)))</f>
        <v>10</v>
      </c>
      <c r="O26" s="69">
        <f>IF(O25="","",IF(ngay(TEXT(O25,"d"),TEXT(O25,"m"),TEXT(O25,"yyyy"),7)=1,ngay(TEXT(O25,"d"),TEXT(O25,"m"),TEXT(O25,"yyyy"),7)&amp;"/"&amp;thang(TEXT(O25,"d"),TEXT(O25,"m"),TEXT(O25,"yyyy"),7),ngay(TEXT(O25,"d"),TEXT(O25,"m"),TEXT(O25,"yyyy"),7)))</f>
        <v>11</v>
      </c>
      <c r="P26" s="70">
        <f>IF(P25="","",IF(ngay(TEXT(P25,"d"),TEXT(P25,"m"),TEXT(P25,"yyyy"),7)=1,ngay(TEXT(P25,"d"),TEXT(P25,"m"),TEXT(P25,"yyyy"),7)&amp;"/"&amp;thang(TEXT(P25,"d"),TEXT(P25,"m"),TEXT(P25,"yyyy"),7),ngay(TEXT(P25,"d"),TEXT(P25,"m"),TEXT(P25,"yyyy"),7)))</f>
        <v>12</v>
      </c>
      <c r="Q26" s="20"/>
      <c r="R26" s="30" t="str">
        <f>IF(R25="","",IF(ngay(TEXT(R25,"d"),TEXT(R25,"m"),TEXT(R25,"yyyy"),7)=1,ngay(TEXT(R25,"d"),TEXT(R25,"m"),TEXT(R25,"yyyy"),7)&amp;"/"&amp;thang(TEXT(R25,"d"),TEXT(R25,"m"),TEXT(R25,"yyyy"),7),ngay(TEXT(R25,"d"),TEXT(R25,"m"),TEXT(R25,"yyyy"),7)))</f>
        <v/>
      </c>
      <c r="S26" s="19" t="str">
        <f>IF(S25="","",IF(ngay(TEXT(S25,"d"),TEXT(S25,"m"),TEXT(S25,"yyyy"),7)=1,ngay(TEXT(S25,"d"),TEXT(S25,"m"),TEXT(S25,"yyyy"),7)&amp;"/"&amp;thang(TEXT(S25,"d"),TEXT(S25,"m"),TEXT(S25,"yyyy"),7),ngay(TEXT(S25,"d"),TEXT(S25,"m"),TEXT(S25,"yyyy"),7)))</f>
        <v/>
      </c>
      <c r="T26" s="19" t="str">
        <f>IF(T25="","",IF(ngay(TEXT(T25,"d"),TEXT(T25,"m"),TEXT(T25,"yyyy"),7)=1,ngay(TEXT(T25,"d"),TEXT(T25,"m"),TEXT(T25,"yyyy"),7)&amp;"/"&amp;thang(TEXT(T25,"d"),TEXT(T25,"m"),TEXT(T25,"yyyy"),7),ngay(TEXT(T25,"d"),TEXT(T25,"m"),TEXT(T25,"yyyy"),7)))</f>
        <v/>
      </c>
      <c r="U26" s="74">
        <f>IF(U25="","",IF(ngay(TEXT(U25,"d"),TEXT(U25,"m"),TEXT(U25,"yyyy"),7)=1,ngay(TEXT(U25,"d"),TEXT(U25,"m"),TEXT(U25,"yyyy"),7)&amp;"/"&amp;thang(TEXT(U25,"d"),TEXT(U25,"m"),TEXT(U25,"yyyy"),7),ngay(TEXT(U25,"d"),TEXT(U25,"m"),TEXT(U25,"yyyy"),7)))</f>
        <v>7</v>
      </c>
      <c r="V26" s="74">
        <f>IF(V25="","",IF(ngay(TEXT(V25,"d"),TEXT(V25,"m"),TEXT(V25,"yyyy"),7)=1,ngay(TEXT(V25,"d"),TEXT(V25,"m"),TEXT(V25,"yyyy"),7)&amp;"/"&amp;thang(TEXT(V25,"d"),TEXT(V25,"m"),TEXT(V25,"yyyy"),7),ngay(TEXT(V25,"d"),TEXT(V25,"m"),TEXT(V25,"yyyy"),7)))</f>
        <v>8</v>
      </c>
      <c r="W26" s="74">
        <f>IF(W25="","",IF(ngay(TEXT(W25,"d"),TEXT(W25,"m"),TEXT(W25,"yyyy"),7)=1,ngay(TEXT(W25,"d"),TEXT(W25,"m"),TEXT(W25,"yyyy"),7)&amp;"/"&amp;thang(TEXT(W25,"d"),TEXT(W25,"m"),TEXT(W25,"yyyy"),7),ngay(TEXT(W25,"d"),TEXT(W25,"m"),TEXT(W25,"yyyy"),7)))</f>
        <v>9</v>
      </c>
      <c r="X26" s="80">
        <f>IF(X25="","",IF(ngay(TEXT(X25,"d"),TEXT(X25,"m"),TEXT(X25,"yyyy"),7)=1,ngay(TEXT(X25,"d"),TEXT(X25,"m"),TEXT(X25,"yyyy"),7)&amp;"/"&amp;thang(TEXT(X25,"d"),TEXT(X25,"m"),TEXT(X25,"yyyy"),7),ngay(TEXT(X25,"d"),TEXT(X25,"m"),TEXT(X25,"yyyy"),7)))</f>
        <v>10</v>
      </c>
    </row>
    <row r="27" spans="1:25" s="4" customFormat="1" ht="45.95" customHeight="1" x14ac:dyDescent="0.3">
      <c r="B27" s="153">
        <f>IF(H25="","",IF(MONTH(H25+1)&lt;&gt;MONTH(H25),"",H25+1))</f>
        <v>42828</v>
      </c>
      <c r="C27" s="154">
        <f>IF(B27="","",IF(MONTH(B27+1)&lt;&gt;MONTH(B27),"",B27+1))</f>
        <v>42829</v>
      </c>
      <c r="D27" s="154">
        <f t="shared" ref="D27:H27" si="35">IF(C27="","",IF(MONTH(C27+1)&lt;&gt;MONTH(C27),"",C27+1))</f>
        <v>42830</v>
      </c>
      <c r="E27" s="54">
        <f t="shared" si="35"/>
        <v>42831</v>
      </c>
      <c r="F27" s="154">
        <f t="shared" si="35"/>
        <v>42832</v>
      </c>
      <c r="G27" s="155">
        <f t="shared" si="35"/>
        <v>42833</v>
      </c>
      <c r="H27" s="156">
        <f t="shared" si="35"/>
        <v>42834</v>
      </c>
      <c r="I27" s="16"/>
      <c r="J27" s="153">
        <f>IF(P25="","",IF(MONTH(P25+1)&lt;&gt;MONTH(P25),"",P25+1))</f>
        <v>42863</v>
      </c>
      <c r="K27" s="154">
        <f>IF(J27="","",IF(MONTH(J27+1)&lt;&gt;MONTH(J27),"",J27+1))</f>
        <v>42864</v>
      </c>
      <c r="L27" s="154">
        <f t="shared" ref="L27:P27" si="36">IF(K27="","",IF(MONTH(K27+1)&lt;&gt;MONTH(K27),"",K27+1))</f>
        <v>42865</v>
      </c>
      <c r="M27" s="154">
        <f t="shared" si="36"/>
        <v>42866</v>
      </c>
      <c r="N27" s="154">
        <f t="shared" si="36"/>
        <v>42867</v>
      </c>
      <c r="O27" s="155">
        <f t="shared" si="36"/>
        <v>42868</v>
      </c>
      <c r="P27" s="156">
        <f t="shared" si="36"/>
        <v>42869</v>
      </c>
      <c r="Q27" s="16"/>
      <c r="R27" s="71">
        <f>IF(X25="","",IF(MONTH(X25+1)&lt;&gt;MONTH(X25),"",X25+1))</f>
        <v>42891</v>
      </c>
      <c r="S27" s="72">
        <f>IF(R27="","",IF(MONTH(R27+1)&lt;&gt;MONTH(R27),"",R27+1))</f>
        <v>42892</v>
      </c>
      <c r="T27" s="72">
        <f t="shared" ref="T27:X27" si="37">IF(S27="","",IF(MONTH(S27+1)&lt;&gt;MONTH(S27),"",S27+1))</f>
        <v>42893</v>
      </c>
      <c r="U27" s="72">
        <f t="shared" si="37"/>
        <v>42894</v>
      </c>
      <c r="V27" s="72">
        <f t="shared" si="37"/>
        <v>42895</v>
      </c>
      <c r="W27" s="77">
        <f t="shared" si="37"/>
        <v>42896</v>
      </c>
      <c r="X27" s="78">
        <f t="shared" si="37"/>
        <v>42897</v>
      </c>
    </row>
    <row r="28" spans="1:25" s="18" customFormat="1" ht="45.95" customHeight="1" x14ac:dyDescent="0.2">
      <c r="B28" s="150">
        <f>IF(B27="","",IF(ngay(TEXT(B27,"d"),TEXT(B27,"m"),TEXT(B27,"yyyy"),7)=1,ngay(TEXT(B27,"d"),TEXT(B27,"m"),TEXT(B27,"yyyy"),7)&amp;"/"&amp;thang(TEXT(B27,"d"),TEXT(B27,"m"),TEXT(B27,"yyyy"),7),ngay(TEXT(B27,"d"),TEXT(B27,"m"),TEXT(B27,"yyyy"),7)))</f>
        <v>7</v>
      </c>
      <c r="C28" s="151">
        <f>IF(C27="","",IF(ngay(TEXT(C27,"d"),TEXT(C27,"m"),TEXT(C27,"yyyy"),7)=1,ngay(TEXT(C27,"d"),TEXT(C27,"m"),TEXT(C27,"yyyy"),7)&amp;"/"&amp;thang(TEXT(C27,"d"),TEXT(C27,"m"),TEXT(C27,"yyyy"),7),ngay(TEXT(C27,"d"),TEXT(C27,"m"),TEXT(C27,"yyyy"),7)))</f>
        <v>8</v>
      </c>
      <c r="D28" s="151">
        <f>IF(D27="","",IF(ngay(TEXT(D27,"d"),TEXT(D27,"m"),TEXT(D27,"yyyy"),7)=1,ngay(TEXT(D27,"d"),TEXT(D27,"m"),TEXT(D27,"yyyy"),7)&amp;"/"&amp;thang(TEXT(D27,"d"),TEXT(D27,"m"),TEXT(D27,"yyyy"),7),ngay(TEXT(D27,"d"),TEXT(D27,"m"),TEXT(D27,"yyyy"),7)))</f>
        <v>9</v>
      </c>
      <c r="E28" s="58">
        <f>IF(E27="","",IF(ngay(TEXT(E27,"d"),TEXT(E27,"m"),TEXT(E27,"yyyy"),7)=1,ngay(TEXT(E27,"d"),TEXT(E27,"m"),TEXT(E27,"yyyy"),7)&amp;"/"&amp;thang(TEXT(E27,"d"),TEXT(E27,"m"),TEXT(E27,"yyyy"),7),ngay(TEXT(E27,"d"),TEXT(E27,"m"),TEXT(E27,"yyyy"),7)))</f>
        <v>10</v>
      </c>
      <c r="F28" s="151">
        <f>IF(F27="","",IF(ngay(TEXT(F27,"d"),TEXT(F27,"m"),TEXT(F27,"yyyy"),7)=1,ngay(TEXT(F27,"d"),TEXT(F27,"m"),TEXT(F27,"yyyy"),7)&amp;"/"&amp;thang(TEXT(F27,"d"),TEXT(F27,"m"),TEXT(F27,"yyyy"),7),ngay(TEXT(F27,"d"),TEXT(F27,"m"),TEXT(F27,"yyyy"),7)))</f>
        <v>11</v>
      </c>
      <c r="G28" s="151">
        <f>IF(G27="","",IF(ngay(TEXT(G27,"d"),TEXT(G27,"m"),TEXT(G27,"yyyy"),7)=1,ngay(TEXT(G27,"d"),TEXT(G27,"m"),TEXT(G27,"yyyy"),7)&amp;"/"&amp;thang(TEXT(G27,"d"),TEXT(G27,"m"),TEXT(G27,"yyyy"),7),ngay(TEXT(G27,"d"),TEXT(G27,"m"),TEXT(G27,"yyyy"),7)))</f>
        <v>12</v>
      </c>
      <c r="H28" s="152">
        <f>IF(H27="","",IF(ngay(TEXT(H27,"d"),TEXT(H27,"m"),TEXT(H27,"yyyy"),7)=1,ngay(TEXT(H27,"d"),TEXT(H27,"m"),TEXT(H27,"yyyy"),7)&amp;"/"&amp;thang(TEXT(H27,"d"),TEXT(H27,"m"),TEXT(H27,"yyyy"),7),ngay(TEXT(H27,"d"),TEXT(H27,"m"),TEXT(H27,"yyyy"),7)))</f>
        <v>13</v>
      </c>
      <c r="I28" s="20"/>
      <c r="J28" s="73">
        <f>IF(J27="","",IF(ngay(TEXT(J27,"d"),TEXT(J27,"m"),TEXT(J27,"yyyy"),7)=1,ngay(TEXT(J27,"d"),TEXT(J27,"m"),TEXT(J27,"yyyy"),7)&amp;"/"&amp;thang(TEXT(J27,"d"),TEXT(J27,"m"),TEXT(J27,"yyyy"),7),ngay(TEXT(J27,"d"),TEXT(J27,"m"),TEXT(J27,"yyyy"),7)))</f>
        <v>13</v>
      </c>
      <c r="K28" s="74">
        <f>IF(K27="","",IF(ngay(TEXT(K27,"d"),TEXT(K27,"m"),TEXT(K27,"yyyy"),7)=1,ngay(TEXT(K27,"d"),TEXT(K27,"m"),TEXT(K27,"yyyy"),7)&amp;"/"&amp;thang(TEXT(K27,"d"),TEXT(K27,"m"),TEXT(K27,"yyyy"),7),ngay(TEXT(K27,"d"),TEXT(K27,"m"),TEXT(K27,"yyyy"),7)))</f>
        <v>14</v>
      </c>
      <c r="L28" s="74">
        <f>IF(L27="","",IF(ngay(TEXT(L27,"d"),TEXT(L27,"m"),TEXT(L27,"yyyy"),7)=1,ngay(TEXT(L27,"d"),TEXT(L27,"m"),TEXT(L27,"yyyy"),7)&amp;"/"&amp;thang(TEXT(L27,"d"),TEXT(L27,"m"),TEXT(L27,"yyyy"),7),ngay(TEXT(L27,"d"),TEXT(L27,"m"),TEXT(L27,"yyyy"),7)))</f>
        <v>15</v>
      </c>
      <c r="M28" s="74">
        <f>IF(M27="","",IF(ngay(TEXT(M27,"d"),TEXT(M27,"m"),TEXT(M27,"yyyy"),7)=1,ngay(TEXT(M27,"d"),TEXT(M27,"m"),TEXT(M27,"yyyy"),7)&amp;"/"&amp;thang(TEXT(M27,"d"),TEXT(M27,"m"),TEXT(M27,"yyyy"),7),ngay(TEXT(M27,"d"),TEXT(M27,"m"),TEXT(M27,"yyyy"),7)))</f>
        <v>16</v>
      </c>
      <c r="N28" s="74">
        <f>IF(N27="","",IF(ngay(TEXT(N27,"d"),TEXT(N27,"m"),TEXT(N27,"yyyy"),7)=1,ngay(TEXT(N27,"d"),TEXT(N27,"m"),TEXT(N27,"yyyy"),7)&amp;"/"&amp;thang(TEXT(N27,"d"),TEXT(N27,"m"),TEXT(N27,"yyyy"),7),ngay(TEXT(N27,"d"),TEXT(N27,"m"),TEXT(N27,"yyyy"),7)))</f>
        <v>17</v>
      </c>
      <c r="O28" s="74">
        <f>IF(O27="","",IF(ngay(TEXT(O27,"d"),TEXT(O27,"m"),TEXT(O27,"yyyy"),7)=1,ngay(TEXT(O27,"d"),TEXT(O27,"m"),TEXT(O27,"yyyy"),7)&amp;"/"&amp;thang(TEXT(O27,"d"),TEXT(O27,"m"),TEXT(O27,"yyyy"),7),ngay(TEXT(O27,"d"),TEXT(O27,"m"),TEXT(O27,"yyyy"),7)))</f>
        <v>18</v>
      </c>
      <c r="P28" s="80">
        <f>IF(P27="","",IF(ngay(TEXT(P27,"d"),TEXT(P27,"m"),TEXT(P27,"yyyy"),7)=1,ngay(TEXT(P27,"d"),TEXT(P27,"m"),TEXT(P27,"yyyy"),7)&amp;"/"&amp;thang(TEXT(P27,"d"),TEXT(P27,"m"),TEXT(P27,"yyyy"),7),ngay(TEXT(P27,"d"),TEXT(P27,"m"),TEXT(P27,"yyyy"),7)))</f>
        <v>19</v>
      </c>
      <c r="Q28" s="20"/>
      <c r="R28" s="73">
        <f>IF(R27="","",IF(ngay(TEXT(R27,"d"),TEXT(R27,"m"),TEXT(R27,"yyyy"),7)=1,ngay(TEXT(R27,"d"),TEXT(R27,"m"),TEXT(R27,"yyyy"),7)&amp;"/"&amp;thang(TEXT(R27,"d"),TEXT(R27,"m"),TEXT(R27,"yyyy"),7),ngay(TEXT(R27,"d"),TEXT(R27,"m"),TEXT(R27,"yyyy"),7)))</f>
        <v>11</v>
      </c>
      <c r="S28" s="74">
        <f>IF(S27="","",IF(ngay(TEXT(S27,"d"),TEXT(S27,"m"),TEXT(S27,"yyyy"),7)=1,ngay(TEXT(S27,"d"),TEXT(S27,"m"),TEXT(S27,"yyyy"),7)&amp;"/"&amp;thang(TEXT(S27,"d"),TEXT(S27,"m"),TEXT(S27,"yyyy"),7),ngay(TEXT(S27,"d"),TEXT(S27,"m"),TEXT(S27,"yyyy"),7)))</f>
        <v>12</v>
      </c>
      <c r="T28" s="74">
        <f>IF(T27="","",IF(ngay(TEXT(T27,"d"),TEXT(T27,"m"),TEXT(T27,"yyyy"),7)=1,ngay(TEXT(T27,"d"),TEXT(T27,"m"),TEXT(T27,"yyyy"),7)&amp;"/"&amp;thang(TEXT(T27,"d"),TEXT(T27,"m"),TEXT(T27,"yyyy"),7),ngay(TEXT(T27,"d"),TEXT(T27,"m"),TEXT(T27,"yyyy"),7)))</f>
        <v>13</v>
      </c>
      <c r="U28" s="74">
        <f>IF(U27="","",IF(ngay(TEXT(U27,"d"),TEXT(U27,"m"),TEXT(U27,"yyyy"),7)=1,ngay(TEXT(U27,"d"),TEXT(U27,"m"),TEXT(U27,"yyyy"),7)&amp;"/"&amp;thang(TEXT(U27,"d"),TEXT(U27,"m"),TEXT(U27,"yyyy"),7),ngay(TEXT(U27,"d"),TEXT(U27,"m"),TEXT(U27,"yyyy"),7)))</f>
        <v>14</v>
      </c>
      <c r="V28" s="74">
        <f>IF(V27="","",IF(ngay(TEXT(V27,"d"),TEXT(V27,"m"),TEXT(V27,"yyyy"),7)=1,ngay(TEXT(V27,"d"),TEXT(V27,"m"),TEXT(V27,"yyyy"),7)&amp;"/"&amp;thang(TEXT(V27,"d"),TEXT(V27,"m"),TEXT(V27,"yyyy"),7),ngay(TEXT(V27,"d"),TEXT(V27,"m"),TEXT(V27,"yyyy"),7)))</f>
        <v>15</v>
      </c>
      <c r="W28" s="74">
        <f>IF(W27="","",IF(ngay(TEXT(W27,"d"),TEXT(W27,"m"),TEXT(W27,"yyyy"),7)=1,ngay(TEXT(W27,"d"),TEXT(W27,"m"),TEXT(W27,"yyyy"),7)&amp;"/"&amp;thang(TEXT(W27,"d"),TEXT(W27,"m"),TEXT(W27,"yyyy"),7),ngay(TEXT(W27,"d"),TEXT(W27,"m"),TEXT(W27,"yyyy"),7)))</f>
        <v>16</v>
      </c>
      <c r="X28" s="80">
        <f>IF(X27="","",IF(ngay(TEXT(X27,"d"),TEXT(X27,"m"),TEXT(X27,"yyyy"),7)=1,ngay(TEXT(X27,"d"),TEXT(X27,"m"),TEXT(X27,"yyyy"),7)&amp;"/"&amp;thang(TEXT(X27,"d"),TEXT(X27,"m"),TEXT(X27,"yyyy"),7),ngay(TEXT(X27,"d"),TEXT(X27,"m"),TEXT(X27,"yyyy"),7)))</f>
        <v>17</v>
      </c>
    </row>
    <row r="29" spans="1:25" s="4" customFormat="1" ht="45.95" customHeight="1" x14ac:dyDescent="0.3">
      <c r="B29" s="153">
        <f>IF(H27="","",IF(MONTH(H27+1)&lt;&gt;MONTH(H27),"",H27+1))</f>
        <v>42835</v>
      </c>
      <c r="C29" s="154">
        <f>IF(B29="","",IF(MONTH(B29+1)&lt;&gt;MONTH(B29),"",B29+1))</f>
        <v>42836</v>
      </c>
      <c r="D29" s="154">
        <f t="shared" ref="D29:H29" si="38">IF(C29="","",IF(MONTH(C29+1)&lt;&gt;MONTH(C29),"",C29+1))</f>
        <v>42837</v>
      </c>
      <c r="E29" s="154">
        <f t="shared" si="38"/>
        <v>42838</v>
      </c>
      <c r="F29" s="154">
        <f t="shared" si="38"/>
        <v>42839</v>
      </c>
      <c r="G29" s="155">
        <f t="shared" si="38"/>
        <v>42840</v>
      </c>
      <c r="H29" s="156">
        <f t="shared" si="38"/>
        <v>42841</v>
      </c>
      <c r="I29" s="16"/>
      <c r="J29" s="153">
        <f>IF(P27="","",IF(MONTH(P27+1)&lt;&gt;MONTH(P27),"",P27+1))</f>
        <v>42870</v>
      </c>
      <c r="K29" s="154">
        <f>IF(J29="","",IF(MONTH(J29+1)&lt;&gt;MONTH(J29),"",J29+1))</f>
        <v>42871</v>
      </c>
      <c r="L29" s="154">
        <f t="shared" ref="L29:P29" si="39">IF(K29="","",IF(MONTH(K29+1)&lt;&gt;MONTH(K29),"",K29+1))</f>
        <v>42872</v>
      </c>
      <c r="M29" s="154">
        <f t="shared" si="39"/>
        <v>42873</v>
      </c>
      <c r="N29" s="154">
        <f t="shared" si="39"/>
        <v>42874</v>
      </c>
      <c r="O29" s="155">
        <f t="shared" si="39"/>
        <v>42875</v>
      </c>
      <c r="P29" s="156">
        <f t="shared" si="39"/>
        <v>42876</v>
      </c>
      <c r="Q29" s="16"/>
      <c r="R29" s="71">
        <f>IF(X27="","",IF(MONTH(X27+1)&lt;&gt;MONTH(X27),"",X27+1))</f>
        <v>42898</v>
      </c>
      <c r="S29" s="72">
        <f>IF(R29="","",IF(MONTH(R29+1)&lt;&gt;MONTH(R29),"",R29+1))</f>
        <v>42899</v>
      </c>
      <c r="T29" s="72">
        <f t="shared" ref="T29:X29" si="40">IF(S29="","",IF(MONTH(S29+1)&lt;&gt;MONTH(S29),"",S29+1))</f>
        <v>42900</v>
      </c>
      <c r="U29" s="72">
        <f t="shared" si="40"/>
        <v>42901</v>
      </c>
      <c r="V29" s="72">
        <f t="shared" si="40"/>
        <v>42902</v>
      </c>
      <c r="W29" s="77">
        <f t="shared" si="40"/>
        <v>42903</v>
      </c>
      <c r="X29" s="78">
        <f t="shared" si="40"/>
        <v>42904</v>
      </c>
    </row>
    <row r="30" spans="1:25" s="18" customFormat="1" ht="45.95" customHeight="1" x14ac:dyDescent="0.2">
      <c r="B30" s="64">
        <f>IF(B29="","",IF(ngay(TEXT(B29,"d"),TEXT(B29,"m"),TEXT(B29,"yyyy"),7)=1,ngay(TEXT(B29,"d"),TEXT(B29,"m"),TEXT(B29,"yyyy"),7)&amp;"/"&amp;thang(TEXT(B29,"d"),TEXT(B29,"m"),TEXT(B29,"yyyy"),7),ngay(TEXT(B29,"d"),TEXT(B29,"m"),TEXT(B29,"yyyy"),7)))</f>
        <v>14</v>
      </c>
      <c r="C30" s="69">
        <f>IF(C29="","",IF(ngay(TEXT(C29,"d"),TEXT(C29,"m"),TEXT(C29,"yyyy"),7)=1,ngay(TEXT(C29,"d"),TEXT(C29,"m"),TEXT(C29,"yyyy"),7)&amp;"/"&amp;thang(TEXT(C29,"d"),TEXT(C29,"m"),TEXT(C29,"yyyy"),7),ngay(TEXT(C29,"d"),TEXT(C29,"m"),TEXT(C29,"yyyy"),7)))</f>
        <v>15</v>
      </c>
      <c r="D30" s="69">
        <f>IF(D29="","",IF(ngay(TEXT(D29,"d"),TEXT(D29,"m"),TEXT(D29,"yyyy"),7)=1,ngay(TEXT(D29,"d"),TEXT(D29,"m"),TEXT(D29,"yyyy"),7)&amp;"/"&amp;thang(TEXT(D29,"d"),TEXT(D29,"m"),TEXT(D29,"yyyy"),7),ngay(TEXT(D29,"d"),TEXT(D29,"m"),TEXT(D29,"yyyy"),7)))</f>
        <v>16</v>
      </c>
      <c r="E30" s="69">
        <f>IF(E29="","",IF(ngay(TEXT(E29,"d"),TEXT(E29,"m"),TEXT(E29,"yyyy"),7)=1,ngay(TEXT(E29,"d"),TEXT(E29,"m"),TEXT(E29,"yyyy"),7)&amp;"/"&amp;thang(TEXT(E29,"d"),TEXT(E29,"m"),TEXT(E29,"yyyy"),7),ngay(TEXT(E29,"d"),TEXT(E29,"m"),TEXT(E29,"yyyy"),7)))</f>
        <v>17</v>
      </c>
      <c r="F30" s="69">
        <f>IF(F29="","",IF(ngay(TEXT(F29,"d"),TEXT(F29,"m"),TEXT(F29,"yyyy"),7)=1,ngay(TEXT(F29,"d"),TEXT(F29,"m"),TEXT(F29,"yyyy"),7)&amp;"/"&amp;thang(TEXT(F29,"d"),TEXT(F29,"m"),TEXT(F29,"yyyy"),7),ngay(TEXT(F29,"d"),TEXT(F29,"m"),TEXT(F29,"yyyy"),7)))</f>
        <v>18</v>
      </c>
      <c r="G30" s="69">
        <f>IF(G29="","",IF(ngay(TEXT(G29,"d"),TEXT(G29,"m"),TEXT(G29,"yyyy"),7)=1,ngay(TEXT(G29,"d"),TEXT(G29,"m"),TEXT(G29,"yyyy"),7)&amp;"/"&amp;thang(TEXT(G29,"d"),TEXT(G29,"m"),TEXT(G29,"yyyy"),7),ngay(TEXT(G29,"d"),TEXT(G29,"m"),TEXT(G29,"yyyy"),7)))</f>
        <v>19</v>
      </c>
      <c r="H30" s="70">
        <f>IF(H29="","",IF(ngay(TEXT(H29,"d"),TEXT(H29,"m"),TEXT(H29,"yyyy"),7)=1,ngay(TEXT(H29,"d"),TEXT(H29,"m"),TEXT(H29,"yyyy"),7)&amp;"/"&amp;thang(TEXT(H29,"d"),TEXT(H29,"m"),TEXT(H29,"yyyy"),7),ngay(TEXT(H29,"d"),TEXT(H29,"m"),TEXT(H29,"yyyy"),7)))</f>
        <v>20</v>
      </c>
      <c r="I30" s="20"/>
      <c r="J30" s="73">
        <f>IF(J29="","",IF(ngay(TEXT(J29,"d"),TEXT(J29,"m"),TEXT(J29,"yyyy"),7)=1,ngay(TEXT(J29,"d"),TEXT(J29,"m"),TEXT(J29,"yyyy"),7)&amp;"/"&amp;thang(TEXT(J29,"d"),TEXT(J29,"m"),TEXT(J29,"yyyy"),7),ngay(TEXT(J29,"d"),TEXT(J29,"m"),TEXT(J29,"yyyy"),7)))</f>
        <v>20</v>
      </c>
      <c r="K30" s="74">
        <f>IF(K29="","",IF(ngay(TEXT(K29,"d"),TEXT(K29,"m"),TEXT(K29,"yyyy"),7)=1,ngay(TEXT(K29,"d"),TEXT(K29,"m"),TEXT(K29,"yyyy"),7)&amp;"/"&amp;thang(TEXT(K29,"d"),TEXT(K29,"m"),TEXT(K29,"yyyy"),7),ngay(TEXT(K29,"d"),TEXT(K29,"m"),TEXT(K29,"yyyy"),7)))</f>
        <v>21</v>
      </c>
      <c r="L30" s="74">
        <f>IF(L29="","",IF(ngay(TEXT(L29,"d"),TEXT(L29,"m"),TEXT(L29,"yyyy"),7)=1,ngay(TEXT(L29,"d"),TEXT(L29,"m"),TEXT(L29,"yyyy"),7)&amp;"/"&amp;thang(TEXT(L29,"d"),TEXT(L29,"m"),TEXT(L29,"yyyy"),7),ngay(TEXT(L29,"d"),TEXT(L29,"m"),TEXT(L29,"yyyy"),7)))</f>
        <v>22</v>
      </c>
      <c r="M30" s="74">
        <f>IF(M29="","",IF(ngay(TEXT(M29,"d"),TEXT(M29,"m"),TEXT(M29,"yyyy"),7)=1,ngay(TEXT(M29,"d"),TEXT(M29,"m"),TEXT(M29,"yyyy"),7)&amp;"/"&amp;thang(TEXT(M29,"d"),TEXT(M29,"m"),TEXT(M29,"yyyy"),7),ngay(TEXT(M29,"d"),TEXT(M29,"m"),TEXT(M29,"yyyy"),7)))</f>
        <v>23</v>
      </c>
      <c r="N30" s="74">
        <f>IF(N29="","",IF(ngay(TEXT(N29,"d"),TEXT(N29,"m"),TEXT(N29,"yyyy"),7)=1,ngay(TEXT(N29,"d"),TEXT(N29,"m"),TEXT(N29,"yyyy"),7)&amp;"/"&amp;thang(TEXT(N29,"d"),TEXT(N29,"m"),TEXT(N29,"yyyy"),7),ngay(TEXT(N29,"d"),TEXT(N29,"m"),TEXT(N29,"yyyy"),7)))</f>
        <v>24</v>
      </c>
      <c r="O30" s="74">
        <f>IF(O29="","",IF(ngay(TEXT(O29,"d"),TEXT(O29,"m"),TEXT(O29,"yyyy"),7)=1,ngay(TEXT(O29,"d"),TEXT(O29,"m"),TEXT(O29,"yyyy"),7)&amp;"/"&amp;thang(TEXT(O29,"d"),TEXT(O29,"m"),TEXT(O29,"yyyy"),7),ngay(TEXT(O29,"d"),TEXT(O29,"m"),TEXT(O29,"yyyy"),7)))</f>
        <v>25</v>
      </c>
      <c r="P30" s="80">
        <f>IF(P29="","",IF(ngay(TEXT(P29,"d"),TEXT(P29,"m"),TEXT(P29,"yyyy"),7)=1,ngay(TEXT(P29,"d"),TEXT(P29,"m"),TEXT(P29,"yyyy"),7)&amp;"/"&amp;thang(TEXT(P29,"d"),TEXT(P29,"m"),TEXT(P29,"yyyy"),7),ngay(TEXT(P29,"d"),TEXT(P29,"m"),TEXT(P29,"yyyy"),7)))</f>
        <v>26</v>
      </c>
      <c r="Q30" s="20"/>
      <c r="R30" s="73">
        <f>IF(R29="","",IF(ngay(TEXT(R29,"d"),TEXT(R29,"m"),TEXT(R29,"yyyy"),7)=1,ngay(TEXT(R29,"d"),TEXT(R29,"m"),TEXT(R29,"yyyy"),7)&amp;"/"&amp;thang(TEXT(R29,"d"),TEXT(R29,"m"),TEXT(R29,"yyyy"),7),ngay(TEXT(R29,"d"),TEXT(R29,"m"),TEXT(R29,"yyyy"),7)))</f>
        <v>18</v>
      </c>
      <c r="S30" s="74">
        <f>IF(S29="","",IF(ngay(TEXT(S29,"d"),TEXT(S29,"m"),TEXT(S29,"yyyy"),7)=1,ngay(TEXT(S29,"d"),TEXT(S29,"m"),TEXT(S29,"yyyy"),7)&amp;"/"&amp;thang(TEXT(S29,"d"),TEXT(S29,"m"),TEXT(S29,"yyyy"),7),ngay(TEXT(S29,"d"),TEXT(S29,"m"),TEXT(S29,"yyyy"),7)))</f>
        <v>19</v>
      </c>
      <c r="T30" s="74">
        <f>IF(T29="","",IF(ngay(TEXT(T29,"d"),TEXT(T29,"m"),TEXT(T29,"yyyy"),7)=1,ngay(TEXT(T29,"d"),TEXT(T29,"m"),TEXT(T29,"yyyy"),7)&amp;"/"&amp;thang(TEXT(T29,"d"),TEXT(T29,"m"),TEXT(T29,"yyyy"),7),ngay(TEXT(T29,"d"),TEXT(T29,"m"),TEXT(T29,"yyyy"),7)))</f>
        <v>20</v>
      </c>
      <c r="U30" s="74">
        <f>IF(U29="","",IF(ngay(TEXT(U29,"d"),TEXT(U29,"m"),TEXT(U29,"yyyy"),7)=1,ngay(TEXT(U29,"d"),TEXT(U29,"m"),TEXT(U29,"yyyy"),7)&amp;"/"&amp;thang(TEXT(U29,"d"),TEXT(U29,"m"),TEXT(U29,"yyyy"),7),ngay(TEXT(U29,"d"),TEXT(U29,"m"),TEXT(U29,"yyyy"),7)))</f>
        <v>21</v>
      </c>
      <c r="V30" s="74">
        <f>IF(V29="","",IF(ngay(TEXT(V29,"d"),TEXT(V29,"m"),TEXT(V29,"yyyy"),7)=1,ngay(TEXT(V29,"d"),TEXT(V29,"m"),TEXT(V29,"yyyy"),7)&amp;"/"&amp;thang(TEXT(V29,"d"),TEXT(V29,"m"),TEXT(V29,"yyyy"),7),ngay(TEXT(V29,"d"),TEXT(V29,"m"),TEXT(V29,"yyyy"),7)))</f>
        <v>22</v>
      </c>
      <c r="W30" s="74">
        <f>IF(W29="","",IF(ngay(TEXT(W29,"d"),TEXT(W29,"m"),TEXT(W29,"yyyy"),7)=1,ngay(TEXT(W29,"d"),TEXT(W29,"m"),TEXT(W29,"yyyy"),7)&amp;"/"&amp;thang(TEXT(W29,"d"),TEXT(W29,"m"),TEXT(W29,"yyyy"),7),ngay(TEXT(W29,"d"),TEXT(W29,"m"),TEXT(W29,"yyyy"),7)))</f>
        <v>23</v>
      </c>
      <c r="X30" s="80">
        <f>IF(X29="","",IF(ngay(TEXT(X29,"d"),TEXT(X29,"m"),TEXT(X29,"yyyy"),7)=1,ngay(TEXT(X29,"d"),TEXT(X29,"m"),TEXT(X29,"yyyy"),7)&amp;"/"&amp;thang(TEXT(X29,"d"),TEXT(X29,"m"),TEXT(X29,"yyyy"),7),ngay(TEXT(X29,"d"),TEXT(X29,"m"),TEXT(X29,"yyyy"),7)))</f>
        <v>24</v>
      </c>
    </row>
    <row r="31" spans="1:25" s="4" customFormat="1" ht="45.95" customHeight="1" x14ac:dyDescent="0.3">
      <c r="B31" s="153">
        <f>IF(H29="","",IF(MONTH(H29+1)&lt;&gt;MONTH(H29),"",H29+1))</f>
        <v>42842</v>
      </c>
      <c r="C31" s="154">
        <f>IF(B31="","",IF(MONTH(B31+1)&lt;&gt;MONTH(B31),"",B31+1))</f>
        <v>42843</v>
      </c>
      <c r="D31" s="154">
        <f t="shared" ref="D31:H31" si="41">IF(C31="","",IF(MONTH(C31+1)&lt;&gt;MONTH(C31),"",C31+1))</f>
        <v>42844</v>
      </c>
      <c r="E31" s="154">
        <f t="shared" si="41"/>
        <v>42845</v>
      </c>
      <c r="F31" s="154">
        <f t="shared" si="41"/>
        <v>42846</v>
      </c>
      <c r="G31" s="155">
        <f t="shared" si="41"/>
        <v>42847</v>
      </c>
      <c r="H31" s="156">
        <f t="shared" si="41"/>
        <v>42848</v>
      </c>
      <c r="I31" s="16"/>
      <c r="J31" s="49">
        <f>IF(P29="","",IF(MONTH(P29+1)&lt;&gt;MONTH(P29),"",P29+1))</f>
        <v>42877</v>
      </c>
      <c r="K31" s="50">
        <f>IF(J31="","",IF(MONTH(J31+1)&lt;&gt;MONTH(J31),"",J31+1))</f>
        <v>42878</v>
      </c>
      <c r="L31" s="50">
        <f t="shared" ref="L31:P31" si="42">IF(K31="","",IF(MONTH(K31+1)&lt;&gt;MONTH(K31),"",K31+1))</f>
        <v>42879</v>
      </c>
      <c r="M31" s="50">
        <f t="shared" si="42"/>
        <v>42880</v>
      </c>
      <c r="N31" s="50">
        <f t="shared" si="42"/>
        <v>42881</v>
      </c>
      <c r="O31" s="51">
        <f t="shared" si="42"/>
        <v>42882</v>
      </c>
      <c r="P31" s="52">
        <f t="shared" si="42"/>
        <v>42883</v>
      </c>
      <c r="Q31" s="16"/>
      <c r="R31" s="71">
        <f>IF(X29="","",IF(MONTH(X29+1)&lt;&gt;MONTH(X29),"",X29+1))</f>
        <v>42905</v>
      </c>
      <c r="S31" s="72">
        <f>IF(R31="","",IF(MONTH(R31+1)&lt;&gt;MONTH(R31),"",R31+1))</f>
        <v>42906</v>
      </c>
      <c r="T31" s="72">
        <f t="shared" ref="T31:X31" si="43">IF(S31="","",IF(MONTH(S31+1)&lt;&gt;MONTH(S31),"",S31+1))</f>
        <v>42907</v>
      </c>
      <c r="U31" s="72">
        <f t="shared" si="43"/>
        <v>42908</v>
      </c>
      <c r="V31" s="72">
        <f t="shared" si="43"/>
        <v>42909</v>
      </c>
      <c r="W31" s="77">
        <f t="shared" si="43"/>
        <v>42910</v>
      </c>
      <c r="X31" s="78">
        <f t="shared" si="43"/>
        <v>42911</v>
      </c>
      <c r="Y31" s="79"/>
    </row>
    <row r="32" spans="1:25" s="18" customFormat="1" ht="45.95" customHeight="1" x14ac:dyDescent="0.2">
      <c r="B32" s="64">
        <f>IF(B31="","",IF(ngay(TEXT(B31,"d"),TEXT(B31,"m"),TEXT(B31,"yyyy"),7)=1,ngay(TEXT(B31,"d"),TEXT(B31,"m"),TEXT(B31,"yyyy"),7)&amp;"/"&amp;thang(TEXT(B31,"d"),TEXT(B31,"m"),TEXT(B31,"yyyy"),7),ngay(TEXT(B31,"d"),TEXT(B31,"m"),TEXT(B31,"yyyy"),7)))</f>
        <v>21</v>
      </c>
      <c r="C32" s="69">
        <f>IF(C31="","",IF(ngay(TEXT(C31,"d"),TEXT(C31,"m"),TEXT(C31,"yyyy"),7)=1,ngay(TEXT(C31,"d"),TEXT(C31,"m"),TEXT(C31,"yyyy"),7)&amp;"/"&amp;thang(TEXT(C31,"d"),TEXT(C31,"m"),TEXT(C31,"yyyy"),7),ngay(TEXT(C31,"d"),TEXT(C31,"m"),TEXT(C31,"yyyy"),7)))</f>
        <v>22</v>
      </c>
      <c r="D32" s="69">
        <f>IF(D31="","",IF(ngay(TEXT(D31,"d"),TEXT(D31,"m"),TEXT(D31,"yyyy"),7)=1,ngay(TEXT(D31,"d"),TEXT(D31,"m"),TEXT(D31,"yyyy"),7)&amp;"/"&amp;thang(TEXT(D31,"d"),TEXT(D31,"m"),TEXT(D31,"yyyy"),7),ngay(TEXT(D31,"d"),TEXT(D31,"m"),TEXT(D31,"yyyy"),7)))</f>
        <v>23</v>
      </c>
      <c r="E32" s="69">
        <f>IF(E31="","",IF(ngay(TEXT(E31,"d"),TEXT(E31,"m"),TEXT(E31,"yyyy"),7)=1,ngay(TEXT(E31,"d"),TEXT(E31,"m"),TEXT(E31,"yyyy"),7)&amp;"/"&amp;thang(TEXT(E31,"d"),TEXT(E31,"m"),TEXT(E31,"yyyy"),7),ngay(TEXT(E31,"d"),TEXT(E31,"m"),TEXT(E31,"yyyy"),7)))</f>
        <v>24</v>
      </c>
      <c r="F32" s="69">
        <f>IF(F31="","",IF(ngay(TEXT(F31,"d"),TEXT(F31,"m"),TEXT(F31,"yyyy"),7)=1,ngay(TEXT(F31,"d"),TEXT(F31,"m"),TEXT(F31,"yyyy"),7)&amp;"/"&amp;thang(TEXT(F31,"d"),TEXT(F31,"m"),TEXT(F31,"yyyy"),7),ngay(TEXT(F31,"d"),TEXT(F31,"m"),TEXT(F31,"yyyy"),7)))</f>
        <v>25</v>
      </c>
      <c r="G32" s="69">
        <f>IF(G31="","",IF(ngay(TEXT(G31,"d"),TEXT(G31,"m"),TEXT(G31,"yyyy"),7)=1,ngay(TEXT(G31,"d"),TEXT(G31,"m"),TEXT(G31,"yyyy"),7)&amp;"/"&amp;thang(TEXT(G31,"d"),TEXT(G31,"m"),TEXT(G31,"yyyy"),7),ngay(TEXT(G31,"d"),TEXT(G31,"m"),TEXT(G31,"yyyy"),7)))</f>
        <v>26</v>
      </c>
      <c r="H32" s="70">
        <f>IF(H31="","",IF(ngay(TEXT(H31,"d"),TEXT(H31,"m"),TEXT(H31,"yyyy"),7)=1,ngay(TEXT(H31,"d"),TEXT(H31,"m"),TEXT(H31,"yyyy"),7)&amp;"/"&amp;thang(TEXT(H31,"d"),TEXT(H31,"m"),TEXT(H31,"yyyy"),7),ngay(TEXT(H31,"d"),TEXT(H31,"m"),TEXT(H31,"yyyy"),7)))</f>
        <v>27</v>
      </c>
      <c r="I32" s="20"/>
      <c r="J32" s="73">
        <f>IF(J31="","",IF(ngay(TEXT(J31,"d"),TEXT(J31,"m"),TEXT(J31,"yyyy"),7)=1,ngay(TEXT(J31,"d"),TEXT(J31,"m"),TEXT(J31,"yyyy"),7)&amp;"/"&amp;thang(TEXT(J31,"d"),TEXT(J31,"m"),TEXT(J31,"yyyy"),7),ngay(TEXT(J31,"d"),TEXT(J31,"m"),TEXT(J31,"yyyy"),7)))</f>
        <v>27</v>
      </c>
      <c r="K32" s="74">
        <f>IF(K31="","",IF(ngay(TEXT(K31,"d"),TEXT(K31,"m"),TEXT(K31,"yyyy"),7)=1,ngay(TEXT(K31,"d"),TEXT(K31,"m"),TEXT(K31,"yyyy"),7)&amp;"/"&amp;thang(TEXT(K31,"d"),TEXT(K31,"m"),TEXT(K31,"yyyy"),7),ngay(TEXT(K31,"d"),TEXT(K31,"m"),TEXT(K31,"yyyy"),7)))</f>
        <v>28</v>
      </c>
      <c r="L32" s="74">
        <f>IF(L31="","",IF(ngay(TEXT(L31,"d"),TEXT(L31,"m"),TEXT(L31,"yyyy"),7)=1,ngay(TEXT(L31,"d"),TEXT(L31,"m"),TEXT(L31,"yyyy"),7)&amp;"/"&amp;thang(TEXT(L31,"d"),TEXT(L31,"m"),TEXT(L31,"yyyy"),7),ngay(TEXT(L31,"d"),TEXT(L31,"m"),TEXT(L31,"yyyy"),7)))</f>
        <v>29</v>
      </c>
      <c r="M32" s="74">
        <f>IF(M31="","",IF(ngay(TEXT(M31,"d"),TEXT(M31,"m"),TEXT(M31,"yyyy"),7)=1,ngay(TEXT(M31,"d"),TEXT(M31,"m"),TEXT(M31,"yyyy"),7)&amp;"/"&amp;thang(TEXT(M31,"d"),TEXT(M31,"m"),TEXT(M31,"yyyy"),7),ngay(TEXT(M31,"d"),TEXT(M31,"m"),TEXT(M31,"yyyy"),7)))</f>
        <v>30</v>
      </c>
      <c r="N32" s="74" t="str">
        <f>IF(N31="","",IF(ngay(TEXT(N31,"d"),TEXT(N31,"m"),TEXT(N31,"yyyy"),7)=1,ngay(TEXT(N31,"d"),TEXT(N31,"m"),TEXT(N31,"yyyy"),7)&amp;"/"&amp;thang(TEXT(N31,"d"),TEXT(N31,"m"),TEXT(N31,"yyyy"),7),ngay(TEXT(N31,"d"),TEXT(N31,"m"),TEXT(N31,"yyyy"),7)))</f>
        <v>1/5</v>
      </c>
      <c r="O32" s="74">
        <f>IF(O31="","",IF(ngay(TEXT(O31,"d"),TEXT(O31,"m"),TEXT(O31,"yyyy"),7)=1,ngay(TEXT(O31,"d"),TEXT(O31,"m"),TEXT(O31,"yyyy"),7)&amp;"/"&amp;thang(TEXT(O31,"d"),TEXT(O31,"m"),TEXT(O31,"yyyy"),7),ngay(TEXT(O31,"d"),TEXT(O31,"m"),TEXT(O31,"yyyy"),7)))</f>
        <v>2</v>
      </c>
      <c r="P32" s="80">
        <f>IF(P31="","",IF(ngay(TEXT(P31,"d"),TEXT(P31,"m"),TEXT(P31,"yyyy"),7)=1,ngay(TEXT(P31,"d"),TEXT(P31,"m"),TEXT(P31,"yyyy"),7)&amp;"/"&amp;thang(TEXT(P31,"d"),TEXT(P31,"m"),TEXT(P31,"yyyy"),7),ngay(TEXT(P31,"d"),TEXT(P31,"m"),TEXT(P31,"yyyy"),7)))</f>
        <v>3</v>
      </c>
      <c r="Q32" s="20"/>
      <c r="R32" s="64">
        <f>IF(R31="","",IF(ngay(TEXT(R31,"d"),TEXT(R31,"m"),TEXT(R31,"yyyy"),7)=1,ngay(TEXT(R31,"d"),TEXT(R31,"m"),TEXT(R31,"yyyy"),7)&amp;"/"&amp;thang(TEXT(R31,"d"),TEXT(R31,"m"),TEXT(R31,"yyyy"),7),ngay(TEXT(R31,"d"),TEXT(R31,"m"),TEXT(R31,"yyyy"),7)))</f>
        <v>25</v>
      </c>
      <c r="S32" s="69">
        <f>IF(S31="","",IF(ngay(TEXT(S31,"d"),TEXT(S31,"m"),TEXT(S31,"yyyy"),7)=1,ngay(TEXT(S31,"d"),TEXT(S31,"m"),TEXT(S31,"yyyy"),7)&amp;"/"&amp;thang(TEXT(S31,"d"),TEXT(S31,"m"),TEXT(S31,"yyyy"),7),ngay(TEXT(S31,"d"),TEXT(S31,"m"),TEXT(S31,"yyyy"),7)))</f>
        <v>26</v>
      </c>
      <c r="T32" s="69">
        <f>IF(T31="","",IF(ngay(TEXT(T31,"d"),TEXT(T31,"m"),TEXT(T31,"yyyy"),7)=1,ngay(TEXT(T31,"d"),TEXT(T31,"m"),TEXT(T31,"yyyy"),7)&amp;"/"&amp;thang(TEXT(T31,"d"),TEXT(T31,"m"),TEXT(T31,"yyyy"),7),ngay(TEXT(T31,"d"),TEXT(T31,"m"),TEXT(T31,"yyyy"),7)))</f>
        <v>27</v>
      </c>
      <c r="U32" s="69">
        <f>IF(U31="","",IF(ngay(TEXT(U31,"d"),TEXT(U31,"m"),TEXT(U31,"yyyy"),7)=1,ngay(TEXT(U31,"d"),TEXT(U31,"m"),TEXT(U31,"yyyy"),7)&amp;"/"&amp;thang(TEXT(U31,"d"),TEXT(U31,"m"),TEXT(U31,"yyyy"),7),ngay(TEXT(U31,"d"),TEXT(U31,"m"),TEXT(U31,"yyyy"),7)))</f>
        <v>28</v>
      </c>
      <c r="V32" s="69">
        <f>IF(V31="","",IF(ngay(TEXT(V31,"d"),TEXT(V31,"m"),TEXT(V31,"yyyy"),7)=1,ngay(TEXT(V31,"d"),TEXT(V31,"m"),TEXT(V31,"yyyy"),7)&amp;"/"&amp;thang(TEXT(V31,"d"),TEXT(V31,"m"),TEXT(V31,"yyyy"),7),ngay(TEXT(V31,"d"),TEXT(V31,"m"),TEXT(V31,"yyyy"),7)))</f>
        <v>29</v>
      </c>
      <c r="W32" s="69" t="str">
        <f>IF(W31="","",IF(ngay(TEXT(W31,"d"),TEXT(W31,"m"),TEXT(W31,"yyyy"),7)=1,ngay(TEXT(W31,"d"),TEXT(W31,"m"),TEXT(W31,"yyyy"),7)&amp;"/"&amp;thang(TEXT(W31,"d"),TEXT(W31,"m"),TEXT(W31,"yyyy"),7),ngay(TEXT(W31,"d"),TEXT(W31,"m"),TEXT(W31,"yyyy"),7)))</f>
        <v>1/6</v>
      </c>
      <c r="X32" s="70">
        <f>IF(X31="","",IF(ngay(TEXT(X31,"d"),TEXT(X31,"m"),TEXT(X31,"yyyy"),7)=1,ngay(TEXT(X31,"d"),TEXT(X31,"m"),TEXT(X31,"yyyy"),7)&amp;"/"&amp;thang(TEXT(X31,"d"),TEXT(X31,"m"),TEXT(X31,"yyyy"),7),ngay(TEXT(X31,"d"),TEXT(X31,"m"),TEXT(X31,"yyyy"),7)))</f>
        <v>2</v>
      </c>
    </row>
    <row r="33" spans="1:25" s="4" customFormat="1" ht="45.95" customHeight="1" x14ac:dyDescent="0.3">
      <c r="B33" s="153">
        <f>IF(H31="","",IF(MONTH(H31+1)&lt;&gt;MONTH(H31),"",H31+1))</f>
        <v>42849</v>
      </c>
      <c r="C33" s="154">
        <f>IF(B33="","",IF(MONTH(B33+1)&lt;&gt;MONTH(B33),"",B33+1))</f>
        <v>42850</v>
      </c>
      <c r="D33" s="154">
        <f t="shared" ref="D33:H33" si="44">IF(C33="","",IF(MONTH(C33+1)&lt;&gt;MONTH(C33),"",C33+1))</f>
        <v>42851</v>
      </c>
      <c r="E33" s="154">
        <f t="shared" si="44"/>
        <v>42852</v>
      </c>
      <c r="F33" s="154">
        <f t="shared" si="44"/>
        <v>42853</v>
      </c>
      <c r="G33" s="55">
        <f t="shared" si="44"/>
        <v>42854</v>
      </c>
      <c r="H33" s="56">
        <f t="shared" si="44"/>
        <v>42855</v>
      </c>
      <c r="I33" s="16"/>
      <c r="J33" s="71">
        <f>IF(P31="","",IF(MONTH(P31+1)&lt;&gt;MONTH(P31),"",P31+1))</f>
        <v>42884</v>
      </c>
      <c r="K33" s="72">
        <f>IF(J33="","",IF(MONTH(J33+1)&lt;&gt;MONTH(J33),"",J33+1))</f>
        <v>42885</v>
      </c>
      <c r="L33" s="72">
        <f t="shared" ref="L33:P33" si="45">IF(K33="","",IF(MONTH(K33+1)&lt;&gt;MONTH(K33),"",K33+1))</f>
        <v>42886</v>
      </c>
      <c r="M33" s="72" t="str">
        <f t="shared" si="45"/>
        <v/>
      </c>
      <c r="N33" s="72" t="str">
        <f t="shared" si="45"/>
        <v/>
      </c>
      <c r="O33" s="77" t="str">
        <f t="shared" si="45"/>
        <v/>
      </c>
      <c r="P33" s="78" t="str">
        <f t="shared" si="45"/>
        <v/>
      </c>
      <c r="Q33" s="16"/>
      <c r="R33" s="71">
        <f>IF(X31="","",IF(MONTH(X31+1)&lt;&gt;MONTH(X31),"",X31+1))</f>
        <v>42912</v>
      </c>
      <c r="S33" s="72">
        <f>IF(R33="","",IF(MONTH(R33+1)&lt;&gt;MONTH(R33),"",R33+1))</f>
        <v>42913</v>
      </c>
      <c r="T33" s="72">
        <f t="shared" ref="T33:X33" si="46">IF(S33="","",IF(MONTH(S33+1)&lt;&gt;MONTH(S33),"",S33+1))</f>
        <v>42914</v>
      </c>
      <c r="U33" s="72">
        <f t="shared" si="46"/>
        <v>42915</v>
      </c>
      <c r="V33" s="72">
        <f t="shared" si="46"/>
        <v>42916</v>
      </c>
      <c r="W33" s="17" t="str">
        <f t="shared" si="46"/>
        <v/>
      </c>
      <c r="X33" s="29" t="str">
        <f t="shared" si="46"/>
        <v/>
      </c>
    </row>
    <row r="34" spans="1:25" s="18" customFormat="1" ht="45.95" customHeight="1" x14ac:dyDescent="0.2">
      <c r="B34" s="64">
        <f>IF(B33="","",IF(ngay(TEXT(B33,"d"),TEXT(B33,"m"),TEXT(B33,"yyyy"),7)=1,ngay(TEXT(B33,"d"),TEXT(B33,"m"),TEXT(B33,"yyyy"),7)&amp;"/"&amp;thang(TEXT(B33,"d"),TEXT(B33,"m"),TEXT(B33,"yyyy"),7),ngay(TEXT(B33,"d"),TEXT(B33,"m"),TEXT(B33,"yyyy"),7)))</f>
        <v>28</v>
      </c>
      <c r="C34" s="69">
        <f>IF(C33="","",IF(ngay(TEXT(C33,"d"),TEXT(C33,"m"),TEXT(C33,"yyyy"),7)=1,ngay(TEXT(C33,"d"),TEXT(C33,"m"),TEXT(C33,"yyyy"),7)&amp;"/"&amp;thang(TEXT(C33,"d"),TEXT(C33,"m"),TEXT(C33,"yyyy"),7),ngay(TEXT(C33,"d"),TEXT(C33,"m"),TEXT(C33,"yyyy"),7)))</f>
        <v>29</v>
      </c>
      <c r="D34" s="69" t="str">
        <f>IF(D33="","",IF(ngay(TEXT(D33,"d"),TEXT(D33,"m"),TEXT(D33,"yyyy"),7)=1,ngay(TEXT(D33,"d"),TEXT(D33,"m"),TEXT(D33,"yyyy"),7)&amp;"/"&amp;thang(TEXT(D33,"d"),TEXT(D33,"m"),TEXT(D33,"yyyy"),7),ngay(TEXT(D33,"d"),TEXT(D33,"m"),TEXT(D33,"yyyy"),7)))</f>
        <v>1/4</v>
      </c>
      <c r="E34" s="69">
        <f>IF(E33="","",IF(ngay(TEXT(E33,"d"),TEXT(E33,"m"),TEXT(E33,"yyyy"),7)=1,ngay(TEXT(E33,"d"),TEXT(E33,"m"),TEXT(E33,"yyyy"),7)&amp;"/"&amp;thang(TEXT(E33,"d"),TEXT(E33,"m"),TEXT(E33,"yyyy"),7),ngay(TEXT(E33,"d"),TEXT(E33,"m"),TEXT(E33,"yyyy"),7)))</f>
        <v>2</v>
      </c>
      <c r="F34" s="69">
        <f>IF(F33="","",IF(ngay(TEXT(F33,"d"),TEXT(F33,"m"),TEXT(F33,"yyyy"),7)=1,ngay(TEXT(F33,"d"),TEXT(F33,"m"),TEXT(F33,"yyyy"),7)&amp;"/"&amp;thang(TEXT(F33,"d"),TEXT(F33,"m"),TEXT(F33,"yyyy"),7),ngay(TEXT(F33,"d"),TEXT(F33,"m"),TEXT(F33,"yyyy"),7)))</f>
        <v>3</v>
      </c>
      <c r="G34" s="69">
        <f>IF(G33="","",IF(ngay(TEXT(G33,"d"),TEXT(G33,"m"),TEXT(G33,"yyyy"),7)=1,ngay(TEXT(G33,"d"),TEXT(G33,"m"),TEXT(G33,"yyyy"),7)&amp;"/"&amp;thang(TEXT(G33,"d"),TEXT(G33,"m"),TEXT(G33,"yyyy"),7),ngay(TEXT(G33,"d"),TEXT(G33,"m"),TEXT(G33,"yyyy"),7)))</f>
        <v>4</v>
      </c>
      <c r="H34" s="70">
        <f>IF(H33="","",IF(ngay(TEXT(H33,"d"),TEXT(H33,"m"),TEXT(H33,"yyyy"),7)=1,ngay(TEXT(H33,"d"),TEXT(H33,"m"),TEXT(H33,"yyyy"),7)&amp;"/"&amp;thang(TEXT(H33,"d"),TEXT(H33,"m"),TEXT(H33,"yyyy"),7),ngay(TEXT(H33,"d"),TEXT(H33,"m"),TEXT(H33,"yyyy"),7)))</f>
        <v>5</v>
      </c>
      <c r="I34" s="20"/>
      <c r="J34" s="73">
        <f>IF(J33="","",IF(ngay(TEXT(J33,"d"),TEXT(J33,"m"),TEXT(J33,"yyyy"),7)=1,ngay(TEXT(J33,"d"),TEXT(J33,"m"),TEXT(J33,"yyyy"),7)&amp;"/"&amp;thang(TEXT(J33,"d"),TEXT(J33,"m"),TEXT(J33,"yyyy"),7),ngay(TEXT(J33,"d"),TEXT(J33,"m"),TEXT(J33,"yyyy"),7)))</f>
        <v>4</v>
      </c>
      <c r="K34" s="74">
        <f>IF(K33="","",IF(ngay(TEXT(K33,"d"),TEXT(K33,"m"),TEXT(K33,"yyyy"),7)=1,ngay(TEXT(K33,"d"),TEXT(K33,"m"),TEXT(K33,"yyyy"),7)&amp;"/"&amp;thang(TEXT(K33,"d"),TEXT(K33,"m"),TEXT(K33,"yyyy"),7),ngay(TEXT(K33,"d"),TEXT(K33,"m"),TEXT(K33,"yyyy"),7)))</f>
        <v>5</v>
      </c>
      <c r="L34" s="74">
        <f>IF(L33="","",IF(ngay(TEXT(L33,"d"),TEXT(L33,"m"),TEXT(L33,"yyyy"),7)=1,ngay(TEXT(L33,"d"),TEXT(L33,"m"),TEXT(L33,"yyyy"),7)&amp;"/"&amp;thang(TEXT(L33,"d"),TEXT(L33,"m"),TEXT(L33,"yyyy"),7),ngay(TEXT(L33,"d"),TEXT(L33,"m"),TEXT(L33,"yyyy"),7)))</f>
        <v>6</v>
      </c>
      <c r="M34" s="74" t="str">
        <f>IF(M33="","",IF(ngay(TEXT(M33,"d"),TEXT(M33,"m"),TEXT(M33,"yyyy"),7)=1,ngay(TEXT(M33,"d"),TEXT(M33,"m"),TEXT(M33,"yyyy"),7)&amp;"/"&amp;thang(TEXT(M33,"d"),TEXT(M33,"m"),TEXT(M33,"yyyy"),7),ngay(TEXT(M33,"d"),TEXT(M33,"m"),TEXT(M33,"yyyy"),7)))</f>
        <v/>
      </c>
      <c r="N34" s="74" t="str">
        <f>IF(N33="","",IF(ngay(TEXT(N33,"d"),TEXT(N33,"m"),TEXT(N33,"yyyy"),7)=1,ngay(TEXT(N33,"d"),TEXT(N33,"m"),TEXT(N33,"yyyy"),7)&amp;"/"&amp;thang(TEXT(N33,"d"),TEXT(N33,"m"),TEXT(N33,"yyyy"),7),ngay(TEXT(N33,"d"),TEXT(N33,"m"),TEXT(N33,"yyyy"),7)))</f>
        <v/>
      </c>
      <c r="O34" s="74" t="str">
        <f>IF(O33="","",IF(ngay(TEXT(O33,"d"),TEXT(O33,"m"),TEXT(O33,"yyyy"),7)=1,ngay(TEXT(O33,"d"),TEXT(O33,"m"),TEXT(O33,"yyyy"),7)&amp;"/"&amp;thang(TEXT(O33,"d"),TEXT(O33,"m"),TEXT(O33,"yyyy"),7),ngay(TEXT(O33,"d"),TEXT(O33,"m"),TEXT(O33,"yyyy"),7)))</f>
        <v/>
      </c>
      <c r="P34" s="80" t="str">
        <f>IF(P33="","",IF(ngay(TEXT(P33,"d"),TEXT(P33,"m"),TEXT(P33,"yyyy"),7)=1,ngay(TEXT(P33,"d"),TEXT(P33,"m"),TEXT(P33,"yyyy"),7)&amp;"/"&amp;thang(TEXT(P33,"d"),TEXT(P33,"m"),TEXT(P33,"yyyy"),7),ngay(TEXT(P33,"d"),TEXT(P33,"m"),TEXT(P33,"yyyy"),7)))</f>
        <v/>
      </c>
      <c r="Q34" s="20"/>
      <c r="R34" s="64">
        <f>IF(R33="","",IF(ngay(TEXT(R33,"d"),TEXT(R33,"m"),TEXT(R33,"yyyy"),7)=1,ngay(TEXT(R33,"d"),TEXT(R33,"m"),TEXT(R33,"yyyy"),7)&amp;"/"&amp;thang(TEXT(R33,"d"),TEXT(R33,"m"),TEXT(R33,"yyyy"),7),ngay(TEXT(R33,"d"),TEXT(R33,"m"),TEXT(R33,"yyyy"),7)))</f>
        <v>3</v>
      </c>
      <c r="S34" s="69">
        <f>IF(S33="","",IF(ngay(TEXT(S33,"d"),TEXT(S33,"m"),TEXT(S33,"yyyy"),7)=1,ngay(TEXT(S33,"d"),TEXT(S33,"m"),TEXT(S33,"yyyy"),7)&amp;"/"&amp;thang(TEXT(S33,"d"),TEXT(S33,"m"),TEXT(S33,"yyyy"),7),ngay(TEXT(S33,"d"),TEXT(S33,"m"),TEXT(S33,"yyyy"),7)))</f>
        <v>4</v>
      </c>
      <c r="T34" s="69">
        <f>IF(T33="","",IF(ngay(TEXT(T33,"d"),TEXT(T33,"m"),TEXT(T33,"yyyy"),7)=1,ngay(TEXT(T33,"d"),TEXT(T33,"m"),TEXT(T33,"yyyy"),7)&amp;"/"&amp;thang(TEXT(T33,"d"),TEXT(T33,"m"),TEXT(T33,"yyyy"),7),ngay(TEXT(T33,"d"),TEXT(T33,"m"),TEXT(T33,"yyyy"),7)))</f>
        <v>5</v>
      </c>
      <c r="U34" s="69">
        <f>IF(U33="","",IF(ngay(TEXT(U33,"d"),TEXT(U33,"m"),TEXT(U33,"yyyy"),7)=1,ngay(TEXT(U33,"d"),TEXT(U33,"m"),TEXT(U33,"yyyy"),7)&amp;"/"&amp;thang(TEXT(U33,"d"),TEXT(U33,"m"),TEXT(U33,"yyyy"),7),ngay(TEXT(U33,"d"),TEXT(U33,"m"),TEXT(U33,"yyyy"),7)))</f>
        <v>6</v>
      </c>
      <c r="V34" s="69">
        <f>IF(V33="","",IF(ngay(TEXT(V33,"d"),TEXT(V33,"m"),TEXT(V33,"yyyy"),7)=1,ngay(TEXT(V33,"d"),TEXT(V33,"m"),TEXT(V33,"yyyy"),7)&amp;"/"&amp;thang(TEXT(V33,"d"),TEXT(V33,"m"),TEXT(V33,"yyyy"),7),ngay(TEXT(V33,"d"),TEXT(V33,"m"),TEXT(V33,"yyyy"),7)))</f>
        <v>7</v>
      </c>
      <c r="W34" s="19" t="str">
        <f>IF(W33="","",IF(ngay(TEXT(W33,"d"),TEXT(W33,"m"),TEXT(W33,"yyyy"),7)=1,ngay(TEXT(W33,"d"),TEXT(W33,"m"),TEXT(W33,"yyyy"),7)&amp;"/"&amp;thang(TEXT(W33,"d"),TEXT(W33,"m"),TEXT(W33,"yyyy"),7),ngay(TEXT(W33,"d"),TEXT(W33,"m"),TEXT(W33,"yyyy"),7)))</f>
        <v/>
      </c>
      <c r="X34" s="31" t="str">
        <f>IF(X33="","",IF(ngay(TEXT(X33,"d"),TEXT(X33,"m"),TEXT(X33,"yyyy"),7)=1,ngay(TEXT(X33,"d"),TEXT(X33,"m"),TEXT(X33,"yyyy"),7)&amp;"/"&amp;thang(TEXT(X33,"d"),TEXT(X33,"m"),TEXT(X33,"yyyy"),7),ngay(TEXT(X33,"d"),TEXT(X33,"m"),TEXT(X33,"yyyy"),7)))</f>
        <v/>
      </c>
    </row>
    <row r="35" spans="1:25" s="4" customFormat="1" ht="45.95" customHeight="1" x14ac:dyDescent="0.3">
      <c r="B35" s="35" t="str">
        <f>IF(H33="","",IF(MONTH(H33+1)&lt;&gt;MONTH(H33),"",H33+1))</f>
        <v/>
      </c>
      <c r="C35" s="3" t="str">
        <f>IF(B35="","",IF(MONTH(B35+1)&lt;&gt;MONTH(B35),"",B35+1))</f>
        <v/>
      </c>
      <c r="D35" s="3" t="str">
        <f t="shared" ref="D35:H35" si="47">IF(C35="","",IF(MONTH(C35+1)&lt;&gt;MONTH(C35),"",C35+1))</f>
        <v/>
      </c>
      <c r="E35" s="3" t="str">
        <f t="shared" si="47"/>
        <v/>
      </c>
      <c r="F35" s="3" t="str">
        <f t="shared" si="47"/>
        <v/>
      </c>
      <c r="G35" s="17" t="str">
        <f t="shared" si="47"/>
        <v/>
      </c>
      <c r="H35" s="29" t="str">
        <f t="shared" si="47"/>
        <v/>
      </c>
      <c r="I35" s="16"/>
      <c r="J35" s="28" t="str">
        <f>IF(P33="","",IF(MONTH(P33+1)&lt;&gt;MONTH(P33),"",P33+1))</f>
        <v/>
      </c>
      <c r="K35" s="3" t="str">
        <f>IF(J35="","",IF(MONTH(J35+1)&lt;&gt;MONTH(J35),"",J35+1))</f>
        <v/>
      </c>
      <c r="L35" s="3" t="str">
        <f t="shared" ref="L35:P35" si="48">IF(K35="","",IF(MONTH(K35+1)&lt;&gt;MONTH(K35),"",K35+1))</f>
        <v/>
      </c>
      <c r="M35" s="3" t="str">
        <f t="shared" si="48"/>
        <v/>
      </c>
      <c r="N35" s="3" t="str">
        <f t="shared" si="48"/>
        <v/>
      </c>
      <c r="O35" s="17" t="str">
        <f t="shared" si="48"/>
        <v/>
      </c>
      <c r="P35" s="29" t="str">
        <f t="shared" si="48"/>
        <v/>
      </c>
      <c r="Q35" s="16"/>
      <c r="R35" s="28" t="str">
        <f>IF(X33="","",IF(MONTH(X33+1)&lt;&gt;MONTH(X33),"",X33+1))</f>
        <v/>
      </c>
      <c r="S35" s="3" t="str">
        <f>IF(R35="","",IF(MONTH(R35+1)&lt;&gt;MONTH(R35),"",R35+1))</f>
        <v/>
      </c>
      <c r="T35" s="3" t="str">
        <f t="shared" ref="T35:X35" si="49">IF(S35="","",IF(MONTH(S35+1)&lt;&gt;MONTH(S35),"",S35+1))</f>
        <v/>
      </c>
      <c r="U35" s="3" t="str">
        <f t="shared" si="49"/>
        <v/>
      </c>
      <c r="V35" s="3" t="str">
        <f t="shared" si="49"/>
        <v/>
      </c>
      <c r="W35" s="17" t="str">
        <f t="shared" si="49"/>
        <v/>
      </c>
      <c r="X35" s="29" t="str">
        <f t="shared" si="49"/>
        <v/>
      </c>
    </row>
    <row r="36" spans="1:25" s="18" customFormat="1" ht="45.95" customHeight="1" x14ac:dyDescent="0.2">
      <c r="B36" s="32" t="str">
        <f>IF(B35="","",IF(ngay(TEXT(B35,"d"),TEXT(B35,"m"),TEXT(B35,"yyyy"),7)=1,ngay(TEXT(B35,"d"),TEXT(B35,"m"),TEXT(B35,"yyyy"),7)&amp;"/"&amp;thang(TEXT(B35,"d"),TEXT(B35,"m"),TEXT(B35,"yyyy"),7),ngay(TEXT(B35,"d"),TEXT(B35,"m"),TEXT(B35,"yyyy"),7)))</f>
        <v/>
      </c>
      <c r="C36" s="33" t="str">
        <f>IF(C35="","",IF(ngay(TEXT(C35,"d"),TEXT(C35,"m"),TEXT(C35,"yyyy"),7)=1,ngay(TEXT(C35,"d"),TEXT(C35,"m"),TEXT(C35,"yyyy"),7)&amp;"/"&amp;thang(TEXT(C35,"d"),TEXT(C35,"m"),TEXT(C35,"yyyy"),7),ngay(TEXT(C35,"d"),TEXT(C35,"m"),TEXT(C35,"yyyy"),7)))</f>
        <v/>
      </c>
      <c r="D36" s="33" t="str">
        <f>IF(D35="","",IF(ngay(TEXT(D35,"d"),TEXT(D35,"m"),TEXT(D35,"yyyy"),7)=1,ngay(TEXT(D35,"d"),TEXT(D35,"m"),TEXT(D35,"yyyy"),7)&amp;"/"&amp;thang(TEXT(D35,"d"),TEXT(D35,"m"),TEXT(D35,"yyyy"),7),ngay(TEXT(D35,"d"),TEXT(D35,"m"),TEXT(D35,"yyyy"),7)))</f>
        <v/>
      </c>
      <c r="E36" s="33" t="str">
        <f>IF(E35="","",IF(ngay(TEXT(E35,"d"),TEXT(E35,"m"),TEXT(E35,"yyyy"),7)=1,ngay(TEXT(E35,"d"),TEXT(E35,"m"),TEXT(E35,"yyyy"),7)&amp;"/"&amp;thang(TEXT(E35,"d"),TEXT(E35,"m"),TEXT(E35,"yyyy"),7),ngay(TEXT(E35,"d"),TEXT(E35,"m"),TEXT(E35,"yyyy"),7)))</f>
        <v/>
      </c>
      <c r="F36" s="33" t="str">
        <f>IF(F35="","",IF(ngay(TEXT(F35,"d"),TEXT(F35,"m"),TEXT(F35,"yyyy"),7)=1,ngay(TEXT(F35,"d"),TEXT(F35,"m"),TEXT(F35,"yyyy"),7)&amp;"/"&amp;thang(TEXT(F35,"d"),TEXT(F35,"m"),TEXT(F35,"yyyy"),7),ngay(TEXT(F35,"d"),TEXT(F35,"m"),TEXT(F35,"yyyy"),7)))</f>
        <v/>
      </c>
      <c r="G36" s="33" t="str">
        <f>IF(G35="","",IF(ngay(TEXT(G35,"d"),TEXT(G35,"m"),TEXT(G35,"yyyy"),7)=1,ngay(TEXT(G35,"d"),TEXT(G35,"m"),TEXT(G35,"yyyy"),7)&amp;"/"&amp;thang(TEXT(G35,"d"),TEXT(G35,"m"),TEXT(G35,"yyyy"),7),ngay(TEXT(G35,"d"),TEXT(G35,"m"),TEXT(G35,"yyyy"),7)))</f>
        <v/>
      </c>
      <c r="H36" s="34" t="str">
        <f>IF(H35="","",IF(ngay(TEXT(H35,"d"),TEXT(H35,"m"),TEXT(H35,"yyyy"),7)=1,ngay(TEXT(H35,"d"),TEXT(H35,"m"),TEXT(H35,"yyyy"),7)&amp;"/"&amp;thang(TEXT(H35,"d"),TEXT(H35,"m"),TEXT(H35,"yyyy"),7),ngay(TEXT(H35,"d"),TEXT(H35,"m"),TEXT(H35,"yyyy"),7)))</f>
        <v/>
      </c>
      <c r="I36" s="20"/>
      <c r="J36" s="32" t="str">
        <f>IF(J35="","",IF(ngay(TEXT(J35,"d"),TEXT(J35,"m"),TEXT(J35,"yyyy"),7)=1,ngay(TEXT(J35,"d"),TEXT(J35,"m"),TEXT(J35,"yyyy"),7)&amp;"/"&amp;thang(TEXT(J35,"d"),TEXT(J35,"m"),TEXT(J35,"yyyy"),7),ngay(TEXT(J35,"d"),TEXT(J35,"m"),TEXT(J35,"yyyy"),7)))</f>
        <v/>
      </c>
      <c r="K36" s="33" t="str">
        <f>IF(K35="","",IF(ngay(TEXT(K35,"d"),TEXT(K35,"m"),TEXT(K35,"yyyy"),7)=1,ngay(TEXT(K35,"d"),TEXT(K35,"m"),TEXT(K35,"yyyy"),7)&amp;"/"&amp;thang(TEXT(K35,"d"),TEXT(K35,"m"),TEXT(K35,"yyyy"),7),ngay(TEXT(K35,"d"),TEXT(K35,"m"),TEXT(K35,"yyyy"),7)))</f>
        <v/>
      </c>
      <c r="L36" s="33" t="str">
        <f>IF(L35="","",IF(ngay(TEXT(L35,"d"),TEXT(L35,"m"),TEXT(L35,"yyyy"),7)=1,ngay(TEXT(L35,"d"),TEXT(L35,"m"),TEXT(L35,"yyyy"),7)&amp;"/"&amp;thang(TEXT(L35,"d"),TEXT(L35,"m"),TEXT(L35,"yyyy"),7),ngay(TEXT(L35,"d"),TEXT(L35,"m"),TEXT(L35,"yyyy"),7)))</f>
        <v/>
      </c>
      <c r="M36" s="33" t="str">
        <f>IF(M35="","",IF(ngay(TEXT(M35,"d"),TEXT(M35,"m"),TEXT(M35,"yyyy"),7)=1,ngay(TEXT(M35,"d"),TEXT(M35,"m"),TEXT(M35,"yyyy"),7)&amp;"/"&amp;thang(TEXT(M35,"d"),TEXT(M35,"m"),TEXT(M35,"yyyy"),7),ngay(TEXT(M35,"d"),TEXT(M35,"m"),TEXT(M35,"yyyy"),7)))</f>
        <v/>
      </c>
      <c r="N36" s="33" t="str">
        <f>IF(N35="","",IF(ngay(TEXT(N35,"d"),TEXT(N35,"m"),TEXT(N35,"yyyy"),7)=1,ngay(TEXT(N35,"d"),TEXT(N35,"m"),TEXT(N35,"yyyy"),7)&amp;"/"&amp;thang(TEXT(N35,"d"),TEXT(N35,"m"),TEXT(N35,"yyyy"),7),ngay(TEXT(N35,"d"),TEXT(N35,"m"),TEXT(N35,"yyyy"),7)))</f>
        <v/>
      </c>
      <c r="O36" s="33" t="str">
        <f>IF(O35="","",IF(ngay(TEXT(O35,"d"),TEXT(O35,"m"),TEXT(O35,"yyyy"),7)=1,ngay(TEXT(O35,"d"),TEXT(O35,"m"),TEXT(O35,"yyyy"),7)&amp;"/"&amp;thang(TEXT(O35,"d"),TEXT(O35,"m"),TEXT(O35,"yyyy"),7),ngay(TEXT(O35,"d"),TEXT(O35,"m"),TEXT(O35,"yyyy"),7)))</f>
        <v/>
      </c>
      <c r="P36" s="34" t="str">
        <f>IF(P35="","",IF(ngay(TEXT(P35,"d"),TEXT(P35,"m"),TEXT(P35,"yyyy"),7)=1,ngay(TEXT(P35,"d"),TEXT(P35,"m"),TEXT(P35,"yyyy"),7)&amp;"/"&amp;thang(TEXT(P35,"d"),TEXT(P35,"m"),TEXT(P35,"yyyy"),7),ngay(TEXT(P35,"d"),TEXT(P35,"m"),TEXT(P35,"yyyy"),7)))</f>
        <v/>
      </c>
      <c r="Q36" s="20"/>
      <c r="R36" s="32" t="str">
        <f>IF(R35="","",IF(ngay(TEXT(R35,"d"),TEXT(R35,"m"),TEXT(R35,"yyyy"),7)=1,ngay(TEXT(R35,"d"),TEXT(R35,"m"),TEXT(R35,"yyyy"),7)&amp;"/"&amp;thang(TEXT(R35,"d"),TEXT(R35,"m"),TEXT(R35,"yyyy"),7),ngay(TEXT(R35,"d"),TEXT(R35,"m"),TEXT(R35,"yyyy"),7)))</f>
        <v/>
      </c>
      <c r="S36" s="33" t="str">
        <f>IF(S35="","",IF(ngay(TEXT(S35,"d"),TEXT(S35,"m"),TEXT(S35,"yyyy"),7)=1,ngay(TEXT(S35,"d"),TEXT(S35,"m"),TEXT(S35,"yyyy"),7)&amp;"/"&amp;thang(TEXT(S35,"d"),TEXT(S35,"m"),TEXT(S35,"yyyy"),7),ngay(TEXT(S35,"d"),TEXT(S35,"m"),TEXT(S35,"yyyy"),7)))</f>
        <v/>
      </c>
      <c r="T36" s="33" t="str">
        <f>IF(T35="","",IF(ngay(TEXT(T35,"d"),TEXT(T35,"m"),TEXT(T35,"yyyy"),7)=1,ngay(TEXT(T35,"d"),TEXT(T35,"m"),TEXT(T35,"yyyy"),7)&amp;"/"&amp;thang(TEXT(T35,"d"),TEXT(T35,"m"),TEXT(T35,"yyyy"),7),ngay(TEXT(T35,"d"),TEXT(T35,"m"),TEXT(T35,"yyyy"),7)))</f>
        <v/>
      </c>
      <c r="U36" s="33" t="str">
        <f>IF(U35="","",IF(ngay(TEXT(U35,"d"),TEXT(U35,"m"),TEXT(U35,"yyyy"),7)=1,ngay(TEXT(U35,"d"),TEXT(U35,"m"),TEXT(U35,"yyyy"),7)&amp;"/"&amp;thang(TEXT(U35,"d"),TEXT(U35,"m"),TEXT(U35,"yyyy"),7),ngay(TEXT(U35,"d"),TEXT(U35,"m"),TEXT(U35,"yyyy"),7)))</f>
        <v/>
      </c>
      <c r="V36" s="33" t="str">
        <f>IF(V35="","",IF(ngay(TEXT(V35,"d"),TEXT(V35,"m"),TEXT(V35,"yyyy"),7)=1,ngay(TEXT(V35,"d"),TEXT(V35,"m"),TEXT(V35,"yyyy"),7)&amp;"/"&amp;thang(TEXT(V35,"d"),TEXT(V35,"m"),TEXT(V35,"yyyy"),7),ngay(TEXT(V35,"d"),TEXT(V35,"m"),TEXT(V35,"yyyy"),7)))</f>
        <v/>
      </c>
      <c r="W36" s="33" t="str">
        <f>IF(W35="","",IF(ngay(TEXT(W35,"d"),TEXT(W35,"m"),TEXT(W35,"yyyy"),7)=1,ngay(TEXT(W35,"d"),TEXT(W35,"m"),TEXT(W35,"yyyy"),7)&amp;"/"&amp;thang(TEXT(W35,"d"),TEXT(W35,"m"),TEXT(W35,"yyyy"),7),ngay(TEXT(W35,"d"),TEXT(W35,"m"),TEXT(W35,"yyyy"),7)))</f>
        <v/>
      </c>
      <c r="X36" s="34" t="str">
        <f>IF(X35="","",IF(ngay(TEXT(X35,"d"),TEXT(X35,"m"),TEXT(X35,"yyyy"),7)=1,ngay(TEXT(X35,"d"),TEXT(X35,"m"),TEXT(X35,"yyyy"),7)&amp;"/"&amp;thang(TEXT(X35,"d"),TEXT(X35,"m"),TEXT(X35,"yyyy"),7),ngay(TEXT(X35,"d"),TEXT(X35,"m"),TEXT(X35,"yyyy"),7)))</f>
        <v/>
      </c>
    </row>
    <row r="37" spans="1:25" ht="18" customHeight="1" x14ac:dyDescent="0.25">
      <c r="A37" s="1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spans="1:25" s="1" customFormat="1" ht="20.25" x14ac:dyDescent="0.3">
      <c r="A38" s="2"/>
      <c r="B38" s="38">
        <f>DATE(YEAR(R23+42),MONTH(R23+42),1)</f>
        <v>42917</v>
      </c>
      <c r="C38" s="39"/>
      <c r="D38" s="39"/>
      <c r="E38" s="39"/>
      <c r="F38" s="39"/>
      <c r="G38" s="39"/>
      <c r="H38" s="40"/>
      <c r="I38" s="12"/>
      <c r="J38" s="41">
        <f>DATE(YEAR(B38+42),MONTH(B38+42),1)</f>
        <v>42948</v>
      </c>
      <c r="K38" s="42"/>
      <c r="L38" s="42"/>
      <c r="M38" s="42"/>
      <c r="N38" s="42"/>
      <c r="O38" s="42"/>
      <c r="P38" s="43"/>
      <c r="Q38" s="12"/>
      <c r="R38" s="41">
        <f>DATE(YEAR(J38+42),MONTH(J38+42),1)</f>
        <v>42979</v>
      </c>
      <c r="S38" s="42"/>
      <c r="T38" s="42"/>
      <c r="U38" s="42"/>
      <c r="V38" s="42"/>
      <c r="W38" s="42"/>
      <c r="X38" s="43"/>
    </row>
    <row r="39" spans="1:25" s="15" customFormat="1" ht="18" customHeight="1" x14ac:dyDescent="0.25">
      <c r="A39" s="1"/>
      <c r="B39" s="26" t="str">
        <f>CHOOSE(1+MOD($O$3+1-2,7),"Mon","Tue","Wed","Thu","Fri","Sat","Sun")</f>
        <v>Mon</v>
      </c>
      <c r="C39" s="13" t="str">
        <f>CHOOSE(1+MOD($O$3+2-2,7),"Mon","Tue","Wed","Thu","Fri","Sat","Sun")</f>
        <v>Tue</v>
      </c>
      <c r="D39" s="13" t="str">
        <f>CHOOSE(1+MOD($O$3+3-2,7),"Mon","Tue","Wed","Thu","Fri","Sat","Sun")</f>
        <v>Wed</v>
      </c>
      <c r="E39" s="13" t="str">
        <f>CHOOSE(1+MOD($O$3+4-2,7),"Mon","Tue","Wed","Thu","Fri","Sat","Sun")</f>
        <v>Thu</v>
      </c>
      <c r="F39" s="13" t="str">
        <f>CHOOSE(1+MOD($O$3+5-2,7),"Mon","Tue","Wed","Thu","Fri","Sat","Sun")</f>
        <v>Fri</v>
      </c>
      <c r="G39" s="13" t="str">
        <f>CHOOSE(1+MOD($O$3+6-2,7),"Mon","Tue","Wed","Thu","Fri","Sat","Sun")</f>
        <v>Sat</v>
      </c>
      <c r="H39" s="27" t="str">
        <f>CHOOSE(1+MOD($O$3+7-2,7),"Mon","Tue","Wed","Thu","Fri","Sat","Sun")</f>
        <v>Sun</v>
      </c>
      <c r="I39" s="12"/>
      <c r="J39" s="26" t="str">
        <f>CHOOSE(1+MOD($O$3+1-2,7),"Mon","Tue","Wed","Thu","Fri","Sat","Sun")</f>
        <v>Mon</v>
      </c>
      <c r="K39" s="13" t="str">
        <f>CHOOSE(1+MOD($O$3+2-2,7),"Mon","Tue","Wed","Thu","Fri","Sat","Sun")</f>
        <v>Tue</v>
      </c>
      <c r="L39" s="13" t="str">
        <f>CHOOSE(1+MOD($O$3+3-2,7),"Mon","Tue","Wed","Thu","Fri","Sat","Sun")</f>
        <v>Wed</v>
      </c>
      <c r="M39" s="13" t="str">
        <f>CHOOSE(1+MOD($O$3+4-2,7),"Mon","Tue","Wed","Thu","Fri","Sat","Sun")</f>
        <v>Thu</v>
      </c>
      <c r="N39" s="13" t="str">
        <f>CHOOSE(1+MOD($O$3+5-2,7),"Mon","Tue","Wed","Thu","Fri","Sat","Sun")</f>
        <v>Fri</v>
      </c>
      <c r="O39" s="13" t="str">
        <f>CHOOSE(1+MOD($O$3+6-2,7),"Mon","Tue","Wed","Thu","Fri","Sat","Sun")</f>
        <v>Sat</v>
      </c>
      <c r="P39" s="27" t="str">
        <f>CHOOSE(1+MOD($O$3+7-2,7),"Mon","Tue","Wed","Thu","Fri","Sat","Sun")</f>
        <v>Sun</v>
      </c>
      <c r="Q39" s="14"/>
      <c r="R39" s="26" t="str">
        <f>CHOOSE(1+MOD($O$3+1-2,7),"Mon","Tue","Wed","Thu","Fri","Sat","Sun")</f>
        <v>Mon</v>
      </c>
      <c r="S39" s="13" t="str">
        <f>CHOOSE(1+MOD($O$3+2-2,7),"Mon","Tue","Wed","Thu","Fri","Sat","Sun")</f>
        <v>Tue</v>
      </c>
      <c r="T39" s="13" t="str">
        <f>CHOOSE(1+MOD($O$3+3-2,7),"Mon","Tue","Wed","Thu","Fri","Sat","Sun")</f>
        <v>Wed</v>
      </c>
      <c r="U39" s="13" t="str">
        <f>CHOOSE(1+MOD($O$3+4-2,7),"Mon","Tue","Wed","Thu","Fri","Sat","Sun")</f>
        <v>Thu</v>
      </c>
      <c r="V39" s="13" t="str">
        <f>CHOOSE(1+MOD($O$3+5-2,7),"Mon","Tue","Wed","Thu","Fri","Sat","Sun")</f>
        <v>Fri</v>
      </c>
      <c r="W39" s="13" t="str">
        <f>CHOOSE(1+MOD($O$3+6-2,7),"Mon","Tue","Wed","Thu","Fri","Sat","Sun")</f>
        <v>Sat</v>
      </c>
      <c r="X39" s="27" t="str">
        <f>CHOOSE(1+MOD($O$3+7-2,7),"Mon","Tue","Wed","Thu","Fri","Sat","Sun")</f>
        <v>Sun</v>
      </c>
    </row>
    <row r="40" spans="1:25" s="4" customFormat="1" ht="45.95" customHeight="1" x14ac:dyDescent="0.3">
      <c r="B40" s="28" t="str">
        <f>IF(WEEKDAY(B38,2)=$O$3,B38,"")</f>
        <v/>
      </c>
      <c r="C40" s="3" t="str">
        <f>IF(B40="",IF(WEEKDAY(B38,1)=MOD($O$3+1,7)+1,B38,""),B40+1)</f>
        <v/>
      </c>
      <c r="D40" s="3" t="str">
        <f>IF(C40="",IF(WEEKDAY(B38,1)=MOD($O$3+2,7)+1,B38,""),C40+1)</f>
        <v/>
      </c>
      <c r="E40" s="3" t="str">
        <f>IF(D40="",IF(WEEKDAY(B38,1)=MOD($O$3+3,7)+1,B38,""),D40+1)</f>
        <v/>
      </c>
      <c r="F40" s="3" t="str">
        <f>IF(E40="",IF(WEEKDAY(B38,1)=MOD($O$3+4,7)+1,B38,""),E40+1)</f>
        <v/>
      </c>
      <c r="G40" s="77">
        <f>IF(F40="",IF(WEEKDAY(B38,1)=MOD($O$3+5,7)+1,B38,""),F40+1)</f>
        <v>42917</v>
      </c>
      <c r="H40" s="78">
        <f>IF(G40="",IF(WEEKDAY(B38,1)=MOD($O$3+6,7)+1,B38,""),G40+1)</f>
        <v>42918</v>
      </c>
      <c r="I40" s="16"/>
      <c r="J40" s="153" t="str">
        <f>IF(WEEKDAY(J38,2)=$O$3,J38,"")</f>
        <v/>
      </c>
      <c r="K40" s="50">
        <f>IF(J40="",IF(WEEKDAY(J38,1)=MOD($O$3+1,7)+1,J38,""),J40+1)</f>
        <v>42948</v>
      </c>
      <c r="L40" s="50">
        <f>IF(K40="",IF(WEEKDAY(J38,1)=MOD($O$3+2,7)+1,J38,""),K40+1)</f>
        <v>42949</v>
      </c>
      <c r="M40" s="50">
        <f>IF(L40="",IF(WEEKDAY(J38,1)=MOD($O$3+3,7)+1,J38,""),L40+1)</f>
        <v>42950</v>
      </c>
      <c r="N40" s="50">
        <f>IF(M40="",IF(WEEKDAY(J38,1)=MOD($O$3+4,7)+1,J38,""),M40+1)</f>
        <v>42951</v>
      </c>
      <c r="O40" s="51">
        <f>IF(N40="",IF(WEEKDAY(J38,1)=MOD($O$3+5,7)+1,J38,""),N40+1)</f>
        <v>42952</v>
      </c>
      <c r="P40" s="52">
        <f>IF(O40="",IF(WEEKDAY(J38,1)=MOD($O$3+6,7)+1,J38,""),O40+1)</f>
        <v>42953</v>
      </c>
      <c r="Q40" s="16"/>
      <c r="R40" s="153" t="str">
        <f>IF(WEEKDAY(R38,2)=$O$3,R38,"")</f>
        <v/>
      </c>
      <c r="S40" s="154" t="str">
        <f>IF(R40="",IF(WEEKDAY(R38,1)=MOD($O$3+1,7)+1,R38,""),R40+1)</f>
        <v/>
      </c>
      <c r="T40" s="154" t="str">
        <f>IF(S40="",IF(WEEKDAY(R38,1)=MOD($O$3+2,7)+1,R38,""),S40+1)</f>
        <v/>
      </c>
      <c r="U40" s="154" t="str">
        <f>IF(T40="",IF(WEEKDAY(R38,1)=MOD($O$3+3,7)+1,R38,""),T40+1)</f>
        <v/>
      </c>
      <c r="V40" s="154">
        <f>IF(U40="",IF(WEEKDAY(R38,1)=MOD($O$3+4,7)+1,R38,""),U40+1)</f>
        <v>42979</v>
      </c>
      <c r="W40" s="55">
        <f>IF(V40="",IF(WEEKDAY(R38,1)=MOD($O$3+5,7)+1,R38,""),V40+1)</f>
        <v>42980</v>
      </c>
      <c r="X40" s="156">
        <f>IF(W40="",IF(WEEKDAY(R38,1)=MOD($O$3+6,7)+1,R38,""),W40+1)</f>
        <v>42981</v>
      </c>
      <c r="Y40" s="75"/>
    </row>
    <row r="41" spans="1:25" s="18" customFormat="1" ht="45.95" customHeight="1" x14ac:dyDescent="0.2">
      <c r="B41" s="30" t="str">
        <f>IF(B40="","",IF(ngay(TEXT(B40,"d"),TEXT(B40,"m"),TEXT(B40,"yyyy"),7)=1,ngay(TEXT(B40,"d"),TEXT(B40,"m"),TEXT(B40,"yyyy"),7)&amp;"/"&amp;thang(TEXT(B40,"d"),TEXT(B40,"m"),TEXT(B40,"yyyy"),7),ngay(TEXT(B40,"d"),TEXT(B40,"m"),TEXT(B40,"yyyy"),7)))</f>
        <v/>
      </c>
      <c r="C41" s="19" t="str">
        <f>IF(C40="","",IF(ngay(TEXT(C40,"d"),TEXT(C40,"m"),TEXT(C40,"yyyy"),7)=1,ngay(TEXT(C40,"d"),TEXT(C40,"m"),TEXT(C40,"yyyy"),7)&amp;"/"&amp;thang(TEXT(C40,"d"),TEXT(C40,"m"),TEXT(C40,"yyyy"),7),ngay(TEXT(C40,"d"),TEXT(C40,"m"),TEXT(C40,"yyyy"),7)))</f>
        <v/>
      </c>
      <c r="D41" s="19" t="str">
        <f>IF(D40="","",IF(ngay(TEXT(D40,"d"),TEXT(D40,"m"),TEXT(D40,"yyyy"),7)=1,ngay(TEXT(D40,"d"),TEXT(D40,"m"),TEXT(D40,"yyyy"),7)&amp;"/"&amp;thang(TEXT(D40,"d"),TEXT(D40,"m"),TEXT(D40,"yyyy"),7),ngay(TEXT(D40,"d"),TEXT(D40,"m"),TEXT(D40,"yyyy"),7)))</f>
        <v/>
      </c>
      <c r="E41" s="19" t="str">
        <f>IF(E40="","",IF(ngay(TEXT(E40,"d"),TEXT(E40,"m"),TEXT(E40,"yyyy"),7)=1,ngay(TEXT(E40,"d"),TEXT(E40,"m"),TEXT(E40,"yyyy"),7)&amp;"/"&amp;thang(TEXT(E40,"d"),TEXT(E40,"m"),TEXT(E40,"yyyy"),7),ngay(TEXT(E40,"d"),TEXT(E40,"m"),TEXT(E40,"yyyy"),7)))</f>
        <v/>
      </c>
      <c r="F41" s="19" t="str">
        <f>IF(F40="","",IF(ngay(TEXT(F40,"d"),TEXT(F40,"m"),TEXT(F40,"yyyy"),7)=1,ngay(TEXT(F40,"d"),TEXT(F40,"m"),TEXT(F40,"yyyy"),7)&amp;"/"&amp;thang(TEXT(F40,"d"),TEXT(F40,"m"),TEXT(F40,"yyyy"),7),ngay(TEXT(F40,"d"),TEXT(F40,"m"),TEXT(F40,"yyyy"),7)))</f>
        <v/>
      </c>
      <c r="G41" s="69">
        <f>IF(G40="","",IF(ngay(TEXT(G40,"d"),TEXT(G40,"m"),TEXT(G40,"yyyy"),7)=1,ngay(TEXT(G40,"d"),TEXT(G40,"m"),TEXT(G40,"yyyy"),7)&amp;"/"&amp;thang(TEXT(G40,"d"),TEXT(G40,"m"),TEXT(G40,"yyyy"),7),ngay(TEXT(G40,"d"),TEXT(G40,"m"),TEXT(G40,"yyyy"),7)))</f>
        <v>8</v>
      </c>
      <c r="H41" s="70">
        <f>IF(H40="","",IF(ngay(TEXT(H40,"d"),TEXT(H40,"m"),TEXT(H40,"yyyy"),7)=1,ngay(TEXT(H40,"d"),TEXT(H40,"m"),TEXT(H40,"yyyy"),7)&amp;"/"&amp;thang(TEXT(H40,"d"),TEXT(H40,"m"),TEXT(H40,"yyyy"),7),ngay(TEXT(H40,"d"),TEXT(H40,"m"),TEXT(H40,"yyyy"),7)))</f>
        <v>9</v>
      </c>
      <c r="I41" s="20"/>
      <c r="J41" s="150" t="str">
        <f>IF(J40="","",IF(ngay(TEXT(J40,"d"),TEXT(J40,"m"),TEXT(J40,"yyyy"),7)=1,ngay(TEXT(J40,"d"),TEXT(J40,"m"),TEXT(J40,"yyyy"),7)&amp;"/"&amp;thang(TEXT(J40,"d"),TEXT(J40,"m"),TEXT(J40,"yyyy"),7),ngay(TEXT(J40,"d"),TEXT(J40,"m"),TEXT(J40,"yyyy"),7)))</f>
        <v/>
      </c>
      <c r="K41" s="151">
        <f>IF(K40="","",IF(ngay(TEXT(K40,"d"),TEXT(K40,"m"),TEXT(K40,"yyyy"),7)=1,ngay(TEXT(K40,"d"),TEXT(K40,"m"),TEXT(K40,"yyyy"),7)&amp;"/"&amp;thang(TEXT(K40,"d"),TEXT(K40,"m"),TEXT(K40,"yyyy"),7),ngay(TEXT(K40,"d"),TEXT(K40,"m"),TEXT(K40,"yyyy"),7)))</f>
        <v>10</v>
      </c>
      <c r="L41" s="151">
        <f>IF(L40="","",IF(ngay(TEXT(L40,"d"),TEXT(L40,"m"),TEXT(L40,"yyyy"),7)=1,ngay(TEXT(L40,"d"),TEXT(L40,"m"),TEXT(L40,"yyyy"),7)&amp;"/"&amp;thang(TEXT(L40,"d"),TEXT(L40,"m"),TEXT(L40,"yyyy"),7),ngay(TEXT(L40,"d"),TEXT(L40,"m"),TEXT(L40,"yyyy"),7)))</f>
        <v>11</v>
      </c>
      <c r="M41" s="151">
        <f>IF(M40="","",IF(ngay(TEXT(M40,"d"),TEXT(M40,"m"),TEXT(M40,"yyyy"),7)=1,ngay(TEXT(M40,"d"),TEXT(M40,"m"),TEXT(M40,"yyyy"),7)&amp;"/"&amp;thang(TEXT(M40,"d"),TEXT(M40,"m"),TEXT(M40,"yyyy"),7),ngay(TEXT(M40,"d"),TEXT(M40,"m"),TEXT(M40,"yyyy"),7)))</f>
        <v>12</v>
      </c>
      <c r="N41" s="151">
        <f>IF(N40="","",IF(ngay(TEXT(N40,"d"),TEXT(N40,"m"),TEXT(N40,"yyyy"),7)=1,ngay(TEXT(N40,"d"),TEXT(N40,"m"),TEXT(N40,"yyyy"),7)&amp;"/"&amp;thang(TEXT(N40,"d"),TEXT(N40,"m"),TEXT(N40,"yyyy"),7),ngay(TEXT(N40,"d"),TEXT(N40,"m"),TEXT(N40,"yyyy"),7)))</f>
        <v>13</v>
      </c>
      <c r="O41" s="151">
        <f>IF(O40="","",IF(ngay(TEXT(O40,"d"),TEXT(O40,"m"),TEXT(O40,"yyyy"),7)=1,ngay(TEXT(O40,"d"),TEXT(O40,"m"),TEXT(O40,"yyyy"),7)&amp;"/"&amp;thang(TEXT(O40,"d"),TEXT(O40,"m"),TEXT(O40,"yyyy"),7),ngay(TEXT(O40,"d"),TEXT(O40,"m"),TEXT(O40,"yyyy"),7)))</f>
        <v>14</v>
      </c>
      <c r="P41" s="152">
        <f>IF(P40="","",IF(ngay(TEXT(P40,"d"),TEXT(P40,"m"),TEXT(P40,"yyyy"),7)=1,ngay(TEXT(P40,"d"),TEXT(P40,"m"),TEXT(P40,"yyyy"),7)&amp;"/"&amp;thang(TEXT(P40,"d"),TEXT(P40,"m"),TEXT(P40,"yyyy"),7),ngay(TEXT(P40,"d"),TEXT(P40,"m"),TEXT(P40,"yyyy"),7)))</f>
        <v>15</v>
      </c>
      <c r="Q41" s="20"/>
      <c r="R41" s="150" t="str">
        <f>IF(R40="","",IF(ngay(TEXT(R40,"d"),TEXT(R40,"m"),TEXT(R40,"yyyy"),7)=1,ngay(TEXT(R40,"d"),TEXT(R40,"m"),TEXT(R40,"yyyy"),7)&amp;"/"&amp;thang(TEXT(R40,"d"),TEXT(R40,"m"),TEXT(R40,"yyyy"),7),ngay(TEXT(R40,"d"),TEXT(R40,"m"),TEXT(R40,"yyyy"),7)))</f>
        <v/>
      </c>
      <c r="S41" s="151" t="str">
        <f>IF(S40="","",IF(ngay(TEXT(S40,"d"),TEXT(S40,"m"),TEXT(S40,"yyyy"),7)=1,ngay(TEXT(S40,"d"),TEXT(S40,"m"),TEXT(S40,"yyyy"),7)&amp;"/"&amp;thang(TEXT(S40,"d"),TEXT(S40,"m"),TEXT(S40,"yyyy"),7),ngay(TEXT(S40,"d"),TEXT(S40,"m"),TEXT(S40,"yyyy"),7)))</f>
        <v/>
      </c>
      <c r="T41" s="151" t="str">
        <f>IF(T40="","",IF(ngay(TEXT(T40,"d"),TEXT(T40,"m"),TEXT(T40,"yyyy"),7)=1,ngay(TEXT(T40,"d"),TEXT(T40,"m"),TEXT(T40,"yyyy"),7)&amp;"/"&amp;thang(TEXT(T40,"d"),TEXT(T40,"m"),TEXT(T40,"yyyy"),7),ngay(TEXT(T40,"d"),TEXT(T40,"m"),TEXT(T40,"yyyy"),7)))</f>
        <v/>
      </c>
      <c r="U41" s="151" t="str">
        <f>IF(U40="","",IF(ngay(TEXT(U40,"d"),TEXT(U40,"m"),TEXT(U40,"yyyy"),7)=1,ngay(TEXT(U40,"d"),TEXT(U40,"m"),TEXT(U40,"yyyy"),7)&amp;"/"&amp;thang(TEXT(U40,"d"),TEXT(U40,"m"),TEXT(U40,"yyyy"),7),ngay(TEXT(U40,"d"),TEXT(U40,"m"),TEXT(U40,"yyyy"),7)))</f>
        <v/>
      </c>
      <c r="V41" s="69">
        <f>IF(V40="","",IF(ngay(TEXT(V40,"d"),TEXT(V40,"m"),TEXT(V40,"yyyy"),7)=1,ngay(TEXT(V40,"d"),TEXT(V40,"m"),TEXT(V40,"yyyy"),7)&amp;"/"&amp;thang(TEXT(V40,"d"),TEXT(V40,"m"),TEXT(V40,"yyyy"),7),ngay(TEXT(V40,"d"),TEXT(V40,"m"),TEXT(V40,"yyyy"),7)))</f>
        <v>11</v>
      </c>
      <c r="W41" s="58">
        <f>IF(W40="","",IF(ngay(TEXT(W40,"d"),TEXT(W40,"m"),TEXT(W40,"yyyy"),7)=1,ngay(TEXT(W40,"d"),TEXT(W40,"m"),TEXT(W40,"yyyy"),7)&amp;"/"&amp;thang(TEXT(W40,"d"),TEXT(W40,"m"),TEXT(W40,"yyyy"),7),ngay(TEXT(W40,"d"),TEXT(W40,"m"),TEXT(W40,"yyyy"),7)))</f>
        <v>12</v>
      </c>
      <c r="X41" s="70">
        <f>IF(X40="","",IF(ngay(TEXT(X40,"d"),TEXT(X40,"m"),TEXT(X40,"yyyy"),7)=1,ngay(TEXT(X40,"d"),TEXT(X40,"m"),TEXT(X40,"yyyy"),7)&amp;"/"&amp;thang(TEXT(X40,"d"),TEXT(X40,"m"),TEXT(X40,"yyyy"),7),ngay(TEXT(X40,"d"),TEXT(X40,"m"),TEXT(X40,"yyyy"),7)))</f>
        <v>13</v>
      </c>
      <c r="Y41" s="76"/>
    </row>
    <row r="42" spans="1:25" s="4" customFormat="1" ht="45.95" customHeight="1" x14ac:dyDescent="0.3">
      <c r="A42" s="79"/>
      <c r="B42" s="71">
        <f>IF(H40="","",IF(MONTH(H40+1)&lt;&gt;MONTH(H40),"",H40+1))</f>
        <v>42919</v>
      </c>
      <c r="C42" s="72">
        <f>IF(B42="","",IF(MONTH(B42+1)&lt;&gt;MONTH(B42),"",B42+1))</f>
        <v>42920</v>
      </c>
      <c r="D42" s="72">
        <f t="shared" ref="D42:H42" si="50">IF(C42="","",IF(MONTH(C42+1)&lt;&gt;MONTH(C42),"",C42+1))</f>
        <v>42921</v>
      </c>
      <c r="E42" s="72">
        <f t="shared" si="50"/>
        <v>42922</v>
      </c>
      <c r="F42" s="72">
        <f t="shared" si="50"/>
        <v>42923</v>
      </c>
      <c r="G42" s="77">
        <f t="shared" si="50"/>
        <v>42924</v>
      </c>
      <c r="H42" s="78">
        <f t="shared" si="50"/>
        <v>42925</v>
      </c>
      <c r="I42" s="16"/>
      <c r="J42" s="153">
        <f>IF(P40="","",IF(MONTH(P40+1)&lt;&gt;MONTH(P40),"",P40+1))</f>
        <v>42954</v>
      </c>
      <c r="K42" s="154">
        <f>IF(J42="","",IF(MONTH(J42+1)&lt;&gt;MONTH(J42),"",J42+1))</f>
        <v>42955</v>
      </c>
      <c r="L42" s="154">
        <f t="shared" ref="L42:P42" si="51">IF(K42="","",IF(MONTH(K42+1)&lt;&gt;MONTH(K42),"",K42+1))</f>
        <v>42956</v>
      </c>
      <c r="M42" s="154">
        <f t="shared" si="51"/>
        <v>42957</v>
      </c>
      <c r="N42" s="154">
        <f t="shared" si="51"/>
        <v>42958</v>
      </c>
      <c r="O42" s="155">
        <f t="shared" si="51"/>
        <v>42959</v>
      </c>
      <c r="P42" s="156">
        <f t="shared" si="51"/>
        <v>42960</v>
      </c>
      <c r="Q42" s="16"/>
      <c r="R42" s="153">
        <f>IF(X40="","",IF(MONTH(X40+1)&lt;&gt;MONTH(X40),"",X40+1))</f>
        <v>42982</v>
      </c>
      <c r="S42" s="154">
        <f>IF(R42="","",IF(MONTH(R42+1)&lt;&gt;MONTH(R42),"",R42+1))</f>
        <v>42983</v>
      </c>
      <c r="T42" s="154">
        <f t="shared" ref="T42:X42" si="52">IF(S42="","",IF(MONTH(S42+1)&lt;&gt;MONTH(S42),"",S42+1))</f>
        <v>42984</v>
      </c>
      <c r="U42" s="154">
        <f t="shared" si="52"/>
        <v>42985</v>
      </c>
      <c r="V42" s="154">
        <f t="shared" si="52"/>
        <v>42986</v>
      </c>
      <c r="W42" s="155">
        <f t="shared" si="52"/>
        <v>42987</v>
      </c>
      <c r="X42" s="156">
        <f t="shared" si="52"/>
        <v>42988</v>
      </c>
      <c r="Y42" s="75"/>
    </row>
    <row r="43" spans="1:25" s="157" customFormat="1" ht="45.95" customHeight="1" x14ac:dyDescent="0.2">
      <c r="A43" s="18"/>
      <c r="B43" s="64">
        <f>IF(B42="","",IF(ngay(TEXT(B42,"d"),TEXT(B42,"m"),TEXT(B42,"yyyy"),7)=1,ngay(TEXT(B42,"d"),TEXT(B42,"m"),TEXT(B42,"yyyy"),7)&amp;"/"&amp;thang(TEXT(B42,"d"),TEXT(B42,"m"),TEXT(B42,"yyyy"),7),ngay(TEXT(B42,"d"),TEXT(B42,"m"),TEXT(B42,"yyyy"),7)))</f>
        <v>10</v>
      </c>
      <c r="C43" s="69">
        <f>IF(C42="","",IF(ngay(TEXT(C42,"d"),TEXT(C42,"m"),TEXT(C42,"yyyy"),7)=1,ngay(TEXT(C42,"d"),TEXT(C42,"m"),TEXT(C42,"yyyy"),7)&amp;"/"&amp;thang(TEXT(C42,"d"),TEXT(C42,"m"),TEXT(C42,"yyyy"),7),ngay(TEXT(C42,"d"),TEXT(C42,"m"),TEXT(C42,"yyyy"),7)))</f>
        <v>11</v>
      </c>
      <c r="D43" s="69">
        <f>IF(D42="","",IF(ngay(TEXT(D42,"d"),TEXT(D42,"m"),TEXT(D42,"yyyy"),7)=1,ngay(TEXT(D42,"d"),TEXT(D42,"m"),TEXT(D42,"yyyy"),7)&amp;"/"&amp;thang(TEXT(D42,"d"),TEXT(D42,"m"),TEXT(D42,"yyyy"),7),ngay(TEXT(D42,"d"),TEXT(D42,"m"),TEXT(D42,"yyyy"),7)))</f>
        <v>12</v>
      </c>
      <c r="E43" s="69">
        <f>IF(E42="","",IF(ngay(TEXT(E42,"d"),TEXT(E42,"m"),TEXT(E42,"yyyy"),7)=1,ngay(TEXT(E42,"d"),TEXT(E42,"m"),TEXT(E42,"yyyy"),7)&amp;"/"&amp;thang(TEXT(E42,"d"),TEXT(E42,"m"),TEXT(E42,"yyyy"),7),ngay(TEXT(E42,"d"),TEXT(E42,"m"),TEXT(E42,"yyyy"),7)))</f>
        <v>13</v>
      </c>
      <c r="F43" s="69">
        <f>IF(F42="","",IF(ngay(TEXT(F42,"d"),TEXT(F42,"m"),TEXT(F42,"yyyy"),7)=1,ngay(TEXT(F42,"d"),TEXT(F42,"m"),TEXT(F42,"yyyy"),7)&amp;"/"&amp;thang(TEXT(F42,"d"),TEXT(F42,"m"),TEXT(F42,"yyyy"),7),ngay(TEXT(F42,"d"),TEXT(F42,"m"),TEXT(F42,"yyyy"),7)))</f>
        <v>14</v>
      </c>
      <c r="G43" s="69">
        <f>IF(G42="","",IF(ngay(TEXT(G42,"d"),TEXT(G42,"m"),TEXT(G42,"yyyy"),7)=1,ngay(TEXT(G42,"d"),TEXT(G42,"m"),TEXT(G42,"yyyy"),7)&amp;"/"&amp;thang(TEXT(G42,"d"),TEXT(G42,"m"),TEXT(G42,"yyyy"),7),ngay(TEXT(G42,"d"),TEXT(G42,"m"),TEXT(G42,"yyyy"),7)))</f>
        <v>15</v>
      </c>
      <c r="H43" s="70">
        <f>IF(H42="","",IF(ngay(TEXT(H42,"d"),TEXT(H42,"m"),TEXT(H42,"yyyy"),7)=1,ngay(TEXT(H42,"d"),TEXT(H42,"m"),TEXT(H42,"yyyy"),7)&amp;"/"&amp;thang(TEXT(H42,"d"),TEXT(H42,"m"),TEXT(H42,"yyyy"),7),ngay(TEXT(H42,"d"),TEXT(H42,"m"),TEXT(H42,"yyyy"),7)))</f>
        <v>16</v>
      </c>
      <c r="I43" s="20"/>
      <c r="J43" s="150">
        <f>IF(J42="","",IF(ngay(TEXT(J42,"d"),TEXT(J42,"m"),TEXT(J42,"yyyy"),7)=1,ngay(TEXT(J42,"d"),TEXT(J42,"m"),TEXT(J42,"yyyy"),7)&amp;"/"&amp;thang(TEXT(J42,"d"),TEXT(J42,"m"),TEXT(J42,"yyyy"),7),ngay(TEXT(J42,"d"),TEXT(J42,"m"),TEXT(J42,"yyyy"),7)))</f>
        <v>16</v>
      </c>
      <c r="K43" s="151">
        <f>IF(K42="","",IF(ngay(TEXT(K42,"d"),TEXT(K42,"m"),TEXT(K42,"yyyy"),7)=1,ngay(TEXT(K42,"d"),TEXT(K42,"m"),TEXT(K42,"yyyy"),7)&amp;"/"&amp;thang(TEXT(K42,"d"),TEXT(K42,"m"),TEXT(K42,"yyyy"),7),ngay(TEXT(K42,"d"),TEXT(K42,"m"),TEXT(K42,"yyyy"),7)))</f>
        <v>17</v>
      </c>
      <c r="L43" s="151">
        <f>IF(L42="","",IF(ngay(TEXT(L42,"d"),TEXT(L42,"m"),TEXT(L42,"yyyy"),7)=1,ngay(TEXT(L42,"d"),TEXT(L42,"m"),TEXT(L42,"yyyy"),7)&amp;"/"&amp;thang(TEXT(L42,"d"),TEXT(L42,"m"),TEXT(L42,"yyyy"),7),ngay(TEXT(L42,"d"),TEXT(L42,"m"),TEXT(L42,"yyyy"),7)))</f>
        <v>18</v>
      </c>
      <c r="M43" s="151">
        <f>IF(M42="","",IF(ngay(TEXT(M42,"d"),TEXT(M42,"m"),TEXT(M42,"yyyy"),7)=1,ngay(TEXT(M42,"d"),TEXT(M42,"m"),TEXT(M42,"yyyy"),7)&amp;"/"&amp;thang(TEXT(M42,"d"),TEXT(M42,"m"),TEXT(M42,"yyyy"),7),ngay(TEXT(M42,"d"),TEXT(M42,"m"),TEXT(M42,"yyyy"),7)))</f>
        <v>19</v>
      </c>
      <c r="N43" s="151">
        <f>IF(N42="","",IF(ngay(TEXT(N42,"d"),TEXT(N42,"m"),TEXT(N42,"yyyy"),7)=1,ngay(TEXT(N42,"d"),TEXT(N42,"m"),TEXT(N42,"yyyy"),7)&amp;"/"&amp;thang(TEXT(N42,"d"),TEXT(N42,"m"),TEXT(N42,"yyyy"),7),ngay(TEXT(N42,"d"),TEXT(N42,"m"),TEXT(N42,"yyyy"),7)))</f>
        <v>20</v>
      </c>
      <c r="O43" s="151">
        <f>IF(O42="","",IF(ngay(TEXT(O42,"d"),TEXT(O42,"m"),TEXT(O42,"yyyy"),7)=1,ngay(TEXT(O42,"d"),TEXT(O42,"m"),TEXT(O42,"yyyy"),7)&amp;"/"&amp;thang(TEXT(O42,"d"),TEXT(O42,"m"),TEXT(O42,"yyyy"),7),ngay(TEXT(O42,"d"),TEXT(O42,"m"),TEXT(O42,"yyyy"),7)))</f>
        <v>21</v>
      </c>
      <c r="P43" s="152">
        <f>IF(P42="","",IF(ngay(TEXT(P42,"d"),TEXT(P42,"m"),TEXT(P42,"yyyy"),7)=1,ngay(TEXT(P42,"d"),TEXT(P42,"m"),TEXT(P42,"yyyy"),7)&amp;"/"&amp;thang(TEXT(P42,"d"),TEXT(P42,"m"),TEXT(P42,"yyyy"),7),ngay(TEXT(P42,"d"),TEXT(P42,"m"),TEXT(P42,"yyyy"),7)))</f>
        <v>22</v>
      </c>
      <c r="Q43" s="20"/>
      <c r="R43" s="64">
        <f>IF(R42="","",IF(ngay(TEXT(R42,"d"),TEXT(R42,"m"),TEXT(R42,"yyyy"),7)=1,ngay(TEXT(R42,"d"),TEXT(R42,"m"),TEXT(R42,"yyyy"),7)&amp;"/"&amp;thang(TEXT(R42,"d"),TEXT(R42,"m"),TEXT(R42,"yyyy"),7),ngay(TEXT(R42,"d"),TEXT(R42,"m"),TEXT(R42,"yyyy"),7)))</f>
        <v>14</v>
      </c>
      <c r="S43" s="69">
        <f>IF(S42="","",IF(ngay(TEXT(S42,"d"),TEXT(S42,"m"),TEXT(S42,"yyyy"),7)=1,ngay(TEXT(S42,"d"),TEXT(S42,"m"),TEXT(S42,"yyyy"),7)&amp;"/"&amp;thang(TEXT(S42,"d"),TEXT(S42,"m"),TEXT(S42,"yyyy"),7),ngay(TEXT(S42,"d"),TEXT(S42,"m"),TEXT(S42,"yyyy"),7)))</f>
        <v>15</v>
      </c>
      <c r="T43" s="69">
        <f>IF(T42="","",IF(ngay(TEXT(T42,"d"),TEXT(T42,"m"),TEXT(T42,"yyyy"),7)=1,ngay(TEXT(T42,"d"),TEXT(T42,"m"),TEXT(T42,"yyyy"),7)&amp;"/"&amp;thang(TEXT(T42,"d"),TEXT(T42,"m"),TEXT(T42,"yyyy"),7),ngay(TEXT(T42,"d"),TEXT(T42,"m"),TEXT(T42,"yyyy"),7)))</f>
        <v>16</v>
      </c>
      <c r="U43" s="69">
        <f>IF(U42="","",IF(ngay(TEXT(U42,"d"),TEXT(U42,"m"),TEXT(U42,"yyyy"),7)=1,ngay(TEXT(U42,"d"),TEXT(U42,"m"),TEXT(U42,"yyyy"),7)&amp;"/"&amp;thang(TEXT(U42,"d"),TEXT(U42,"m"),TEXT(U42,"yyyy"),7),ngay(TEXT(U42,"d"),TEXT(U42,"m"),TEXT(U42,"yyyy"),7)))</f>
        <v>17</v>
      </c>
      <c r="V43" s="69">
        <f>IF(V42="","",IF(ngay(TEXT(V42,"d"),TEXT(V42,"m"),TEXT(V42,"yyyy"),7)=1,ngay(TEXT(V42,"d"),TEXT(V42,"m"),TEXT(V42,"yyyy"),7)&amp;"/"&amp;thang(TEXT(V42,"d"),TEXT(V42,"m"),TEXT(V42,"yyyy"),7),ngay(TEXT(V42,"d"),TEXT(V42,"m"),TEXT(V42,"yyyy"),7)))</f>
        <v>18</v>
      </c>
      <c r="W43" s="69">
        <f>IF(W42="","",IF(ngay(TEXT(W42,"d"),TEXT(W42,"m"),TEXT(W42,"yyyy"),7)=1,ngay(TEXT(W42,"d"),TEXT(W42,"m"),TEXT(W42,"yyyy"),7)&amp;"/"&amp;thang(TEXT(W42,"d"),TEXT(W42,"m"),TEXT(W42,"yyyy"),7),ngay(TEXT(W42,"d"),TEXT(W42,"m"),TEXT(W42,"yyyy"),7)))</f>
        <v>19</v>
      </c>
      <c r="X43" s="70">
        <f>IF(X42="","",IF(ngay(TEXT(X42,"d"),TEXT(X42,"m"),TEXT(X42,"yyyy"),7)=1,ngay(TEXT(X42,"d"),TEXT(X42,"m"),TEXT(X42,"yyyy"),7)&amp;"/"&amp;thang(TEXT(X42,"d"),TEXT(X42,"m"),TEXT(X42,"yyyy"),7),ngay(TEXT(X42,"d"),TEXT(X42,"m"),TEXT(X42,"yyyy"),7)))</f>
        <v>20</v>
      </c>
    </row>
    <row r="44" spans="1:25" s="4" customFormat="1" ht="45.95" customHeight="1" x14ac:dyDescent="0.3">
      <c r="A44" s="79"/>
      <c r="B44" s="71">
        <f>IF(H42="","",IF(MONTH(H42+1)&lt;&gt;MONTH(H42),"",H42+1))</f>
        <v>42926</v>
      </c>
      <c r="C44" s="72">
        <f>IF(B44="","",IF(MONTH(B44+1)&lt;&gt;MONTH(B44),"",B44+1))</f>
        <v>42927</v>
      </c>
      <c r="D44" s="72">
        <f t="shared" ref="D44:H44" si="53">IF(C44="","",IF(MONTH(C44+1)&lt;&gt;MONTH(C44),"",C44+1))</f>
        <v>42928</v>
      </c>
      <c r="E44" s="72">
        <f t="shared" si="53"/>
        <v>42929</v>
      </c>
      <c r="F44" s="72">
        <f t="shared" si="53"/>
        <v>42930</v>
      </c>
      <c r="G44" s="77">
        <f t="shared" si="53"/>
        <v>42931</v>
      </c>
      <c r="H44" s="78">
        <f t="shared" si="53"/>
        <v>42932</v>
      </c>
      <c r="I44" s="16"/>
      <c r="J44" s="153">
        <f>IF(P42="","",IF(MONTH(P42+1)&lt;&gt;MONTH(P42),"",P42+1))</f>
        <v>42961</v>
      </c>
      <c r="K44" s="154">
        <f>IF(J44="","",IF(MONTH(J44+1)&lt;&gt;MONTH(J44),"",J44+1))</f>
        <v>42962</v>
      </c>
      <c r="L44" s="154">
        <f t="shared" ref="L44:P44" si="54">IF(K44="","",IF(MONTH(K44+1)&lt;&gt;MONTH(K44),"",K44+1))</f>
        <v>42963</v>
      </c>
      <c r="M44" s="154">
        <f t="shared" si="54"/>
        <v>42964</v>
      </c>
      <c r="N44" s="154">
        <f t="shared" si="54"/>
        <v>42965</v>
      </c>
      <c r="O44" s="155">
        <f t="shared" si="54"/>
        <v>42966</v>
      </c>
      <c r="P44" s="156">
        <f t="shared" si="54"/>
        <v>42967</v>
      </c>
      <c r="Q44" s="16"/>
      <c r="R44" s="153">
        <f>IF(X42="","",IF(MONTH(X42+1)&lt;&gt;MONTH(X42),"",X42+1))</f>
        <v>42989</v>
      </c>
      <c r="S44" s="154">
        <f>IF(R44="","",IF(MONTH(R44+1)&lt;&gt;MONTH(R44),"",R44+1))</f>
        <v>42990</v>
      </c>
      <c r="T44" s="154">
        <f t="shared" ref="T44:X44" si="55">IF(S44="","",IF(MONTH(S44+1)&lt;&gt;MONTH(S44),"",S44+1))</f>
        <v>42991</v>
      </c>
      <c r="U44" s="154">
        <f t="shared" si="55"/>
        <v>42992</v>
      </c>
      <c r="V44" s="154">
        <f t="shared" si="55"/>
        <v>42993</v>
      </c>
      <c r="W44" s="155">
        <f t="shared" si="55"/>
        <v>42994</v>
      </c>
      <c r="X44" s="156">
        <f t="shared" si="55"/>
        <v>42995</v>
      </c>
      <c r="Y44" s="75"/>
    </row>
    <row r="45" spans="1:25" s="18" customFormat="1" ht="45.95" customHeight="1" x14ac:dyDescent="0.2">
      <c r="B45" s="64">
        <f>IF(B44="","",IF(ngay(TEXT(B44,"d"),TEXT(B44,"m"),TEXT(B44,"yyyy"),7)=1,ngay(TEXT(B44,"d"),TEXT(B44,"m"),TEXT(B44,"yyyy"),7)&amp;"/"&amp;thang(TEXT(B44,"d"),TEXT(B44,"m"),TEXT(B44,"yyyy"),7),ngay(TEXT(B44,"d"),TEXT(B44,"m"),TEXT(B44,"yyyy"),7)))</f>
        <v>17</v>
      </c>
      <c r="C45" s="69">
        <f>IF(C44="","",IF(ngay(TEXT(C44,"d"),TEXT(C44,"m"),TEXT(C44,"yyyy"),7)=1,ngay(TEXT(C44,"d"),TEXT(C44,"m"),TEXT(C44,"yyyy"),7)&amp;"/"&amp;thang(TEXT(C44,"d"),TEXT(C44,"m"),TEXT(C44,"yyyy"),7),ngay(TEXT(C44,"d"),TEXT(C44,"m"),TEXT(C44,"yyyy"),7)))</f>
        <v>18</v>
      </c>
      <c r="D45" s="69">
        <f>IF(D44="","",IF(ngay(TEXT(D44,"d"),TEXT(D44,"m"),TEXT(D44,"yyyy"),7)=1,ngay(TEXT(D44,"d"),TEXT(D44,"m"),TEXT(D44,"yyyy"),7)&amp;"/"&amp;thang(TEXT(D44,"d"),TEXT(D44,"m"),TEXT(D44,"yyyy"),7),ngay(TEXT(D44,"d"),TEXT(D44,"m"),TEXT(D44,"yyyy"),7)))</f>
        <v>19</v>
      </c>
      <c r="E45" s="69">
        <f>IF(E44="","",IF(ngay(TEXT(E44,"d"),TEXT(E44,"m"),TEXT(E44,"yyyy"),7)=1,ngay(TEXT(E44,"d"),TEXT(E44,"m"),TEXT(E44,"yyyy"),7)&amp;"/"&amp;thang(TEXT(E44,"d"),TEXT(E44,"m"),TEXT(E44,"yyyy"),7),ngay(TEXT(E44,"d"),TEXT(E44,"m"),TEXT(E44,"yyyy"),7)))</f>
        <v>20</v>
      </c>
      <c r="F45" s="69">
        <f>IF(F44="","",IF(ngay(TEXT(F44,"d"),TEXT(F44,"m"),TEXT(F44,"yyyy"),7)=1,ngay(TEXT(F44,"d"),TEXT(F44,"m"),TEXT(F44,"yyyy"),7)&amp;"/"&amp;thang(TEXT(F44,"d"),TEXT(F44,"m"),TEXT(F44,"yyyy"),7),ngay(TEXT(F44,"d"),TEXT(F44,"m"),TEXT(F44,"yyyy"),7)))</f>
        <v>21</v>
      </c>
      <c r="G45" s="69">
        <f>IF(G44="","",IF(ngay(TEXT(G44,"d"),TEXT(G44,"m"),TEXT(G44,"yyyy"),7)=1,ngay(TEXT(G44,"d"),TEXT(G44,"m"),TEXT(G44,"yyyy"),7)&amp;"/"&amp;thang(TEXT(G44,"d"),TEXT(G44,"m"),TEXT(G44,"yyyy"),7),ngay(TEXT(G44,"d"),TEXT(G44,"m"),TEXT(G44,"yyyy"),7)))</f>
        <v>22</v>
      </c>
      <c r="H45" s="70">
        <f>IF(H44="","",IF(ngay(TEXT(H44,"d"),TEXT(H44,"m"),TEXT(H44,"yyyy"),7)=1,ngay(TEXT(H44,"d"),TEXT(H44,"m"),TEXT(H44,"yyyy"),7)&amp;"/"&amp;thang(TEXT(H44,"d"),TEXT(H44,"m"),TEXT(H44,"yyyy"),7),ngay(TEXT(H44,"d"),TEXT(H44,"m"),TEXT(H44,"yyyy"),7)))</f>
        <v>23</v>
      </c>
      <c r="I45" s="20"/>
      <c r="J45" s="150">
        <f>IF(J44="","",IF(ngay(TEXT(J44,"d"),TEXT(J44,"m"),TEXT(J44,"yyyy"),7)=1,ngay(TEXT(J44,"d"),TEXT(J44,"m"),TEXT(J44,"yyyy"),7)&amp;"/"&amp;thang(TEXT(J44,"d"),TEXT(J44,"m"),TEXT(J44,"yyyy"),7),ngay(TEXT(J44,"d"),TEXT(J44,"m"),TEXT(J44,"yyyy"),7)))</f>
        <v>23</v>
      </c>
      <c r="K45" s="151">
        <f>IF(K44="","",IF(ngay(TEXT(K44,"d"),TEXT(K44,"m"),TEXT(K44,"yyyy"),7)=1,ngay(TEXT(K44,"d"),TEXT(K44,"m"),TEXT(K44,"yyyy"),7)&amp;"/"&amp;thang(TEXT(K44,"d"),TEXT(K44,"m"),TEXT(K44,"yyyy"),7),ngay(TEXT(K44,"d"),TEXT(K44,"m"),TEXT(K44,"yyyy"),7)))</f>
        <v>24</v>
      </c>
      <c r="L45" s="151">
        <f>IF(L44="","",IF(ngay(TEXT(L44,"d"),TEXT(L44,"m"),TEXT(L44,"yyyy"),7)=1,ngay(TEXT(L44,"d"),TEXT(L44,"m"),TEXT(L44,"yyyy"),7)&amp;"/"&amp;thang(TEXT(L44,"d"),TEXT(L44,"m"),TEXT(L44,"yyyy"),7),ngay(TEXT(L44,"d"),TEXT(L44,"m"),TEXT(L44,"yyyy"),7)))</f>
        <v>25</v>
      </c>
      <c r="M45" s="151">
        <f>IF(M44="","",IF(ngay(TEXT(M44,"d"),TEXT(M44,"m"),TEXT(M44,"yyyy"),7)=1,ngay(TEXT(M44,"d"),TEXT(M44,"m"),TEXT(M44,"yyyy"),7)&amp;"/"&amp;thang(TEXT(M44,"d"),TEXT(M44,"m"),TEXT(M44,"yyyy"),7),ngay(TEXT(M44,"d"),TEXT(M44,"m"),TEXT(M44,"yyyy"),7)))</f>
        <v>26</v>
      </c>
      <c r="N45" s="151">
        <f>IF(N44="","",IF(ngay(TEXT(N44,"d"),TEXT(N44,"m"),TEXT(N44,"yyyy"),7)=1,ngay(TEXT(N44,"d"),TEXT(N44,"m"),TEXT(N44,"yyyy"),7)&amp;"/"&amp;thang(TEXT(N44,"d"),TEXT(N44,"m"),TEXT(N44,"yyyy"),7),ngay(TEXT(N44,"d"),TEXT(N44,"m"),TEXT(N44,"yyyy"),7)))</f>
        <v>27</v>
      </c>
      <c r="O45" s="151">
        <f>IF(O44="","",IF(ngay(TEXT(O44,"d"),TEXT(O44,"m"),TEXT(O44,"yyyy"),7)=1,ngay(TEXT(O44,"d"),TEXT(O44,"m"),TEXT(O44,"yyyy"),7)&amp;"/"&amp;thang(TEXT(O44,"d"),TEXT(O44,"m"),TEXT(O44,"yyyy"),7),ngay(TEXT(O44,"d"),TEXT(O44,"m"),TEXT(O44,"yyyy"),7)))</f>
        <v>28</v>
      </c>
      <c r="P45" s="152">
        <f>IF(P44="","",IF(ngay(TEXT(P44,"d"),TEXT(P44,"m"),TEXT(P44,"yyyy"),7)=1,ngay(TEXT(P44,"d"),TEXT(P44,"m"),TEXT(P44,"yyyy"),7)&amp;"/"&amp;thang(TEXT(P44,"d"),TEXT(P44,"m"),TEXT(P44,"yyyy"),7),ngay(TEXT(P44,"d"),TEXT(P44,"m"),TEXT(P44,"yyyy"),7)))</f>
        <v>29</v>
      </c>
      <c r="Q45" s="20"/>
      <c r="R45" s="64">
        <f>IF(R44="","",IF(ngay(TEXT(R44,"d"),TEXT(R44,"m"),TEXT(R44,"yyyy"),7)=1,ngay(TEXT(R44,"d"),TEXT(R44,"m"),TEXT(R44,"yyyy"),7)&amp;"/"&amp;thang(TEXT(R44,"d"),TEXT(R44,"m"),TEXT(R44,"yyyy"),7),ngay(TEXT(R44,"d"),TEXT(R44,"m"),TEXT(R44,"yyyy"),7)))</f>
        <v>21</v>
      </c>
      <c r="S45" s="69">
        <f>IF(S44="","",IF(ngay(TEXT(S44,"d"),TEXT(S44,"m"),TEXT(S44,"yyyy"),7)=1,ngay(TEXT(S44,"d"),TEXT(S44,"m"),TEXT(S44,"yyyy"),7)&amp;"/"&amp;thang(TEXT(S44,"d"),TEXT(S44,"m"),TEXT(S44,"yyyy"),7),ngay(TEXT(S44,"d"),TEXT(S44,"m"),TEXT(S44,"yyyy"),7)))</f>
        <v>22</v>
      </c>
      <c r="T45" s="69">
        <f>IF(T44="","",IF(ngay(TEXT(T44,"d"),TEXT(T44,"m"),TEXT(T44,"yyyy"),7)=1,ngay(TEXT(T44,"d"),TEXT(T44,"m"),TEXT(T44,"yyyy"),7)&amp;"/"&amp;thang(TEXT(T44,"d"),TEXT(T44,"m"),TEXT(T44,"yyyy"),7),ngay(TEXT(T44,"d"),TEXT(T44,"m"),TEXT(T44,"yyyy"),7)))</f>
        <v>23</v>
      </c>
      <c r="U45" s="69">
        <f>IF(U44="","",IF(ngay(TEXT(U44,"d"),TEXT(U44,"m"),TEXT(U44,"yyyy"),7)=1,ngay(TEXT(U44,"d"),TEXT(U44,"m"),TEXT(U44,"yyyy"),7)&amp;"/"&amp;thang(TEXT(U44,"d"),TEXT(U44,"m"),TEXT(U44,"yyyy"),7),ngay(TEXT(U44,"d"),TEXT(U44,"m"),TEXT(U44,"yyyy"),7)))</f>
        <v>24</v>
      </c>
      <c r="V45" s="69">
        <f>IF(V44="","",IF(ngay(TEXT(V44,"d"),TEXT(V44,"m"),TEXT(V44,"yyyy"),7)=1,ngay(TEXT(V44,"d"),TEXT(V44,"m"),TEXT(V44,"yyyy"),7)&amp;"/"&amp;thang(TEXT(V44,"d"),TEXT(V44,"m"),TEXT(V44,"yyyy"),7),ngay(TEXT(V44,"d"),TEXT(V44,"m"),TEXT(V44,"yyyy"),7)))</f>
        <v>25</v>
      </c>
      <c r="W45" s="69">
        <f>IF(W44="","",IF(ngay(TEXT(W44,"d"),TEXT(W44,"m"),TEXT(W44,"yyyy"),7)=1,ngay(TEXT(W44,"d"),TEXT(W44,"m"),TEXT(W44,"yyyy"),7)&amp;"/"&amp;thang(TEXT(W44,"d"),TEXT(W44,"m"),TEXT(W44,"yyyy"),7),ngay(TEXT(W44,"d"),TEXT(W44,"m"),TEXT(W44,"yyyy"),7)))</f>
        <v>26</v>
      </c>
      <c r="X45" s="70">
        <f>IF(X44="","",IF(ngay(TEXT(X44,"d"),TEXT(X44,"m"),TEXT(X44,"yyyy"),7)=1,ngay(TEXT(X44,"d"),TEXT(X44,"m"),TEXT(X44,"yyyy"),7)&amp;"/"&amp;thang(TEXT(X44,"d"),TEXT(X44,"m"),TEXT(X44,"yyyy"),7),ngay(TEXT(X44,"d"),TEXT(X44,"m"),TEXT(X44,"yyyy"),7)))</f>
        <v>27</v>
      </c>
      <c r="Y45" s="157"/>
    </row>
    <row r="46" spans="1:25" s="4" customFormat="1" ht="45.95" customHeight="1" x14ac:dyDescent="0.3">
      <c r="A46" s="79"/>
      <c r="B46" s="71">
        <f>IF(H44="","",IF(MONTH(H44+1)&lt;&gt;MONTH(H44),"",H44+1))</f>
        <v>42933</v>
      </c>
      <c r="C46" s="72">
        <f>IF(B46="","",IF(MONTH(B46+1)&lt;&gt;MONTH(B46),"",B46+1))</f>
        <v>42934</v>
      </c>
      <c r="D46" s="72">
        <f t="shared" ref="D46:H46" si="56">IF(C46="","",IF(MONTH(C46+1)&lt;&gt;MONTH(C46),"",C46+1))</f>
        <v>42935</v>
      </c>
      <c r="E46" s="72">
        <f t="shared" si="56"/>
        <v>42936</v>
      </c>
      <c r="F46" s="72">
        <f t="shared" si="56"/>
        <v>42937</v>
      </c>
      <c r="G46" s="77">
        <f t="shared" si="56"/>
        <v>42938</v>
      </c>
      <c r="H46" s="78">
        <f t="shared" si="56"/>
        <v>42939</v>
      </c>
      <c r="I46" s="16"/>
      <c r="J46" s="153">
        <f>IF(P44="","",IF(MONTH(P44+1)&lt;&gt;MONTH(P44),"",P44+1))</f>
        <v>42968</v>
      </c>
      <c r="K46" s="154">
        <f>IF(J46="","",IF(MONTH(J46+1)&lt;&gt;MONTH(J46),"",J46+1))</f>
        <v>42969</v>
      </c>
      <c r="L46" s="154">
        <f t="shared" ref="L46:P46" si="57">IF(K46="","",IF(MONTH(K46+1)&lt;&gt;MONTH(K46),"",K46+1))</f>
        <v>42970</v>
      </c>
      <c r="M46" s="154">
        <f t="shared" si="57"/>
        <v>42971</v>
      </c>
      <c r="N46" s="154">
        <f t="shared" si="57"/>
        <v>42972</v>
      </c>
      <c r="O46" s="155">
        <f t="shared" si="57"/>
        <v>42973</v>
      </c>
      <c r="P46" s="156">
        <f t="shared" si="57"/>
        <v>42974</v>
      </c>
      <c r="Q46" s="16"/>
      <c r="R46" s="153">
        <f>IF(X44="","",IF(MONTH(X44+1)&lt;&gt;MONTH(X44),"",X44+1))</f>
        <v>42996</v>
      </c>
      <c r="S46" s="154">
        <f>IF(R46="","",IF(MONTH(R46+1)&lt;&gt;MONTH(R46),"",R46+1))</f>
        <v>42997</v>
      </c>
      <c r="T46" s="154">
        <f t="shared" ref="T46:X46" si="58">IF(S46="","",IF(MONTH(S46+1)&lt;&gt;MONTH(S46),"",S46+1))</f>
        <v>42998</v>
      </c>
      <c r="U46" s="154">
        <f t="shared" si="58"/>
        <v>42999</v>
      </c>
      <c r="V46" s="154">
        <f t="shared" si="58"/>
        <v>43000</v>
      </c>
      <c r="W46" s="155">
        <f t="shared" si="58"/>
        <v>43001</v>
      </c>
      <c r="X46" s="156">
        <f t="shared" si="58"/>
        <v>43002</v>
      </c>
    </row>
    <row r="47" spans="1:25" s="18" customFormat="1" ht="45.95" customHeight="1" x14ac:dyDescent="0.2">
      <c r="B47" s="150">
        <f>IF(B46="","",IF(ngay(TEXT(B46,"d"),TEXT(B46,"m"),TEXT(B46,"yyyy"),7)=1,ngay(TEXT(B46,"d"),TEXT(B46,"m"),TEXT(B46,"yyyy"),7)&amp;"/"&amp;thang(TEXT(B46,"d"),TEXT(B46,"m"),TEXT(B46,"yyyy"),7),ngay(TEXT(B46,"d"),TEXT(B46,"m"),TEXT(B46,"yyyy"),7)))</f>
        <v>24</v>
      </c>
      <c r="C47" s="151">
        <f>IF(C46="","",IF(ngay(TEXT(C46,"d"),TEXT(C46,"m"),TEXT(C46,"yyyy"),7)=1,ngay(TEXT(C46,"d"),TEXT(C46,"m"),TEXT(C46,"yyyy"),7)&amp;"/"&amp;thang(TEXT(C46,"d"),TEXT(C46,"m"),TEXT(C46,"yyyy"),7),ngay(TEXT(C46,"d"),TEXT(C46,"m"),TEXT(C46,"yyyy"),7)))</f>
        <v>25</v>
      </c>
      <c r="D47" s="151">
        <f>IF(D46="","",IF(ngay(TEXT(D46,"d"),TEXT(D46,"m"),TEXT(D46,"yyyy"),7)=1,ngay(TEXT(D46,"d"),TEXT(D46,"m"),TEXT(D46,"yyyy"),7)&amp;"/"&amp;thang(TEXT(D46,"d"),TEXT(D46,"m"),TEXT(D46,"yyyy"),7),ngay(TEXT(D46,"d"),TEXT(D46,"m"),TEXT(D46,"yyyy"),7)))</f>
        <v>26</v>
      </c>
      <c r="E47" s="151">
        <f>IF(E46="","",IF(ngay(TEXT(E46,"d"),TEXT(E46,"m"),TEXT(E46,"yyyy"),7)=1,ngay(TEXT(E46,"d"),TEXT(E46,"m"),TEXT(E46,"yyyy"),7)&amp;"/"&amp;thang(TEXT(E46,"d"),TEXT(E46,"m"),TEXT(E46,"yyyy"),7),ngay(TEXT(E46,"d"),TEXT(E46,"m"),TEXT(E46,"yyyy"),7)))</f>
        <v>27</v>
      </c>
      <c r="F47" s="151">
        <f>IF(F46="","",IF(ngay(TEXT(F46,"d"),TEXT(F46,"m"),TEXT(F46,"yyyy"),7)=1,ngay(TEXT(F46,"d"),TEXT(F46,"m"),TEXT(F46,"yyyy"),7)&amp;"/"&amp;thang(TEXT(F46,"d"),TEXT(F46,"m"),TEXT(F46,"yyyy"),7),ngay(TEXT(F46,"d"),TEXT(F46,"m"),TEXT(F46,"yyyy"),7)))</f>
        <v>28</v>
      </c>
      <c r="G47" s="151">
        <f>IF(G46="","",IF(ngay(TEXT(G46,"d"),TEXT(G46,"m"),TEXT(G46,"yyyy"),7)=1,ngay(TEXT(G46,"d"),TEXT(G46,"m"),TEXT(G46,"yyyy"),7)&amp;"/"&amp;thang(TEXT(G46,"d"),TEXT(G46,"m"),TEXT(G46,"yyyy"),7),ngay(TEXT(G46,"d"),TEXT(G46,"m"),TEXT(G46,"yyyy"),7)))</f>
        <v>29</v>
      </c>
      <c r="H47" s="152" t="str">
        <f>IF(H46="","",IF(ngay(TEXT(H46,"d"),TEXT(H46,"m"),TEXT(H46,"yyyy"),7)=1,ngay(TEXT(H46,"d"),TEXT(H46,"m"),TEXT(H46,"yyyy"),7)&amp;"/"&amp;thang(TEXT(H46,"d"),TEXT(H46,"m"),TEXT(H46,"yyyy"),7),ngay(TEXT(H46,"d"),TEXT(H46,"m"),TEXT(H46,"yyyy"),7)))</f>
        <v>1/6</v>
      </c>
      <c r="I47" s="20"/>
      <c r="J47" s="150">
        <f>IF(J46="","",IF(ngay(TEXT(J46,"d"),TEXT(J46,"m"),TEXT(J46,"yyyy"),7)=1,ngay(TEXT(J46,"d"),TEXT(J46,"m"),TEXT(J46,"yyyy"),7)&amp;"/"&amp;thang(TEXT(J46,"d"),TEXT(J46,"m"),TEXT(J46,"yyyy"),7),ngay(TEXT(J46,"d"),TEXT(J46,"m"),TEXT(J46,"yyyy"),7)))</f>
        <v>30</v>
      </c>
      <c r="K47" s="151" t="str">
        <f>IF(K46="","",IF(ngay(TEXT(K46,"d"),TEXT(K46,"m"),TEXT(K46,"yyyy"),7)=1,ngay(TEXT(K46,"d"),TEXT(K46,"m"),TEXT(K46,"yyyy"),7)&amp;"/"&amp;thang(TEXT(K46,"d"),TEXT(K46,"m"),TEXT(K46,"yyyy"),7),ngay(TEXT(K46,"d"),TEXT(K46,"m"),TEXT(K46,"yyyy"),7)))</f>
        <v>1/7</v>
      </c>
      <c r="L47" s="151">
        <f>IF(L46="","",IF(ngay(TEXT(L46,"d"),TEXT(L46,"m"),TEXT(L46,"yyyy"),7)=1,ngay(TEXT(L46,"d"),TEXT(L46,"m"),TEXT(L46,"yyyy"),7)&amp;"/"&amp;thang(TEXT(L46,"d"),TEXT(L46,"m"),TEXT(L46,"yyyy"),7),ngay(TEXT(L46,"d"),TEXT(L46,"m"),TEXT(L46,"yyyy"),7)))</f>
        <v>2</v>
      </c>
      <c r="M47" s="151">
        <f>IF(M46="","",IF(ngay(TEXT(M46,"d"),TEXT(M46,"m"),TEXT(M46,"yyyy"),7)=1,ngay(TEXT(M46,"d"),TEXT(M46,"m"),TEXT(M46,"yyyy"),7)&amp;"/"&amp;thang(TEXT(M46,"d"),TEXT(M46,"m"),TEXT(M46,"yyyy"),7),ngay(TEXT(M46,"d"),TEXT(M46,"m"),TEXT(M46,"yyyy"),7)))</f>
        <v>3</v>
      </c>
      <c r="N47" s="151">
        <f>IF(N46="","",IF(ngay(TEXT(N46,"d"),TEXT(N46,"m"),TEXT(N46,"yyyy"),7)=1,ngay(TEXT(N46,"d"),TEXT(N46,"m"),TEXT(N46,"yyyy"),7)&amp;"/"&amp;thang(TEXT(N46,"d"),TEXT(N46,"m"),TEXT(N46,"yyyy"),7),ngay(TEXT(N46,"d"),TEXT(N46,"m"),TEXT(N46,"yyyy"),7)))</f>
        <v>4</v>
      </c>
      <c r="O47" s="151">
        <f>IF(O46="","",IF(ngay(TEXT(O46,"d"),TEXT(O46,"m"),TEXT(O46,"yyyy"),7)=1,ngay(TEXT(O46,"d"),TEXT(O46,"m"),TEXT(O46,"yyyy"),7)&amp;"/"&amp;thang(TEXT(O46,"d"),TEXT(O46,"m"),TEXT(O46,"yyyy"),7),ngay(TEXT(O46,"d"),TEXT(O46,"m"),TEXT(O46,"yyyy"),7)))</f>
        <v>5</v>
      </c>
      <c r="P47" s="152">
        <f>IF(P46="","",IF(ngay(TEXT(P46,"d"),TEXT(P46,"m"),TEXT(P46,"yyyy"),7)=1,ngay(TEXT(P46,"d"),TEXT(P46,"m"),TEXT(P46,"yyyy"),7)&amp;"/"&amp;thang(TEXT(P46,"d"),TEXT(P46,"m"),TEXT(P46,"yyyy"),7),ngay(TEXT(P46,"d"),TEXT(P46,"m"),TEXT(P46,"yyyy"),7)))</f>
        <v>6</v>
      </c>
      <c r="Q47" s="20"/>
      <c r="R47" s="73">
        <f>IF(R46="","",IF(ngay(TEXT(R46,"d"),TEXT(R46,"m"),TEXT(R46,"yyyy"),7)=1,ngay(TEXT(R46,"d"),TEXT(R46,"m"),TEXT(R46,"yyyy"),7)&amp;"/"&amp;thang(TEXT(R46,"d"),TEXT(R46,"m"),TEXT(R46,"yyyy"),7),ngay(TEXT(R46,"d"),TEXT(R46,"m"),TEXT(R46,"yyyy"),7)))</f>
        <v>28</v>
      </c>
      <c r="S47" s="74">
        <f>IF(S46="","",IF(ngay(TEXT(S46,"d"),TEXT(S46,"m"),TEXT(S46,"yyyy"),7)=1,ngay(TEXT(S46,"d"),TEXT(S46,"m"),TEXT(S46,"yyyy"),7)&amp;"/"&amp;thang(TEXT(S46,"d"),TEXT(S46,"m"),TEXT(S46,"yyyy"),7),ngay(TEXT(S46,"d"),TEXT(S46,"m"),TEXT(S46,"yyyy"),7)))</f>
        <v>29</v>
      </c>
      <c r="T47" s="74" t="str">
        <f>IF(T46="","",IF(ngay(TEXT(T46,"d"),TEXT(T46,"m"),TEXT(T46,"yyyy"),7)=1,ngay(TEXT(T46,"d"),TEXT(T46,"m"),TEXT(T46,"yyyy"),7)&amp;"/"&amp;thang(TEXT(T46,"d"),TEXT(T46,"m"),TEXT(T46,"yyyy"),7),ngay(TEXT(T46,"d"),TEXT(T46,"m"),TEXT(T46,"yyyy"),7)))</f>
        <v>1/8</v>
      </c>
      <c r="U47" s="74">
        <f>IF(U46="","",IF(ngay(TEXT(U46,"d"),TEXT(U46,"m"),TEXT(U46,"yyyy"),7)=1,ngay(TEXT(U46,"d"),TEXT(U46,"m"),TEXT(U46,"yyyy"),7)&amp;"/"&amp;thang(TEXT(U46,"d"),TEXT(U46,"m"),TEXT(U46,"yyyy"),7),ngay(TEXT(U46,"d"),TEXT(U46,"m"),TEXT(U46,"yyyy"),7)))</f>
        <v>2</v>
      </c>
      <c r="V47" s="74">
        <f>IF(V46="","",IF(ngay(TEXT(V46,"d"),TEXT(V46,"m"),TEXT(V46,"yyyy"),7)=1,ngay(TEXT(V46,"d"),TEXT(V46,"m"),TEXT(V46,"yyyy"),7)&amp;"/"&amp;thang(TEXT(V46,"d"),TEXT(V46,"m"),TEXT(V46,"yyyy"),7),ngay(TEXT(V46,"d"),TEXT(V46,"m"),TEXT(V46,"yyyy"),7)))</f>
        <v>3</v>
      </c>
      <c r="W47" s="74">
        <f>IF(W46="","",IF(ngay(TEXT(W46,"d"),TEXT(W46,"m"),TEXT(W46,"yyyy"),7)=1,ngay(TEXT(W46,"d"),TEXT(W46,"m"),TEXT(W46,"yyyy"),7)&amp;"/"&amp;thang(TEXT(W46,"d"),TEXT(W46,"m"),TEXT(W46,"yyyy"),7),ngay(TEXT(W46,"d"),TEXT(W46,"m"),TEXT(W46,"yyyy"),7)))</f>
        <v>4</v>
      </c>
      <c r="X47" s="80">
        <f>IF(X46="","",IF(ngay(TEXT(X46,"d"),TEXT(X46,"m"),TEXT(X46,"yyyy"),7)=1,ngay(TEXT(X46,"d"),TEXT(X46,"m"),TEXT(X46,"yyyy"),7)&amp;"/"&amp;thang(TEXT(X46,"d"),TEXT(X46,"m"),TEXT(X46,"yyyy"),7),ngay(TEXT(X46,"d"),TEXT(X46,"m"),TEXT(X46,"yyyy"),7)))</f>
        <v>5</v>
      </c>
    </row>
    <row r="48" spans="1:25" s="4" customFormat="1" ht="45.95" customHeight="1" x14ac:dyDescent="0.3">
      <c r="A48" s="79"/>
      <c r="B48" s="71">
        <f>IF(H46="","",IF(MONTH(H46+1)&lt;&gt;MONTH(H46),"",H46+1))</f>
        <v>42940</v>
      </c>
      <c r="C48" s="72">
        <f>IF(B48="","",IF(MONTH(B48+1)&lt;&gt;MONTH(B48),"",B48+1))</f>
        <v>42941</v>
      </c>
      <c r="D48" s="72">
        <f t="shared" ref="D48:H48" si="59">IF(C48="","",IF(MONTH(C48+1)&lt;&gt;MONTH(C48),"",C48+1))</f>
        <v>42942</v>
      </c>
      <c r="E48" s="72">
        <f t="shared" si="59"/>
        <v>42943</v>
      </c>
      <c r="F48" s="72">
        <f t="shared" si="59"/>
        <v>42944</v>
      </c>
      <c r="G48" s="77">
        <f t="shared" si="59"/>
        <v>42945</v>
      </c>
      <c r="H48" s="78">
        <f t="shared" si="59"/>
        <v>42946</v>
      </c>
      <c r="I48" s="16"/>
      <c r="J48" s="153">
        <f>IF(P46="","",IF(MONTH(P46+1)&lt;&gt;MONTH(P46),"",P46+1))</f>
        <v>42975</v>
      </c>
      <c r="K48" s="154">
        <f>IF(J48="","",IF(MONTH(J48+1)&lt;&gt;MONTH(J48),"",J48+1))</f>
        <v>42976</v>
      </c>
      <c r="L48" s="154">
        <f t="shared" ref="L48:P48" si="60">IF(K48="","",IF(MONTH(K48+1)&lt;&gt;MONTH(K48),"",K48+1))</f>
        <v>42977</v>
      </c>
      <c r="M48" s="154">
        <f t="shared" si="60"/>
        <v>42978</v>
      </c>
      <c r="N48" s="154" t="str">
        <f t="shared" si="60"/>
        <v/>
      </c>
      <c r="O48" s="155" t="str">
        <f t="shared" si="60"/>
        <v/>
      </c>
      <c r="P48" s="156" t="str">
        <f t="shared" si="60"/>
        <v/>
      </c>
      <c r="Q48" s="16"/>
      <c r="R48" s="153">
        <f>IF(X46="","",IF(MONTH(X46+1)&lt;&gt;MONTH(X46),"",X46+1))</f>
        <v>43003</v>
      </c>
      <c r="S48" s="154">
        <f>IF(R48="","",IF(MONTH(R48+1)&lt;&gt;MONTH(R48),"",R48+1))</f>
        <v>43004</v>
      </c>
      <c r="T48" s="154">
        <f t="shared" ref="T48:X48" si="61">IF(S48="","",IF(MONTH(S48+1)&lt;&gt;MONTH(S48),"",S48+1))</f>
        <v>43005</v>
      </c>
      <c r="U48" s="154">
        <f t="shared" si="61"/>
        <v>43006</v>
      </c>
      <c r="V48" s="154">
        <f t="shared" si="61"/>
        <v>43007</v>
      </c>
      <c r="W48" s="155">
        <f t="shared" si="61"/>
        <v>43008</v>
      </c>
      <c r="X48" s="68" t="str">
        <f t="shared" si="61"/>
        <v/>
      </c>
    </row>
    <row r="49" spans="1:25" s="18" customFormat="1" ht="45.95" customHeight="1" x14ac:dyDescent="0.2">
      <c r="B49" s="150">
        <f>IF(B48="","",IF(ngay(TEXT(B48,"d"),TEXT(B48,"m"),TEXT(B48,"yyyy"),7)=1,ngay(TEXT(B48,"d"),TEXT(B48,"m"),TEXT(B48,"yyyy"),7)&amp;"/"&amp;thang(TEXT(B48,"d"),TEXT(B48,"m"),TEXT(B48,"yyyy"),7),ngay(TEXT(B48,"d"),TEXT(B48,"m"),TEXT(B48,"yyyy"),7)))</f>
        <v>2</v>
      </c>
      <c r="C49" s="151">
        <f>IF(C48="","",IF(ngay(TEXT(C48,"d"),TEXT(C48,"m"),TEXT(C48,"yyyy"),7)=1,ngay(TEXT(C48,"d"),TEXT(C48,"m"),TEXT(C48,"yyyy"),7)&amp;"/"&amp;thang(TEXT(C48,"d"),TEXT(C48,"m"),TEXT(C48,"yyyy"),7),ngay(TEXT(C48,"d"),TEXT(C48,"m"),TEXT(C48,"yyyy"),7)))</f>
        <v>3</v>
      </c>
      <c r="D49" s="151">
        <f>IF(D48="","",IF(ngay(TEXT(D48,"d"),TEXT(D48,"m"),TEXT(D48,"yyyy"),7)=1,ngay(TEXT(D48,"d"),TEXT(D48,"m"),TEXT(D48,"yyyy"),7)&amp;"/"&amp;thang(TEXT(D48,"d"),TEXT(D48,"m"),TEXT(D48,"yyyy"),7),ngay(TEXT(D48,"d"),TEXT(D48,"m"),TEXT(D48,"yyyy"),7)))</f>
        <v>4</v>
      </c>
      <c r="E49" s="151">
        <f>IF(E48="","",IF(ngay(TEXT(E48,"d"),TEXT(E48,"m"),TEXT(E48,"yyyy"),7)=1,ngay(TEXT(E48,"d"),TEXT(E48,"m"),TEXT(E48,"yyyy"),7)&amp;"/"&amp;thang(TEXT(E48,"d"),TEXT(E48,"m"),TEXT(E48,"yyyy"),7),ngay(TEXT(E48,"d"),TEXT(E48,"m"),TEXT(E48,"yyyy"),7)))</f>
        <v>5</v>
      </c>
      <c r="F49" s="151">
        <f>IF(F48="","",IF(ngay(TEXT(F48,"d"),TEXT(F48,"m"),TEXT(F48,"yyyy"),7)=1,ngay(TEXT(F48,"d"),TEXT(F48,"m"),TEXT(F48,"yyyy"),7)&amp;"/"&amp;thang(TEXT(F48,"d"),TEXT(F48,"m"),TEXT(F48,"yyyy"),7),ngay(TEXT(F48,"d"),TEXT(F48,"m"),TEXT(F48,"yyyy"),7)))</f>
        <v>6</v>
      </c>
      <c r="G49" s="151">
        <f>IF(G48="","",IF(ngay(TEXT(G48,"d"),TEXT(G48,"m"),TEXT(G48,"yyyy"),7)=1,ngay(TEXT(G48,"d"),TEXT(G48,"m"),TEXT(G48,"yyyy"),7)&amp;"/"&amp;thang(TEXT(G48,"d"),TEXT(G48,"m"),TEXT(G48,"yyyy"),7),ngay(TEXT(G48,"d"),TEXT(G48,"m"),TEXT(G48,"yyyy"),7)))</f>
        <v>7</v>
      </c>
      <c r="H49" s="152">
        <f>IF(H48="","",IF(ngay(TEXT(H48,"d"),TEXT(H48,"m"),TEXT(H48,"yyyy"),7)=1,ngay(TEXT(H48,"d"),TEXT(H48,"m"),TEXT(H48,"yyyy"),7)&amp;"/"&amp;thang(TEXT(H48,"d"),TEXT(H48,"m"),TEXT(H48,"yyyy"),7),ngay(TEXT(H48,"d"),TEXT(H48,"m"),TEXT(H48,"yyyy"),7)))</f>
        <v>8</v>
      </c>
      <c r="I49" s="20"/>
      <c r="J49" s="64">
        <f>IF(J48="","",IF(ngay(TEXT(J48,"d"),TEXT(J48,"m"),TEXT(J48,"yyyy"),7)=1,ngay(TEXT(J48,"d"),TEXT(J48,"m"),TEXT(J48,"yyyy"),7)&amp;"/"&amp;thang(TEXT(J48,"d"),TEXT(J48,"m"),TEXT(J48,"yyyy"),7),ngay(TEXT(J48,"d"),TEXT(J48,"m"),TEXT(J48,"yyyy"),7)))</f>
        <v>7</v>
      </c>
      <c r="K49" s="69">
        <f>IF(K48="","",IF(ngay(TEXT(K48,"d"),TEXT(K48,"m"),TEXT(K48,"yyyy"),7)=1,ngay(TEXT(K48,"d"),TEXT(K48,"m"),TEXT(K48,"yyyy"),7)&amp;"/"&amp;thang(TEXT(K48,"d"),TEXT(K48,"m"),TEXT(K48,"yyyy"),7),ngay(TEXT(K48,"d"),TEXT(K48,"m"),TEXT(K48,"yyyy"),7)))</f>
        <v>8</v>
      </c>
      <c r="L49" s="69">
        <f>IF(L48="","",IF(ngay(TEXT(L48,"d"),TEXT(L48,"m"),TEXT(L48,"yyyy"),7)=1,ngay(TEXT(L48,"d"),TEXT(L48,"m"),TEXT(L48,"yyyy"),7)&amp;"/"&amp;thang(TEXT(L48,"d"),TEXT(L48,"m"),TEXT(L48,"yyyy"),7),ngay(TEXT(L48,"d"),TEXT(L48,"m"),TEXT(L48,"yyyy"),7)))</f>
        <v>9</v>
      </c>
      <c r="M49" s="69">
        <f>IF(M48="","",IF(ngay(TEXT(M48,"d"),TEXT(M48,"m"),TEXT(M48,"yyyy"),7)=1,ngay(TEXT(M48,"d"),TEXT(M48,"m"),TEXT(M48,"yyyy"),7)&amp;"/"&amp;thang(TEXT(M48,"d"),TEXT(M48,"m"),TEXT(M48,"yyyy"),7),ngay(TEXT(M48,"d"),TEXT(M48,"m"),TEXT(M48,"yyyy"),7)))</f>
        <v>10</v>
      </c>
      <c r="N49" s="151" t="str">
        <f>IF(N48="","",IF(ngay(TEXT(N48,"d"),TEXT(N48,"m"),TEXT(N48,"yyyy"),7)=1,ngay(TEXT(N48,"d"),TEXT(N48,"m"),TEXT(N48,"yyyy"),7)&amp;"/"&amp;thang(TEXT(N48,"d"),TEXT(N48,"m"),TEXT(N48,"yyyy"),7),ngay(TEXT(N48,"d"),TEXT(N48,"m"),TEXT(N48,"yyyy"),7)))</f>
        <v/>
      </c>
      <c r="O49" s="151" t="str">
        <f>IF(O48="","",IF(ngay(TEXT(O48,"d"),TEXT(O48,"m"),TEXT(O48,"yyyy"),7)=1,ngay(TEXT(O48,"d"),TEXT(O48,"m"),TEXT(O48,"yyyy"),7)&amp;"/"&amp;thang(TEXT(O48,"d"),TEXT(O48,"m"),TEXT(O48,"yyyy"),7),ngay(TEXT(O48,"d"),TEXT(O48,"m"),TEXT(O48,"yyyy"),7)))</f>
        <v/>
      </c>
      <c r="P49" s="152" t="str">
        <f>IF(P48="","",IF(ngay(TEXT(P48,"d"),TEXT(P48,"m"),TEXT(P48,"yyyy"),7)=1,ngay(TEXT(P48,"d"),TEXT(P48,"m"),TEXT(P48,"yyyy"),7)&amp;"/"&amp;thang(TEXT(P48,"d"),TEXT(P48,"m"),TEXT(P48,"yyyy"),7),ngay(TEXT(P48,"d"),TEXT(P48,"m"),TEXT(P48,"yyyy"),7)))</f>
        <v/>
      </c>
      <c r="Q49" s="20"/>
      <c r="R49" s="73">
        <f>IF(R48="","",IF(ngay(TEXT(R48,"d"),TEXT(R48,"m"),TEXT(R48,"yyyy"),7)=1,ngay(TEXT(R48,"d"),TEXT(R48,"m"),TEXT(R48,"yyyy"),7)&amp;"/"&amp;thang(TEXT(R48,"d"),TEXT(R48,"m"),TEXT(R48,"yyyy"),7),ngay(TEXT(R48,"d"),TEXT(R48,"m"),TEXT(R48,"yyyy"),7)))</f>
        <v>6</v>
      </c>
      <c r="S49" s="74">
        <f>IF(S48="","",IF(ngay(TEXT(S48,"d"),TEXT(S48,"m"),TEXT(S48,"yyyy"),7)=1,ngay(TEXT(S48,"d"),TEXT(S48,"m"),TEXT(S48,"yyyy"),7)&amp;"/"&amp;thang(TEXT(S48,"d"),TEXT(S48,"m"),TEXT(S48,"yyyy"),7),ngay(TEXT(S48,"d"),TEXT(S48,"m"),TEXT(S48,"yyyy"),7)))</f>
        <v>7</v>
      </c>
      <c r="T49" s="74">
        <f>IF(T48="","",IF(ngay(TEXT(T48,"d"),TEXT(T48,"m"),TEXT(T48,"yyyy"),7)=1,ngay(TEXT(T48,"d"),TEXT(T48,"m"),TEXT(T48,"yyyy"),7)&amp;"/"&amp;thang(TEXT(T48,"d"),TEXT(T48,"m"),TEXT(T48,"yyyy"),7),ngay(TEXT(T48,"d"),TEXT(T48,"m"),TEXT(T48,"yyyy"),7)))</f>
        <v>8</v>
      </c>
      <c r="U49" s="74">
        <f>IF(U48="","",IF(ngay(TEXT(U48,"d"),TEXT(U48,"m"),TEXT(U48,"yyyy"),7)=1,ngay(TEXT(U48,"d"),TEXT(U48,"m"),TEXT(U48,"yyyy"),7)&amp;"/"&amp;thang(TEXT(U48,"d"),TEXT(U48,"m"),TEXT(U48,"yyyy"),7),ngay(TEXT(U48,"d"),TEXT(U48,"m"),TEXT(U48,"yyyy"),7)))</f>
        <v>9</v>
      </c>
      <c r="V49" s="74">
        <f>IF(V48="","",IF(ngay(TEXT(V48,"d"),TEXT(V48,"m"),TEXT(V48,"yyyy"),7)=1,ngay(TEXT(V48,"d"),TEXT(V48,"m"),TEXT(V48,"yyyy"),7)&amp;"/"&amp;thang(TEXT(V48,"d"),TEXT(V48,"m"),TEXT(V48,"yyyy"),7),ngay(TEXT(V48,"d"),TEXT(V48,"m"),TEXT(V48,"yyyy"),7)))</f>
        <v>10</v>
      </c>
      <c r="W49" s="74">
        <f>IF(W48="","",IF(ngay(TEXT(W48,"d"),TEXT(W48,"m"),TEXT(W48,"yyyy"),7)=1,ngay(TEXT(W48,"d"),TEXT(W48,"m"),TEXT(W48,"yyyy"),7)&amp;"/"&amp;thang(TEXT(W48,"d"),TEXT(W48,"m"),TEXT(W48,"yyyy"),7),ngay(TEXT(W48,"d"),TEXT(W48,"m"),TEXT(W48,"yyyy"),7)))</f>
        <v>11</v>
      </c>
      <c r="X49" s="70" t="str">
        <f>IF(X48="","",IF(ngay(TEXT(X48,"d"),TEXT(X48,"m"),TEXT(X48,"yyyy"),7)=1,ngay(TEXT(X48,"d"),TEXT(X48,"m"),TEXT(X48,"yyyy"),7)&amp;"/"&amp;thang(TEXT(X48,"d"),TEXT(X48,"m"),TEXT(X48,"yyyy"),7),ngay(TEXT(X48,"d"),TEXT(X48,"m"),TEXT(X48,"yyyy"),7)))</f>
        <v/>
      </c>
    </row>
    <row r="50" spans="1:25" s="4" customFormat="1" ht="45.95" customHeight="1" x14ac:dyDescent="0.3">
      <c r="B50" s="49">
        <f>IF(H48="","",IF(MONTH(H48+1)&lt;&gt;MONTH(H48),"",H48+1))</f>
        <v>42947</v>
      </c>
      <c r="C50" s="3" t="str">
        <f>IF(B50="","",IF(MONTH(B50+1)&lt;&gt;MONTH(B50),"",B50+1))</f>
        <v/>
      </c>
      <c r="D50" s="3" t="str">
        <f t="shared" ref="D50:H50" si="62">IF(C50="","",IF(MONTH(C50+1)&lt;&gt;MONTH(C50),"",C50+1))</f>
        <v/>
      </c>
      <c r="E50" s="3" t="str">
        <f t="shared" si="62"/>
        <v/>
      </c>
      <c r="F50" s="3" t="str">
        <f t="shared" si="62"/>
        <v/>
      </c>
      <c r="G50" s="17" t="str">
        <f t="shared" si="62"/>
        <v/>
      </c>
      <c r="H50" s="29" t="str">
        <f t="shared" si="62"/>
        <v/>
      </c>
      <c r="I50" s="16"/>
      <c r="J50" s="28" t="str">
        <f>IF(P48="","",IF(MONTH(P48+1)&lt;&gt;MONTH(P48),"",P48+1))</f>
        <v/>
      </c>
      <c r="K50" s="3" t="str">
        <f>IF(J50="","",IF(MONTH(J50+1)&lt;&gt;MONTH(J50),"",J50+1))</f>
        <v/>
      </c>
      <c r="L50" s="3" t="str">
        <f t="shared" ref="L50:P50" si="63">IF(K50="","",IF(MONTH(K50+1)&lt;&gt;MONTH(K50),"",K50+1))</f>
        <v/>
      </c>
      <c r="M50" s="3" t="str">
        <f t="shared" si="63"/>
        <v/>
      </c>
      <c r="N50" s="3" t="str">
        <f t="shared" si="63"/>
        <v/>
      </c>
      <c r="O50" s="17" t="str">
        <f t="shared" si="63"/>
        <v/>
      </c>
      <c r="P50" s="29" t="str">
        <f t="shared" si="63"/>
        <v/>
      </c>
      <c r="Q50" s="16"/>
      <c r="R50" s="28" t="str">
        <f>IF(X48="","",IF(MONTH(X48+1)&lt;&gt;MONTH(X48),"",X48+1))</f>
        <v/>
      </c>
      <c r="S50" s="3" t="str">
        <f>IF(R50="","",IF(MONTH(R50+1)&lt;&gt;MONTH(R50),"",R50+1))</f>
        <v/>
      </c>
      <c r="T50" s="3" t="str">
        <f t="shared" ref="T50:X50" si="64">IF(S50="","",IF(MONTH(S50+1)&lt;&gt;MONTH(S50),"",S50+1))</f>
        <v/>
      </c>
      <c r="U50" s="3" t="str">
        <f t="shared" si="64"/>
        <v/>
      </c>
      <c r="V50" s="3" t="str">
        <f t="shared" si="64"/>
        <v/>
      </c>
      <c r="W50" s="17" t="str">
        <f t="shared" si="64"/>
        <v/>
      </c>
      <c r="X50" s="29" t="str">
        <f t="shared" si="64"/>
        <v/>
      </c>
    </row>
    <row r="51" spans="1:25" s="18" customFormat="1" ht="45.95" customHeight="1" x14ac:dyDescent="0.2">
      <c r="B51" s="158">
        <f>IF(B50="","",IF(ngay(TEXT(B50,"d"),TEXT(B50,"m"),TEXT(B50,"yyyy"),7)=1,ngay(TEXT(B50,"d"),TEXT(B50,"m"),TEXT(B50,"yyyy"),7)&amp;"/"&amp;thang(TEXT(B50,"d"),TEXT(B50,"m"),TEXT(B50,"yyyy"),7),ngay(TEXT(B50,"d"),TEXT(B50,"m"),TEXT(B50,"yyyy"),7)))</f>
        <v>9</v>
      </c>
      <c r="C51" s="33" t="str">
        <f>IF(C50="","",IF(ngay(TEXT(C50,"d"),TEXT(C50,"m"),TEXT(C50,"yyyy"),7)=1,ngay(TEXT(C50,"d"),TEXT(C50,"m"),TEXT(C50,"yyyy"),7)&amp;"/"&amp;thang(TEXT(C50,"d"),TEXT(C50,"m"),TEXT(C50,"yyyy"),7),ngay(TEXT(C50,"d"),TEXT(C50,"m"),TEXT(C50,"yyyy"),7)))</f>
        <v/>
      </c>
      <c r="D51" s="33" t="str">
        <f>IF(D50="","",IF(ngay(TEXT(D50,"d"),TEXT(D50,"m"),TEXT(D50,"yyyy"),7)=1,ngay(TEXT(D50,"d"),TEXT(D50,"m"),TEXT(D50,"yyyy"),7)&amp;"/"&amp;thang(TEXT(D50,"d"),TEXT(D50,"m"),TEXT(D50,"yyyy"),7),ngay(TEXT(D50,"d"),TEXT(D50,"m"),TEXT(D50,"yyyy"),7)))</f>
        <v/>
      </c>
      <c r="E51" s="33" t="str">
        <f>IF(E50="","",IF(ngay(TEXT(E50,"d"),TEXT(E50,"m"),TEXT(E50,"yyyy"),7)=1,ngay(TEXT(E50,"d"),TEXT(E50,"m"),TEXT(E50,"yyyy"),7)&amp;"/"&amp;thang(TEXT(E50,"d"),TEXT(E50,"m"),TEXT(E50,"yyyy"),7),ngay(TEXT(E50,"d"),TEXT(E50,"m"),TEXT(E50,"yyyy"),7)))</f>
        <v/>
      </c>
      <c r="F51" s="33" t="str">
        <f>IF(F50="","",IF(ngay(TEXT(F50,"d"),TEXT(F50,"m"),TEXT(F50,"yyyy"),7)=1,ngay(TEXT(F50,"d"),TEXT(F50,"m"),TEXT(F50,"yyyy"),7)&amp;"/"&amp;thang(TEXT(F50,"d"),TEXT(F50,"m"),TEXT(F50,"yyyy"),7),ngay(TEXT(F50,"d"),TEXT(F50,"m"),TEXT(F50,"yyyy"),7)))</f>
        <v/>
      </c>
      <c r="G51" s="33" t="str">
        <f>IF(G50="","",IF(ngay(TEXT(G50,"d"),TEXT(G50,"m"),TEXT(G50,"yyyy"),7)=1,ngay(TEXT(G50,"d"),TEXT(G50,"m"),TEXT(G50,"yyyy"),7)&amp;"/"&amp;thang(TEXT(G50,"d"),TEXT(G50,"m"),TEXT(G50,"yyyy"),7),ngay(TEXT(G50,"d"),TEXT(G50,"m"),TEXT(G50,"yyyy"),7)))</f>
        <v/>
      </c>
      <c r="H51" s="34" t="str">
        <f>IF(H50="","",IF(ngay(TEXT(H50,"d"),TEXT(H50,"m"),TEXT(H50,"yyyy"),7)=1,ngay(TEXT(H50,"d"),TEXT(H50,"m"),TEXT(H50,"yyyy"),7)&amp;"/"&amp;thang(TEXT(H50,"d"),TEXT(H50,"m"),TEXT(H50,"yyyy"),7),ngay(TEXT(H50,"d"),TEXT(H50,"m"),TEXT(H50,"yyyy"),7)))</f>
        <v/>
      </c>
      <c r="I51" s="20"/>
      <c r="J51" s="32" t="str">
        <f>IF(J50="","",IF(ngay(TEXT(J50,"d"),TEXT(J50,"m"),TEXT(J50,"yyyy"),7)=1,ngay(TEXT(J50,"d"),TEXT(J50,"m"),TEXT(J50,"yyyy"),7)&amp;"/"&amp;thang(TEXT(J50,"d"),TEXT(J50,"m"),TEXT(J50,"yyyy"),7),ngay(TEXT(J50,"d"),TEXT(J50,"m"),TEXT(J50,"yyyy"),7)))</f>
        <v/>
      </c>
      <c r="K51" s="33" t="str">
        <f>IF(K50="","",IF(ngay(TEXT(K50,"d"),TEXT(K50,"m"),TEXT(K50,"yyyy"),7)=1,ngay(TEXT(K50,"d"),TEXT(K50,"m"),TEXT(K50,"yyyy"),7)&amp;"/"&amp;thang(TEXT(K50,"d"),TEXT(K50,"m"),TEXT(K50,"yyyy"),7),ngay(TEXT(K50,"d"),TEXT(K50,"m"),TEXT(K50,"yyyy"),7)))</f>
        <v/>
      </c>
      <c r="L51" s="33" t="str">
        <f>IF(L50="","",IF(ngay(TEXT(L50,"d"),TEXT(L50,"m"),TEXT(L50,"yyyy"),7)=1,ngay(TEXT(L50,"d"),TEXT(L50,"m"),TEXT(L50,"yyyy"),7)&amp;"/"&amp;thang(TEXT(L50,"d"),TEXT(L50,"m"),TEXT(L50,"yyyy"),7),ngay(TEXT(L50,"d"),TEXT(L50,"m"),TEXT(L50,"yyyy"),7)))</f>
        <v/>
      </c>
      <c r="M51" s="33" t="str">
        <f>IF(M50="","",IF(ngay(TEXT(M50,"d"),TEXT(M50,"m"),TEXT(M50,"yyyy"),7)=1,ngay(TEXT(M50,"d"),TEXT(M50,"m"),TEXT(M50,"yyyy"),7)&amp;"/"&amp;thang(TEXT(M50,"d"),TEXT(M50,"m"),TEXT(M50,"yyyy"),7),ngay(TEXT(M50,"d"),TEXT(M50,"m"),TEXT(M50,"yyyy"),7)))</f>
        <v/>
      </c>
      <c r="N51" s="33" t="str">
        <f>IF(N50="","",IF(ngay(TEXT(N50,"d"),TEXT(N50,"m"),TEXT(N50,"yyyy"),7)=1,ngay(TEXT(N50,"d"),TEXT(N50,"m"),TEXT(N50,"yyyy"),7)&amp;"/"&amp;thang(TEXT(N50,"d"),TEXT(N50,"m"),TEXT(N50,"yyyy"),7),ngay(TEXT(N50,"d"),TEXT(N50,"m"),TEXT(N50,"yyyy"),7)))</f>
        <v/>
      </c>
      <c r="O51" s="33" t="str">
        <f>IF(O50="","",IF(ngay(TEXT(O50,"d"),TEXT(O50,"m"),TEXT(O50,"yyyy"),7)=1,ngay(TEXT(O50,"d"),TEXT(O50,"m"),TEXT(O50,"yyyy"),7)&amp;"/"&amp;thang(TEXT(O50,"d"),TEXT(O50,"m"),TEXT(O50,"yyyy"),7),ngay(TEXT(O50,"d"),TEXT(O50,"m"),TEXT(O50,"yyyy"),7)))</f>
        <v/>
      </c>
      <c r="P51" s="34" t="str">
        <f>IF(P50="","",IF(ngay(TEXT(P50,"d"),TEXT(P50,"m"),TEXT(P50,"yyyy"),7)=1,ngay(TEXT(P50,"d"),TEXT(P50,"m"),TEXT(P50,"yyyy"),7)&amp;"/"&amp;thang(TEXT(P50,"d"),TEXT(P50,"m"),TEXT(P50,"yyyy"),7),ngay(TEXT(P50,"d"),TEXT(P50,"m"),TEXT(P50,"yyyy"),7)))</f>
        <v/>
      </c>
      <c r="Q51" s="20"/>
      <c r="R51" s="32" t="str">
        <f>IF(R50="","",IF(ngay(TEXT(R50,"d"),TEXT(R50,"m"),TEXT(R50,"yyyy"),7)=1,ngay(TEXT(R50,"d"),TEXT(R50,"m"),TEXT(R50,"yyyy"),7)&amp;"/"&amp;thang(TEXT(R50,"d"),TEXT(R50,"m"),TEXT(R50,"yyyy"),7),ngay(TEXT(R50,"d"),TEXT(R50,"m"),TEXT(R50,"yyyy"),7)))</f>
        <v/>
      </c>
      <c r="S51" s="33" t="str">
        <f>IF(S50="","",IF(ngay(TEXT(S50,"d"),TEXT(S50,"m"),TEXT(S50,"yyyy"),7)=1,ngay(TEXT(S50,"d"),TEXT(S50,"m"),TEXT(S50,"yyyy"),7)&amp;"/"&amp;thang(TEXT(S50,"d"),TEXT(S50,"m"),TEXT(S50,"yyyy"),7),ngay(TEXT(S50,"d"),TEXT(S50,"m"),TEXT(S50,"yyyy"),7)))</f>
        <v/>
      </c>
      <c r="T51" s="33" t="str">
        <f>IF(T50="","",IF(ngay(TEXT(T50,"d"),TEXT(T50,"m"),TEXT(T50,"yyyy"),7)=1,ngay(TEXT(T50,"d"),TEXT(T50,"m"),TEXT(T50,"yyyy"),7)&amp;"/"&amp;thang(TEXT(T50,"d"),TEXT(T50,"m"),TEXT(T50,"yyyy"),7),ngay(TEXT(T50,"d"),TEXT(T50,"m"),TEXT(T50,"yyyy"),7)))</f>
        <v/>
      </c>
      <c r="U51" s="33" t="str">
        <f>IF(U50="","",IF(ngay(TEXT(U50,"d"),TEXT(U50,"m"),TEXT(U50,"yyyy"),7)=1,ngay(TEXT(U50,"d"),TEXT(U50,"m"),TEXT(U50,"yyyy"),7)&amp;"/"&amp;thang(TEXT(U50,"d"),TEXT(U50,"m"),TEXT(U50,"yyyy"),7),ngay(TEXT(U50,"d"),TEXT(U50,"m"),TEXT(U50,"yyyy"),7)))</f>
        <v/>
      </c>
      <c r="V51" s="33" t="str">
        <f>IF(V50="","",IF(ngay(TEXT(V50,"d"),TEXT(V50,"m"),TEXT(V50,"yyyy"),7)=1,ngay(TEXT(V50,"d"),TEXT(V50,"m"),TEXT(V50,"yyyy"),7)&amp;"/"&amp;thang(TEXT(V50,"d"),TEXT(V50,"m"),TEXT(V50,"yyyy"),7),ngay(TEXT(V50,"d"),TEXT(V50,"m"),TEXT(V50,"yyyy"),7)))</f>
        <v/>
      </c>
      <c r="W51" s="33" t="str">
        <f>IF(W50="","",IF(ngay(TEXT(W50,"d"),TEXT(W50,"m"),TEXT(W50,"yyyy"),7)=1,ngay(TEXT(W50,"d"),TEXT(W50,"m"),TEXT(W50,"yyyy"),7)&amp;"/"&amp;thang(TEXT(W50,"d"),TEXT(W50,"m"),TEXT(W50,"yyyy"),7),ngay(TEXT(W50,"d"),TEXT(W50,"m"),TEXT(W50,"yyyy"),7)))</f>
        <v/>
      </c>
      <c r="X51" s="34" t="str">
        <f>IF(X50="","",IF(ngay(TEXT(X50,"d"),TEXT(X50,"m"),TEXT(X50,"yyyy"),7)=1,ngay(TEXT(X50,"d"),TEXT(X50,"m"),TEXT(X50,"yyyy"),7)&amp;"/"&amp;thang(TEXT(X50,"d"),TEXT(X50,"m"),TEXT(X50,"yyyy"),7),ngay(TEXT(X50,"d"),TEXT(X50,"m"),TEXT(X50,"yyyy"),7)))</f>
        <v/>
      </c>
    </row>
    <row r="52" spans="1:25" ht="12" customHeight="1" x14ac:dyDescent="0.25">
      <c r="A52" s="1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spans="1:25" s="1" customFormat="1" ht="20.25" x14ac:dyDescent="0.3">
      <c r="A53" s="2"/>
      <c r="B53" s="38">
        <f>DATE(YEAR(R38+42),MONTH(R38+42),1)</f>
        <v>43009</v>
      </c>
      <c r="C53" s="39"/>
      <c r="D53" s="39"/>
      <c r="E53" s="39"/>
      <c r="F53" s="39"/>
      <c r="G53" s="39"/>
      <c r="H53" s="40"/>
      <c r="I53" s="12"/>
      <c r="J53" s="41">
        <f>DATE(YEAR(B53+42),MONTH(B53+42),1)</f>
        <v>43040</v>
      </c>
      <c r="K53" s="42"/>
      <c r="L53" s="42"/>
      <c r="M53" s="42"/>
      <c r="N53" s="42"/>
      <c r="O53" s="42"/>
      <c r="P53" s="43"/>
      <c r="Q53" s="12"/>
      <c r="R53" s="41">
        <f>DATE(YEAR(J53+42),MONTH(J53+42),1)</f>
        <v>43070</v>
      </c>
      <c r="S53" s="42"/>
      <c r="T53" s="42"/>
      <c r="U53" s="42"/>
      <c r="V53" s="42"/>
      <c r="W53" s="42"/>
      <c r="X53" s="43"/>
    </row>
    <row r="54" spans="1:25" s="15" customFormat="1" ht="18" customHeight="1" x14ac:dyDescent="0.25">
      <c r="A54" s="1"/>
      <c r="B54" s="26" t="str">
        <f>CHOOSE(1+MOD($O$3+1-2,7),"Mon","Tue","Wed","Thu","Fri","Sat","Sun")</f>
        <v>Mon</v>
      </c>
      <c r="C54" s="13" t="str">
        <f>CHOOSE(1+MOD($O$3+2-2,7),"Mon","Tue","Wed","Thu","Fri","Sat","Sun")</f>
        <v>Tue</v>
      </c>
      <c r="D54" s="13" t="str">
        <f>CHOOSE(1+MOD($O$3+3-2,7),"Mon","Tue","Wed","Thu","Fri","Sat","Sun")</f>
        <v>Wed</v>
      </c>
      <c r="E54" s="13" t="str">
        <f>CHOOSE(1+MOD($O$3+4-2,7),"Mon","Tue","Wed","Thu","Fri","Sat","Sun")</f>
        <v>Thu</v>
      </c>
      <c r="F54" s="13" t="str">
        <f>CHOOSE(1+MOD($O$3+5-2,7),"Mon","Tue","Wed","Thu","Fri","Sat","Sun")</f>
        <v>Fri</v>
      </c>
      <c r="G54" s="13" t="str">
        <f>CHOOSE(1+MOD($O$3+6-2,7),"Mon","Tue","Wed","Thu","Fri","Sat","Sun")</f>
        <v>Sat</v>
      </c>
      <c r="H54" s="27" t="str">
        <f>CHOOSE(1+MOD($O$3+7-2,7),"Mon","Tue","Wed","Thu","Fri","Sat","Sun")</f>
        <v>Sun</v>
      </c>
      <c r="I54" s="12"/>
      <c r="J54" s="26" t="str">
        <f>CHOOSE(1+MOD($O$3+1-2,7),"Mon","Tue","Wed","Thu","Fri","Sat","Sun")</f>
        <v>Mon</v>
      </c>
      <c r="K54" s="13" t="str">
        <f>CHOOSE(1+MOD($O$3+2-2,7),"Mon","Tue","Wed","Thu","Fri","Sat","Sun")</f>
        <v>Tue</v>
      </c>
      <c r="L54" s="13" t="str">
        <f>CHOOSE(1+MOD($O$3+3-2,7),"Mon","Tue","Wed","Thu","Fri","Sat","Sun")</f>
        <v>Wed</v>
      </c>
      <c r="M54" s="13" t="str">
        <f>CHOOSE(1+MOD($O$3+4-2,7),"Mon","Tue","Wed","Thu","Fri","Sat","Sun")</f>
        <v>Thu</v>
      </c>
      <c r="N54" s="13" t="str">
        <f>CHOOSE(1+MOD($O$3+5-2,7),"Mon","Tue","Wed","Thu","Fri","Sat","Sun")</f>
        <v>Fri</v>
      </c>
      <c r="O54" s="13" t="str">
        <f>CHOOSE(1+MOD($O$3+6-2,7),"Mon","Tue","Wed","Thu","Fri","Sat","Sun")</f>
        <v>Sat</v>
      </c>
      <c r="P54" s="27" t="str">
        <f>CHOOSE(1+MOD($O$3+7-2,7),"Mon","Tue","Wed","Thu","Fri","Sat","Sun")</f>
        <v>Sun</v>
      </c>
      <c r="Q54" s="14"/>
      <c r="R54" s="26" t="str">
        <f>CHOOSE(1+MOD($O$3+1-2,7),"Mon","Tue","Wed","Thu","Fri","Sat","Sun")</f>
        <v>Mon</v>
      </c>
      <c r="S54" s="13" t="str">
        <f>CHOOSE(1+MOD($O$3+2-2,7),"Mon","Tue","Wed","Thu","Fri","Sat","Sun")</f>
        <v>Tue</v>
      </c>
      <c r="T54" s="13" t="str">
        <f>CHOOSE(1+MOD($O$3+3-2,7),"Mon","Tue","Wed","Thu","Fri","Sat","Sun")</f>
        <v>Wed</v>
      </c>
      <c r="U54" s="13" t="str">
        <f>CHOOSE(1+MOD($O$3+4-2,7),"Mon","Tue","Wed","Thu","Fri","Sat","Sun")</f>
        <v>Thu</v>
      </c>
      <c r="V54" s="13" t="str">
        <f>CHOOSE(1+MOD($O$3+5-2,7),"Mon","Tue","Wed","Thu","Fri","Sat","Sun")</f>
        <v>Fri</v>
      </c>
      <c r="W54" s="13" t="str">
        <f>CHOOSE(1+MOD($O$3+6-2,7),"Mon","Tue","Wed","Thu","Fri","Sat","Sun")</f>
        <v>Sat</v>
      </c>
      <c r="X54" s="27" t="str">
        <f>CHOOSE(1+MOD($O$3+7-2,7),"Mon","Tue","Wed","Thu","Fri","Sat","Sun")</f>
        <v>Sun</v>
      </c>
    </row>
    <row r="55" spans="1:25" s="4" customFormat="1" ht="45.95" customHeight="1" x14ac:dyDescent="0.3">
      <c r="B55" s="153">
        <f>IF(WEEKDAY(B53,1)=$O$3,B53,"")</f>
        <v>43009</v>
      </c>
      <c r="C55" s="154">
        <f>IF(B55="",IF(WEEKDAY(B53,1)=MOD($O$3,7)+1,B53,""),B55+1)</f>
        <v>43010</v>
      </c>
      <c r="D55" s="154">
        <f>IF(C55="",IF(WEEKDAY(B53,1)=MOD($O$3+1,7)+1,B53,""),C55+1)</f>
        <v>43011</v>
      </c>
      <c r="E55" s="154">
        <f>IF(D55="",IF(WEEKDAY(B53,1)=MOD($O$3+2,7)+1,B53,""),D55+1)</f>
        <v>43012</v>
      </c>
      <c r="F55" s="154">
        <f>IF(E55="",IF(WEEKDAY(B53,1)=MOD($O$3+3,7)+1,B53,""),E55+1)</f>
        <v>43013</v>
      </c>
      <c r="G55" s="155">
        <f>IF(F55="",IF(WEEKDAY(B53,1)=MOD($O$3+4,7)+1,B53,""),F55+1)</f>
        <v>43014</v>
      </c>
      <c r="H55" s="156">
        <f>IF(G55="",IF(WEEKDAY(B53,1)=MOD($O$3+5,7)+1,B53,""),G55+1)</f>
        <v>43015</v>
      </c>
      <c r="I55" s="16"/>
      <c r="J55" s="71" t="str">
        <f>IF(WEEKDAY(J53,1)=$O$3,J53,"")</f>
        <v/>
      </c>
      <c r="K55" s="72" t="str">
        <f>IF(J55="",IF(WEEKDAY(J53,1)=MOD($O$3,7)+1,J53,""),J55+1)</f>
        <v/>
      </c>
      <c r="L55" s="72" t="str">
        <f>IF(K55="",IF(WEEKDAY(J53,1)=MOD($O$3+1,7)+1,J53,""),K55+1)</f>
        <v/>
      </c>
      <c r="M55" s="72">
        <f>IF(L55="",IF(WEEKDAY(J53,1)=MOD($O$3+2,7)+1,J53,""),L55+1)</f>
        <v>43040</v>
      </c>
      <c r="N55" s="72">
        <f>IF(M55="",IF(WEEKDAY(J53,1)=MOD($O$3+3,7)+1,J53,""),M55+1)</f>
        <v>43041</v>
      </c>
      <c r="O55" s="77">
        <f>IF(N55="",IF(WEEKDAY(J53,1)=MOD($O$3+4,7)+1,J53,""),N55+1)</f>
        <v>43042</v>
      </c>
      <c r="P55" s="78">
        <f>IF(O55="",IF(WEEKDAY(J53,1)=MOD($O$3+5,7)+1,J53,""),O55+1)</f>
        <v>43043</v>
      </c>
      <c r="Q55" s="16"/>
      <c r="R55" s="153" t="str">
        <f>IF(WEEKDAY(R53,1)=$O$3,R53,"")</f>
        <v/>
      </c>
      <c r="S55" s="154" t="str">
        <f>IF(R55="",IF(WEEKDAY(R53,1)=MOD($O$3,7)+1,R53,""),R55+1)</f>
        <v/>
      </c>
      <c r="T55" s="154" t="str">
        <f>IF(S55="",IF(WEEKDAY(R53,1)=MOD($O$3+1,7)+1,R53,""),S55+1)</f>
        <v/>
      </c>
      <c r="U55" s="154" t="str">
        <f>IF(T55="",IF(WEEKDAY(R53,1)=MOD($O$3+2,7)+1,R53,""),T55+1)</f>
        <v/>
      </c>
      <c r="V55" s="154" t="str">
        <f>IF(U55="",IF(WEEKDAY(R53,1)=MOD($O$3+3,7)+1,R53,""),U55+1)</f>
        <v/>
      </c>
      <c r="W55" s="77">
        <f>IF(V55="",IF(WEEKDAY(R53,1)=MOD($O$3+4,7)+1,R53,""),V55+1)</f>
        <v>43070</v>
      </c>
      <c r="X55" s="78">
        <f>IF(W55="",IF(WEEKDAY(R53,1)=MOD($O$3+5,7)+1,R53,""),W55+1)</f>
        <v>43071</v>
      </c>
      <c r="Y55" s="79"/>
    </row>
    <row r="56" spans="1:25" s="18" customFormat="1" ht="45.95" customHeight="1" x14ac:dyDescent="0.2">
      <c r="B56" s="73">
        <f>IF(B55="","",IF(ngay(TEXT(B55,"d"),TEXT(B55,"m"),TEXT(B55,"yyyy"),7)=1,ngay(TEXT(B55,"d"),TEXT(B55,"m"),TEXT(B55,"yyyy"),7)&amp;"/"&amp;thang(TEXT(B55,"d"),TEXT(B55,"m"),TEXT(B55,"yyyy"),7),ngay(TEXT(B55,"d"),TEXT(B55,"m"),TEXT(B55,"yyyy"),7)))</f>
        <v>12</v>
      </c>
      <c r="C56" s="74">
        <f>IF(C55="","",IF(ngay(TEXT(C55,"d"),TEXT(C55,"m"),TEXT(C55,"yyyy"),7)=1,ngay(TEXT(C55,"d"),TEXT(C55,"m"),TEXT(C55,"yyyy"),7)&amp;"/"&amp;thang(TEXT(C55,"d"),TEXT(C55,"m"),TEXT(C55,"yyyy"),7),ngay(TEXT(C55,"d"),TEXT(C55,"m"),TEXT(C55,"yyyy"),7)))</f>
        <v>13</v>
      </c>
      <c r="D56" s="74">
        <f>IF(D55="","",IF(ngay(TEXT(D55,"d"),TEXT(D55,"m"),TEXT(D55,"yyyy"),7)=1,ngay(TEXT(D55,"d"),TEXT(D55,"m"),TEXT(D55,"yyyy"),7)&amp;"/"&amp;thang(TEXT(D55,"d"),TEXT(D55,"m"),TEXT(D55,"yyyy"),7),ngay(TEXT(D55,"d"),TEXT(D55,"m"),TEXT(D55,"yyyy"),7)))</f>
        <v>14</v>
      </c>
      <c r="E56" s="74">
        <f>IF(E55="","",IF(ngay(TEXT(E55,"d"),TEXT(E55,"m"),TEXT(E55,"yyyy"),7)=1,ngay(TEXT(E55,"d"),TEXT(E55,"m"),TEXT(E55,"yyyy"),7)&amp;"/"&amp;thang(TEXT(E55,"d"),TEXT(E55,"m"),TEXT(E55,"yyyy"),7),ngay(TEXT(E55,"d"),TEXT(E55,"m"),TEXT(E55,"yyyy"),7)))</f>
        <v>15</v>
      </c>
      <c r="F56" s="74">
        <f>IF(F55="","",IF(ngay(TEXT(F55,"d"),TEXT(F55,"m"),TEXT(F55,"yyyy"),7)=1,ngay(TEXT(F55,"d"),TEXT(F55,"m"),TEXT(F55,"yyyy"),7)&amp;"/"&amp;thang(TEXT(F55,"d"),TEXT(F55,"m"),TEXT(F55,"yyyy"),7),ngay(TEXT(F55,"d"),TEXT(F55,"m"),TEXT(F55,"yyyy"),7)))</f>
        <v>16</v>
      </c>
      <c r="G56" s="74">
        <f>IF(G55="","",IF(ngay(TEXT(G55,"d"),TEXT(G55,"m"),TEXT(G55,"yyyy"),7)=1,ngay(TEXT(G55,"d"),TEXT(G55,"m"),TEXT(G55,"yyyy"),7)&amp;"/"&amp;thang(TEXT(G55,"d"),TEXT(G55,"m"),TEXT(G55,"yyyy"),7),ngay(TEXT(G55,"d"),TEXT(G55,"m"),TEXT(G55,"yyyy"),7)))</f>
        <v>17</v>
      </c>
      <c r="H56" s="80">
        <f>IF(H55="","",IF(ngay(TEXT(H55,"d"),TEXT(H55,"m"),TEXT(H55,"yyyy"),7)=1,ngay(TEXT(H55,"d"),TEXT(H55,"m"),TEXT(H55,"yyyy"),7)&amp;"/"&amp;thang(TEXT(H55,"d"),TEXT(H55,"m"),TEXT(H55,"yyyy"),7),ngay(TEXT(H55,"d"),TEXT(H55,"m"),TEXT(H55,"yyyy"),7)))</f>
        <v>18</v>
      </c>
      <c r="I56" s="20"/>
      <c r="J56" s="73" t="str">
        <f>IF(J55="","",IF(ngay(TEXT(J55,"d"),TEXT(J55,"m"),TEXT(J55,"yyyy"),7)=1,ngay(TEXT(J55,"d"),TEXT(J55,"m"),TEXT(J55,"yyyy"),7)&amp;"/"&amp;thang(TEXT(J55,"d"),TEXT(J55,"m"),TEXT(J55,"yyyy"),7),ngay(TEXT(J55,"d"),TEXT(J55,"m"),TEXT(J55,"yyyy"),7)))</f>
        <v/>
      </c>
      <c r="K56" s="74" t="str">
        <f>IF(K55="","",IF(ngay(TEXT(K55,"d"),TEXT(K55,"m"),TEXT(K55,"yyyy"),7)=1,ngay(TEXT(K55,"d"),TEXT(K55,"m"),TEXT(K55,"yyyy"),7)&amp;"/"&amp;thang(TEXT(K55,"d"),TEXT(K55,"m"),TEXT(K55,"yyyy"),7),ngay(TEXT(K55,"d"),TEXT(K55,"m"),TEXT(K55,"yyyy"),7)))</f>
        <v/>
      </c>
      <c r="L56" s="74" t="str">
        <f>IF(L55="","",IF(ngay(TEXT(L55,"d"),TEXT(L55,"m"),TEXT(L55,"yyyy"),7)=1,ngay(TEXT(L55,"d"),TEXT(L55,"m"),TEXT(L55,"yyyy"),7)&amp;"/"&amp;thang(TEXT(L55,"d"),TEXT(L55,"m"),TEXT(L55,"yyyy"),7),ngay(TEXT(L55,"d"),TEXT(L55,"m"),TEXT(L55,"yyyy"),7)))</f>
        <v/>
      </c>
      <c r="M56" s="69">
        <f>IF(M55="","",IF(ngay(TEXT(M55,"d"),TEXT(M55,"m"),TEXT(M55,"yyyy"),7)=1,ngay(TEXT(M55,"d"),TEXT(M55,"m"),TEXT(M55,"yyyy"),7)&amp;"/"&amp;thang(TEXT(M55,"d"),TEXT(M55,"m"),TEXT(M55,"yyyy"),7),ngay(TEXT(M55,"d"),TEXT(M55,"m"),TEXT(M55,"yyyy"),7)))</f>
        <v>13</v>
      </c>
      <c r="N56" s="69">
        <f>IF(N55="","",IF(ngay(TEXT(N55,"d"),TEXT(N55,"m"),TEXT(N55,"yyyy"),7)=1,ngay(TEXT(N55,"d"),TEXT(N55,"m"),TEXT(N55,"yyyy"),7)&amp;"/"&amp;thang(TEXT(N55,"d"),TEXT(N55,"m"),TEXT(N55,"yyyy"),7),ngay(TEXT(N55,"d"),TEXT(N55,"m"),TEXT(N55,"yyyy"),7)))</f>
        <v>14</v>
      </c>
      <c r="O56" s="69">
        <f>IF(O55="","",IF(ngay(TEXT(O55,"d"),TEXT(O55,"m"),TEXT(O55,"yyyy"),7)=1,ngay(TEXT(O55,"d"),TEXT(O55,"m"),TEXT(O55,"yyyy"),7)&amp;"/"&amp;thang(TEXT(O55,"d"),TEXT(O55,"m"),TEXT(O55,"yyyy"),7),ngay(TEXT(O55,"d"),TEXT(O55,"m"),TEXT(O55,"yyyy"),7)))</f>
        <v>15</v>
      </c>
      <c r="P56" s="70">
        <f>IF(P55="","",IF(ngay(TEXT(P55,"d"),TEXT(P55,"m"),TEXT(P55,"yyyy"),7)=1,ngay(TEXT(P55,"d"),TEXT(P55,"m"),TEXT(P55,"yyyy"),7)&amp;"/"&amp;thang(TEXT(P55,"d"),TEXT(P55,"m"),TEXT(P55,"yyyy"),7),ngay(TEXT(P55,"d"),TEXT(P55,"m"),TEXT(P55,"yyyy"),7)))</f>
        <v>16</v>
      </c>
      <c r="Q56" s="20"/>
      <c r="R56" s="150" t="str">
        <f>IF(R55="","",IF(ngay(TEXT(R55,"d"),TEXT(R55,"m"),TEXT(R55,"yyyy"),7)=1,ngay(TEXT(R55,"d"),TEXT(R55,"m"),TEXT(R55,"yyyy"),7)&amp;"/"&amp;thang(TEXT(R55,"d"),TEXT(R55,"m"),TEXT(R55,"yyyy"),7),ngay(TEXT(R55,"d"),TEXT(R55,"m"),TEXT(R55,"yyyy"),7)))</f>
        <v/>
      </c>
      <c r="S56" s="151" t="str">
        <f>IF(S55="","",IF(ngay(TEXT(S55,"d"),TEXT(S55,"m"),TEXT(S55,"yyyy"),7)=1,ngay(TEXT(S55,"d"),TEXT(S55,"m"),TEXT(S55,"yyyy"),7)&amp;"/"&amp;thang(TEXT(S55,"d"),TEXT(S55,"m"),TEXT(S55,"yyyy"),7),ngay(TEXT(S55,"d"),TEXT(S55,"m"),TEXT(S55,"yyyy"),7)))</f>
        <v/>
      </c>
      <c r="T56" s="151" t="str">
        <f>IF(T55="","",IF(ngay(TEXT(T55,"d"),TEXT(T55,"m"),TEXT(T55,"yyyy"),7)=1,ngay(TEXT(T55,"d"),TEXT(T55,"m"),TEXT(T55,"yyyy"),7)&amp;"/"&amp;thang(TEXT(T55,"d"),TEXT(T55,"m"),TEXT(T55,"yyyy"),7),ngay(TEXT(T55,"d"),TEXT(T55,"m"),TEXT(T55,"yyyy"),7)))</f>
        <v/>
      </c>
      <c r="U56" s="151" t="str">
        <f>IF(U55="","",IF(ngay(TEXT(U55,"d"),TEXT(U55,"m"),TEXT(U55,"yyyy"),7)=1,ngay(TEXT(U55,"d"),TEXT(U55,"m"),TEXT(U55,"yyyy"),7)&amp;"/"&amp;thang(TEXT(U55,"d"),TEXT(U55,"m"),TEXT(U55,"yyyy"),7),ngay(TEXT(U55,"d"),TEXT(U55,"m"),TEXT(U55,"yyyy"),7)))</f>
        <v/>
      </c>
      <c r="V56" s="151" t="str">
        <f>IF(V55="","",IF(ngay(TEXT(V55,"d"),TEXT(V55,"m"),TEXT(V55,"yyyy"),7)=1,ngay(TEXT(V55,"d"),TEXT(V55,"m"),TEXT(V55,"yyyy"),7)&amp;"/"&amp;thang(TEXT(V55,"d"),TEXT(V55,"m"),TEXT(V55,"yyyy"),7),ngay(TEXT(V55,"d"),TEXT(V55,"m"),TEXT(V55,"yyyy"),7)))</f>
        <v/>
      </c>
      <c r="W56" s="151">
        <f>IF(W55="","",IF(ngay(TEXT(W55,"d"),TEXT(W55,"m"),TEXT(W55,"yyyy"),7)=1,ngay(TEXT(W55,"d"),TEXT(W55,"m"),TEXT(W55,"yyyy"),7)&amp;"/"&amp;thang(TEXT(W55,"d"),TEXT(W55,"m"),TEXT(W55,"yyyy"),7),ngay(TEXT(W55,"d"),TEXT(W55,"m"),TEXT(W55,"yyyy"),7)))</f>
        <v>14</v>
      </c>
      <c r="X56" s="152">
        <f>IF(X55="","",IF(ngay(TEXT(X55,"d"),TEXT(X55,"m"),TEXT(X55,"yyyy"),7)=1,ngay(TEXT(X55,"d"),TEXT(X55,"m"),TEXT(X55,"yyyy"),7)&amp;"/"&amp;thang(TEXT(X55,"d"),TEXT(X55,"m"),TEXT(X55,"yyyy"),7),ngay(TEXT(X55,"d"),TEXT(X55,"m"),TEXT(X55,"yyyy"),7)))</f>
        <v>15</v>
      </c>
    </row>
    <row r="57" spans="1:25" s="79" customFormat="1" ht="45.95" customHeight="1" x14ac:dyDescent="0.3">
      <c r="A57" s="4"/>
      <c r="B57" s="49">
        <f>IF(H55="","",IF(MONTH(H55+1)&lt;&gt;MONTH(H55),"",H55+1))</f>
        <v>43016</v>
      </c>
      <c r="C57" s="50">
        <f>IF(B57="","",IF(MONTH(B57+1)&lt;&gt;MONTH(B57),"",B57+1))</f>
        <v>43017</v>
      </c>
      <c r="D57" s="50">
        <f t="shared" ref="D57:H57" si="65">IF(C57="","",IF(MONTH(C57+1)&lt;&gt;MONTH(C57),"",C57+1))</f>
        <v>43018</v>
      </c>
      <c r="E57" s="50">
        <f t="shared" si="65"/>
        <v>43019</v>
      </c>
      <c r="F57" s="50">
        <f t="shared" si="65"/>
        <v>43020</v>
      </c>
      <c r="G57" s="51">
        <f t="shared" si="65"/>
        <v>43021</v>
      </c>
      <c r="H57" s="52">
        <f t="shared" si="65"/>
        <v>43022</v>
      </c>
      <c r="I57" s="161"/>
      <c r="J57" s="71">
        <f>IF(P55="","",IF(MONTH(P55+1)&lt;&gt;MONTH(P55),"",P55+1))</f>
        <v>43044</v>
      </c>
      <c r="K57" s="72">
        <f>IF(J57="","",IF(MONTH(J57+1)&lt;&gt;MONTH(J57),"",J57+1))</f>
        <v>43045</v>
      </c>
      <c r="L57" s="72">
        <f t="shared" ref="L57:P57" si="66">IF(K57="","",IF(MONTH(K57+1)&lt;&gt;MONTH(K57),"",K57+1))</f>
        <v>43046</v>
      </c>
      <c r="M57" s="72">
        <f t="shared" si="66"/>
        <v>43047</v>
      </c>
      <c r="N57" s="72">
        <f t="shared" si="66"/>
        <v>43048</v>
      </c>
      <c r="O57" s="77">
        <f t="shared" si="66"/>
        <v>43049</v>
      </c>
      <c r="P57" s="78">
        <f t="shared" si="66"/>
        <v>43050</v>
      </c>
      <c r="Q57" s="16"/>
      <c r="R57" s="71">
        <f>IF(X55="","",IF(MONTH(X55+1)&lt;&gt;MONTH(X55),"",X55+1))</f>
        <v>43072</v>
      </c>
      <c r="S57" s="72">
        <f>IF(R57="","",IF(MONTH(R57+1)&lt;&gt;MONTH(R57),"",R57+1))</f>
        <v>43073</v>
      </c>
      <c r="T57" s="72">
        <f t="shared" ref="T57:X57" si="67">IF(S57="","",IF(MONTH(S57+1)&lt;&gt;MONTH(S57),"",S57+1))</f>
        <v>43074</v>
      </c>
      <c r="U57" s="72">
        <f t="shared" si="67"/>
        <v>43075</v>
      </c>
      <c r="V57" s="72">
        <f t="shared" si="67"/>
        <v>43076</v>
      </c>
      <c r="W57" s="77">
        <f t="shared" si="67"/>
        <v>43077</v>
      </c>
      <c r="X57" s="78">
        <f t="shared" si="67"/>
        <v>43078</v>
      </c>
    </row>
    <row r="58" spans="1:25" s="18" customFormat="1" ht="45.95" customHeight="1" x14ac:dyDescent="0.2">
      <c r="B58" s="73">
        <f>IF(B57="","",IF(ngay(TEXT(B57,"d"),TEXT(B57,"m"),TEXT(B57,"yyyy"),7)=1,ngay(TEXT(B57,"d"),TEXT(B57,"m"),TEXT(B57,"yyyy"),7)&amp;"/"&amp;thang(TEXT(B57,"d"),TEXT(B57,"m"),TEXT(B57,"yyyy"),7),ngay(TEXT(B57,"d"),TEXT(B57,"m"),TEXT(B57,"yyyy"),7)))</f>
        <v>19</v>
      </c>
      <c r="C58" s="74">
        <f>IF(C57="","",IF(ngay(TEXT(C57,"d"),TEXT(C57,"m"),TEXT(C57,"yyyy"),7)=1,ngay(TEXT(C57,"d"),TEXT(C57,"m"),TEXT(C57,"yyyy"),7)&amp;"/"&amp;thang(TEXT(C57,"d"),TEXT(C57,"m"),TEXT(C57,"yyyy"),7),ngay(TEXT(C57,"d"),TEXT(C57,"m"),TEXT(C57,"yyyy"),7)))</f>
        <v>20</v>
      </c>
      <c r="D58" s="74">
        <f>IF(D57="","",IF(ngay(TEXT(D57,"d"),TEXT(D57,"m"),TEXT(D57,"yyyy"),7)=1,ngay(TEXT(D57,"d"),TEXT(D57,"m"),TEXT(D57,"yyyy"),7)&amp;"/"&amp;thang(TEXT(D57,"d"),TEXT(D57,"m"),TEXT(D57,"yyyy"),7),ngay(TEXT(D57,"d"),TEXT(D57,"m"),TEXT(D57,"yyyy"),7)))</f>
        <v>21</v>
      </c>
      <c r="E58" s="74">
        <f>IF(E57="","",IF(ngay(TEXT(E57,"d"),TEXT(E57,"m"),TEXT(E57,"yyyy"),7)=1,ngay(TEXT(E57,"d"),TEXT(E57,"m"),TEXT(E57,"yyyy"),7)&amp;"/"&amp;thang(TEXT(E57,"d"),TEXT(E57,"m"),TEXT(E57,"yyyy"),7),ngay(TEXT(E57,"d"),TEXT(E57,"m"),TEXT(E57,"yyyy"),7)))</f>
        <v>22</v>
      </c>
      <c r="F58" s="74">
        <f>IF(F57="","",IF(ngay(TEXT(F57,"d"),TEXT(F57,"m"),TEXT(F57,"yyyy"),7)=1,ngay(TEXT(F57,"d"),TEXT(F57,"m"),TEXT(F57,"yyyy"),7)&amp;"/"&amp;thang(TEXT(F57,"d"),TEXT(F57,"m"),TEXT(F57,"yyyy"),7),ngay(TEXT(F57,"d"),TEXT(F57,"m"),TEXT(F57,"yyyy"),7)))</f>
        <v>23</v>
      </c>
      <c r="G58" s="74">
        <f>IF(G57="","",IF(ngay(TEXT(G57,"d"),TEXT(G57,"m"),TEXT(G57,"yyyy"),7)=1,ngay(TEXT(G57,"d"),TEXT(G57,"m"),TEXT(G57,"yyyy"),7)&amp;"/"&amp;thang(TEXT(G57,"d"),TEXT(G57,"m"),TEXT(G57,"yyyy"),7),ngay(TEXT(G57,"d"),TEXT(G57,"m"),TEXT(G57,"yyyy"),7)))</f>
        <v>24</v>
      </c>
      <c r="H58" s="80">
        <f>IF(H57="","",IF(ngay(TEXT(H57,"d"),TEXT(H57,"m"),TEXT(H57,"yyyy"),7)=1,ngay(TEXT(H57,"d"),TEXT(H57,"m"),TEXT(H57,"yyyy"),7)&amp;"/"&amp;thang(TEXT(H57,"d"),TEXT(H57,"m"),TEXT(H57,"yyyy"),7),ngay(TEXT(H57,"d"),TEXT(H57,"m"),TEXT(H57,"yyyy"),7)))</f>
        <v>25</v>
      </c>
      <c r="I58" s="20"/>
      <c r="J58" s="64">
        <f>IF(J57="","",IF(ngay(TEXT(J57,"d"),TEXT(J57,"m"),TEXT(J57,"yyyy"),7)=1,ngay(TEXT(J57,"d"),TEXT(J57,"m"),TEXT(J57,"yyyy"),7)&amp;"/"&amp;thang(TEXT(J57,"d"),TEXT(J57,"m"),TEXT(J57,"yyyy"),7),ngay(TEXT(J57,"d"),TEXT(J57,"m"),TEXT(J57,"yyyy"),7)))</f>
        <v>17</v>
      </c>
      <c r="K58" s="69">
        <f>IF(K57="","",IF(ngay(TEXT(K57,"d"),TEXT(K57,"m"),TEXT(K57,"yyyy"),7)=1,ngay(TEXT(K57,"d"),TEXT(K57,"m"),TEXT(K57,"yyyy"),7)&amp;"/"&amp;thang(TEXT(K57,"d"),TEXT(K57,"m"),TEXT(K57,"yyyy"),7),ngay(TEXT(K57,"d"),TEXT(K57,"m"),TEXT(K57,"yyyy"),7)))</f>
        <v>18</v>
      </c>
      <c r="L58" s="69">
        <f>IF(L57="","",IF(ngay(TEXT(L57,"d"),TEXT(L57,"m"),TEXT(L57,"yyyy"),7)=1,ngay(TEXT(L57,"d"),TEXT(L57,"m"),TEXT(L57,"yyyy"),7)&amp;"/"&amp;thang(TEXT(L57,"d"),TEXT(L57,"m"),TEXT(L57,"yyyy"),7),ngay(TEXT(L57,"d"),TEXT(L57,"m"),TEXT(L57,"yyyy"),7)))</f>
        <v>19</v>
      </c>
      <c r="M58" s="69">
        <f>IF(M57="","",IF(ngay(TEXT(M57,"d"),TEXT(M57,"m"),TEXT(M57,"yyyy"),7)=1,ngay(TEXT(M57,"d"),TEXT(M57,"m"),TEXT(M57,"yyyy"),7)&amp;"/"&amp;thang(TEXT(M57,"d"),TEXT(M57,"m"),TEXT(M57,"yyyy"),7),ngay(TEXT(M57,"d"),TEXT(M57,"m"),TEXT(M57,"yyyy"),7)))</f>
        <v>20</v>
      </c>
      <c r="N58" s="69">
        <f>IF(N57="","",IF(ngay(TEXT(N57,"d"),TEXT(N57,"m"),TEXT(N57,"yyyy"),7)=1,ngay(TEXT(N57,"d"),TEXT(N57,"m"),TEXT(N57,"yyyy"),7)&amp;"/"&amp;thang(TEXT(N57,"d"),TEXT(N57,"m"),TEXT(N57,"yyyy"),7),ngay(TEXT(N57,"d"),TEXT(N57,"m"),TEXT(N57,"yyyy"),7)))</f>
        <v>21</v>
      </c>
      <c r="O58" s="69">
        <f>IF(O57="","",IF(ngay(TEXT(O57,"d"),TEXT(O57,"m"),TEXT(O57,"yyyy"),7)=1,ngay(TEXT(O57,"d"),TEXT(O57,"m"),TEXT(O57,"yyyy"),7)&amp;"/"&amp;thang(TEXT(O57,"d"),TEXT(O57,"m"),TEXT(O57,"yyyy"),7),ngay(TEXT(O57,"d"),TEXT(O57,"m"),TEXT(O57,"yyyy"),7)))</f>
        <v>22</v>
      </c>
      <c r="P58" s="70">
        <f>IF(P57="","",IF(ngay(TEXT(P57,"d"),TEXT(P57,"m"),TEXT(P57,"yyyy"),7)=1,ngay(TEXT(P57,"d"),TEXT(P57,"m"),TEXT(P57,"yyyy"),7)&amp;"/"&amp;thang(TEXT(P57,"d"),TEXT(P57,"m"),TEXT(P57,"yyyy"),7),ngay(TEXT(P57,"d"),TEXT(P57,"m"),TEXT(P57,"yyyy"),7)))</f>
        <v>23</v>
      </c>
      <c r="Q58" s="20"/>
      <c r="R58" s="150">
        <f>IF(R57="","",IF(ngay(TEXT(R57,"d"),TEXT(R57,"m"),TEXT(R57,"yyyy"),7)=1,ngay(TEXT(R57,"d"),TEXT(R57,"m"),TEXT(R57,"yyyy"),7)&amp;"/"&amp;thang(TEXT(R57,"d"),TEXT(R57,"m"),TEXT(R57,"yyyy"),7),ngay(TEXT(R57,"d"),TEXT(R57,"m"),TEXT(R57,"yyyy"),7)))</f>
        <v>16</v>
      </c>
      <c r="S58" s="151">
        <f>IF(S57="","",IF(ngay(TEXT(S57,"d"),TEXT(S57,"m"),TEXT(S57,"yyyy"),7)=1,ngay(TEXT(S57,"d"),TEXT(S57,"m"),TEXT(S57,"yyyy"),7)&amp;"/"&amp;thang(TEXT(S57,"d"),TEXT(S57,"m"),TEXT(S57,"yyyy"),7),ngay(TEXT(S57,"d"),TEXT(S57,"m"),TEXT(S57,"yyyy"),7)))</f>
        <v>17</v>
      </c>
      <c r="T58" s="151">
        <f>IF(T57="","",IF(ngay(TEXT(T57,"d"),TEXT(T57,"m"),TEXT(T57,"yyyy"),7)=1,ngay(TEXT(T57,"d"),TEXT(T57,"m"),TEXT(T57,"yyyy"),7)&amp;"/"&amp;thang(TEXT(T57,"d"),TEXT(T57,"m"),TEXT(T57,"yyyy"),7),ngay(TEXT(T57,"d"),TEXT(T57,"m"),TEXT(T57,"yyyy"),7)))</f>
        <v>18</v>
      </c>
      <c r="U58" s="151">
        <f>IF(U57="","",IF(ngay(TEXT(U57,"d"),TEXT(U57,"m"),TEXT(U57,"yyyy"),7)=1,ngay(TEXT(U57,"d"),TEXT(U57,"m"),TEXT(U57,"yyyy"),7)&amp;"/"&amp;thang(TEXT(U57,"d"),TEXT(U57,"m"),TEXT(U57,"yyyy"),7),ngay(TEXT(U57,"d"),TEXT(U57,"m"),TEXT(U57,"yyyy"),7)))</f>
        <v>19</v>
      </c>
      <c r="V58" s="151">
        <f>IF(V57="","",IF(ngay(TEXT(V57,"d"),TEXT(V57,"m"),TEXT(V57,"yyyy"),7)=1,ngay(TEXT(V57,"d"),TEXT(V57,"m"),TEXT(V57,"yyyy"),7)&amp;"/"&amp;thang(TEXT(V57,"d"),TEXT(V57,"m"),TEXT(V57,"yyyy"),7),ngay(TEXT(V57,"d"),TEXT(V57,"m"),TEXT(V57,"yyyy"),7)))</f>
        <v>20</v>
      </c>
      <c r="W58" s="151">
        <f>IF(W57="","",IF(ngay(TEXT(W57,"d"),TEXT(W57,"m"),TEXT(W57,"yyyy"),7)=1,ngay(TEXT(W57,"d"),TEXT(W57,"m"),TEXT(W57,"yyyy"),7)&amp;"/"&amp;thang(TEXT(W57,"d"),TEXT(W57,"m"),TEXT(W57,"yyyy"),7),ngay(TEXT(W57,"d"),TEXT(W57,"m"),TEXT(W57,"yyyy"),7)))</f>
        <v>21</v>
      </c>
      <c r="X58" s="152">
        <f>IF(X57="","",IF(ngay(TEXT(X57,"d"),TEXT(X57,"m"),TEXT(X57,"yyyy"),7)=1,ngay(TEXT(X57,"d"),TEXT(X57,"m"),TEXT(X57,"yyyy"),7)&amp;"/"&amp;thang(TEXT(X57,"d"),TEXT(X57,"m"),TEXT(X57,"yyyy"),7),ngay(TEXT(X57,"d"),TEXT(X57,"m"),TEXT(X57,"yyyy"),7)))</f>
        <v>22</v>
      </c>
    </row>
    <row r="59" spans="1:25" s="4" customFormat="1" ht="45.95" customHeight="1" x14ac:dyDescent="0.3">
      <c r="B59" s="71">
        <f>IF(H57="","",IF(MONTH(H57+1)&lt;&gt;MONTH(H57),"",H57+1))</f>
        <v>43023</v>
      </c>
      <c r="C59" s="72">
        <f>IF(B59="","",IF(MONTH(B59+1)&lt;&gt;MONTH(B59),"",B59+1))</f>
        <v>43024</v>
      </c>
      <c r="D59" s="72">
        <f t="shared" ref="D59:H59" si="68">IF(C59="","",IF(MONTH(C59+1)&lt;&gt;MONTH(C59),"",C59+1))</f>
        <v>43025</v>
      </c>
      <c r="E59" s="72">
        <f t="shared" si="68"/>
        <v>43026</v>
      </c>
      <c r="F59" s="72">
        <f t="shared" si="68"/>
        <v>43027</v>
      </c>
      <c r="G59" s="77">
        <f t="shared" si="68"/>
        <v>43028</v>
      </c>
      <c r="H59" s="78">
        <f t="shared" si="68"/>
        <v>43029</v>
      </c>
      <c r="I59" s="16"/>
      <c r="J59" s="71">
        <f>IF(P57="","",IF(MONTH(P57+1)&lt;&gt;MONTH(P57),"",P57+1))</f>
        <v>43051</v>
      </c>
      <c r="K59" s="72">
        <f>IF(J59="","",IF(MONTH(J59+1)&lt;&gt;MONTH(J59),"",J59+1))</f>
        <v>43052</v>
      </c>
      <c r="L59" s="72">
        <f t="shared" ref="L59:P59" si="69">IF(K59="","",IF(MONTH(K59+1)&lt;&gt;MONTH(K59),"",K59+1))</f>
        <v>43053</v>
      </c>
      <c r="M59" s="72">
        <f t="shared" si="69"/>
        <v>43054</v>
      </c>
      <c r="N59" s="72">
        <f t="shared" si="69"/>
        <v>43055</v>
      </c>
      <c r="O59" s="77">
        <f t="shared" si="69"/>
        <v>43056</v>
      </c>
      <c r="P59" s="78">
        <f t="shared" si="69"/>
        <v>43057</v>
      </c>
      <c r="Q59" s="16"/>
      <c r="R59" s="49">
        <f>IF(X57="","",IF(MONTH(X57+1)&lt;&gt;MONTH(X57),"",X57+1))</f>
        <v>43079</v>
      </c>
      <c r="S59" s="50">
        <f>IF(R59="","",IF(MONTH(R59+1)&lt;&gt;MONTH(R59),"",R59+1))</f>
        <v>43080</v>
      </c>
      <c r="T59" s="50">
        <f t="shared" ref="T59:X59" si="70">IF(S59="","",IF(MONTH(S59+1)&lt;&gt;MONTH(S59),"",S59+1))</f>
        <v>43081</v>
      </c>
      <c r="U59" s="50">
        <f t="shared" si="70"/>
        <v>43082</v>
      </c>
      <c r="V59" s="50">
        <f t="shared" si="70"/>
        <v>43083</v>
      </c>
      <c r="W59" s="51">
        <f t="shared" si="70"/>
        <v>43084</v>
      </c>
      <c r="X59" s="52">
        <f t="shared" si="70"/>
        <v>43085</v>
      </c>
    </row>
    <row r="60" spans="1:25" s="18" customFormat="1" ht="45.95" customHeight="1" x14ac:dyDescent="0.2">
      <c r="B60" s="73">
        <f>IF(B59="","",IF(ngay(TEXT(B59,"d"),TEXT(B59,"m"),TEXT(B59,"yyyy"),7)=1,ngay(TEXT(B59,"d"),TEXT(B59,"m"),TEXT(B59,"yyyy"),7)&amp;"/"&amp;thang(TEXT(B59,"d"),TEXT(B59,"m"),TEXT(B59,"yyyy"),7),ngay(TEXT(B59,"d"),TEXT(B59,"m"),TEXT(B59,"yyyy"),7)))</f>
        <v>26</v>
      </c>
      <c r="C60" s="74">
        <f>IF(C59="","",IF(ngay(TEXT(C59,"d"),TEXT(C59,"m"),TEXT(C59,"yyyy"),7)=1,ngay(TEXT(C59,"d"),TEXT(C59,"m"),TEXT(C59,"yyyy"),7)&amp;"/"&amp;thang(TEXT(C59,"d"),TEXT(C59,"m"),TEXT(C59,"yyyy"),7),ngay(TEXT(C59,"d"),TEXT(C59,"m"),TEXT(C59,"yyyy"),7)))</f>
        <v>27</v>
      </c>
      <c r="D60" s="74">
        <f>IF(D59="","",IF(ngay(TEXT(D59,"d"),TEXT(D59,"m"),TEXT(D59,"yyyy"),7)=1,ngay(TEXT(D59,"d"),TEXT(D59,"m"),TEXT(D59,"yyyy"),7)&amp;"/"&amp;thang(TEXT(D59,"d"),TEXT(D59,"m"),TEXT(D59,"yyyy"),7),ngay(TEXT(D59,"d"),TEXT(D59,"m"),TEXT(D59,"yyyy"),7)))</f>
        <v>28</v>
      </c>
      <c r="E60" s="74">
        <f>IF(E59="","",IF(ngay(TEXT(E59,"d"),TEXT(E59,"m"),TEXT(E59,"yyyy"),7)=1,ngay(TEXT(E59,"d"),TEXT(E59,"m"),TEXT(E59,"yyyy"),7)&amp;"/"&amp;thang(TEXT(E59,"d"),TEXT(E59,"m"),TEXT(E59,"yyyy"),7),ngay(TEXT(E59,"d"),TEXT(E59,"m"),TEXT(E59,"yyyy"),7)))</f>
        <v>29</v>
      </c>
      <c r="F60" s="74">
        <f>IF(F59="","",IF(ngay(TEXT(F59,"d"),TEXT(F59,"m"),TEXT(F59,"yyyy"),7)=1,ngay(TEXT(F59,"d"),TEXT(F59,"m"),TEXT(F59,"yyyy"),7)&amp;"/"&amp;thang(TEXT(F59,"d"),TEXT(F59,"m"),TEXT(F59,"yyyy"),7),ngay(TEXT(F59,"d"),TEXT(F59,"m"),TEXT(F59,"yyyy"),7)))</f>
        <v>30</v>
      </c>
      <c r="G60" s="74" t="str">
        <f>IF(G59="","",IF(ngay(TEXT(G59,"d"),TEXT(G59,"m"),TEXT(G59,"yyyy"),7)=1,ngay(TEXT(G59,"d"),TEXT(G59,"m"),TEXT(G59,"yyyy"),7)&amp;"/"&amp;thang(TEXT(G59,"d"),TEXT(G59,"m"),TEXT(G59,"yyyy"),7),ngay(TEXT(G59,"d"),TEXT(G59,"m"),TEXT(G59,"yyyy"),7)))</f>
        <v>1/9</v>
      </c>
      <c r="H60" s="80">
        <f>IF(H59="","",IF(ngay(TEXT(H59,"d"),TEXT(H59,"m"),TEXT(H59,"yyyy"),7)=1,ngay(TEXT(H59,"d"),TEXT(H59,"m"),TEXT(H59,"yyyy"),7)&amp;"/"&amp;thang(TEXT(H59,"d"),TEXT(H59,"m"),TEXT(H59,"yyyy"),7),ngay(TEXT(H59,"d"),TEXT(H59,"m"),TEXT(H59,"yyyy"),7)))</f>
        <v>2</v>
      </c>
      <c r="I60" s="20"/>
      <c r="J60" s="64">
        <f>IF(J59="","",IF(ngay(TEXT(J59,"d"),TEXT(J59,"m"),TEXT(J59,"yyyy"),7)=1,ngay(TEXT(J59,"d"),TEXT(J59,"m"),TEXT(J59,"yyyy"),7)&amp;"/"&amp;thang(TEXT(J59,"d"),TEXT(J59,"m"),TEXT(J59,"yyyy"),7),ngay(TEXT(J59,"d"),TEXT(J59,"m"),TEXT(J59,"yyyy"),7)))</f>
        <v>24</v>
      </c>
      <c r="K60" s="69">
        <f>IF(K59="","",IF(ngay(TEXT(K59,"d"),TEXT(K59,"m"),TEXT(K59,"yyyy"),7)=1,ngay(TEXT(K59,"d"),TEXT(K59,"m"),TEXT(K59,"yyyy"),7)&amp;"/"&amp;thang(TEXT(K59,"d"),TEXT(K59,"m"),TEXT(K59,"yyyy"),7),ngay(TEXT(K59,"d"),TEXT(K59,"m"),TEXT(K59,"yyyy"),7)))</f>
        <v>25</v>
      </c>
      <c r="L60" s="69">
        <f>IF(L59="","",IF(ngay(TEXT(L59,"d"),TEXT(L59,"m"),TEXT(L59,"yyyy"),7)=1,ngay(TEXT(L59,"d"),TEXT(L59,"m"),TEXT(L59,"yyyy"),7)&amp;"/"&amp;thang(TEXT(L59,"d"),TEXT(L59,"m"),TEXT(L59,"yyyy"),7),ngay(TEXT(L59,"d"),TEXT(L59,"m"),TEXT(L59,"yyyy"),7)))</f>
        <v>26</v>
      </c>
      <c r="M60" s="69">
        <f>IF(M59="","",IF(ngay(TEXT(M59,"d"),TEXT(M59,"m"),TEXT(M59,"yyyy"),7)=1,ngay(TEXT(M59,"d"),TEXT(M59,"m"),TEXT(M59,"yyyy"),7)&amp;"/"&amp;thang(TEXT(M59,"d"),TEXT(M59,"m"),TEXT(M59,"yyyy"),7),ngay(TEXT(M59,"d"),TEXT(M59,"m"),TEXT(M59,"yyyy"),7)))</f>
        <v>27</v>
      </c>
      <c r="N60" s="69">
        <f>IF(N59="","",IF(ngay(TEXT(N59,"d"),TEXT(N59,"m"),TEXT(N59,"yyyy"),7)=1,ngay(TEXT(N59,"d"),TEXT(N59,"m"),TEXT(N59,"yyyy"),7)&amp;"/"&amp;thang(TEXT(N59,"d"),TEXT(N59,"m"),TEXT(N59,"yyyy"),7),ngay(TEXT(N59,"d"),TEXT(N59,"m"),TEXT(N59,"yyyy"),7)))</f>
        <v>28</v>
      </c>
      <c r="O60" s="69">
        <f>IF(O59="","",IF(ngay(TEXT(O59,"d"),TEXT(O59,"m"),TEXT(O59,"yyyy"),7)=1,ngay(TEXT(O59,"d"),TEXT(O59,"m"),TEXT(O59,"yyyy"),7)&amp;"/"&amp;thang(TEXT(O59,"d"),TEXT(O59,"m"),TEXT(O59,"yyyy"),7),ngay(TEXT(O59,"d"),TEXT(O59,"m"),TEXT(O59,"yyyy"),7)))</f>
        <v>29</v>
      </c>
      <c r="P60" s="70" t="str">
        <f>IF(P59="","",IF(ngay(TEXT(P59,"d"),TEXT(P59,"m"),TEXT(P59,"yyyy"),7)=1,ngay(TEXT(P59,"d"),TEXT(P59,"m"),TEXT(P59,"yyyy"),7)&amp;"/"&amp;thang(TEXT(P59,"d"),TEXT(P59,"m"),TEXT(P59,"yyyy"),7),ngay(TEXT(P59,"d"),TEXT(P59,"m"),TEXT(P59,"yyyy"),7)))</f>
        <v>1/10</v>
      </c>
      <c r="Q60" s="20"/>
      <c r="R60" s="150">
        <f>IF(R59="","",IF(ngay(TEXT(R59,"d"),TEXT(R59,"m"),TEXT(R59,"yyyy"),7)=1,ngay(TEXT(R59,"d"),TEXT(R59,"m"),TEXT(R59,"yyyy"),7)&amp;"/"&amp;thang(TEXT(R59,"d"),TEXT(R59,"m"),TEXT(R59,"yyyy"),7),ngay(TEXT(R59,"d"),TEXT(R59,"m"),TEXT(R59,"yyyy"),7)))</f>
        <v>23</v>
      </c>
      <c r="S60" s="151">
        <f>IF(S59="","",IF(ngay(TEXT(S59,"d"),TEXT(S59,"m"),TEXT(S59,"yyyy"),7)=1,ngay(TEXT(S59,"d"),TEXT(S59,"m"),TEXT(S59,"yyyy"),7)&amp;"/"&amp;thang(TEXT(S59,"d"),TEXT(S59,"m"),TEXT(S59,"yyyy"),7),ngay(TEXT(S59,"d"),TEXT(S59,"m"),TEXT(S59,"yyyy"),7)))</f>
        <v>24</v>
      </c>
      <c r="T60" s="151">
        <f>IF(T59="","",IF(ngay(TEXT(T59,"d"),TEXT(T59,"m"),TEXT(T59,"yyyy"),7)=1,ngay(TEXT(T59,"d"),TEXT(T59,"m"),TEXT(T59,"yyyy"),7)&amp;"/"&amp;thang(TEXT(T59,"d"),TEXT(T59,"m"),TEXT(T59,"yyyy"),7),ngay(TEXT(T59,"d"),TEXT(T59,"m"),TEXT(T59,"yyyy"),7)))</f>
        <v>25</v>
      </c>
      <c r="U60" s="151">
        <f>IF(U59="","",IF(ngay(TEXT(U59,"d"),TEXT(U59,"m"),TEXT(U59,"yyyy"),7)=1,ngay(TEXT(U59,"d"),TEXT(U59,"m"),TEXT(U59,"yyyy"),7)&amp;"/"&amp;thang(TEXT(U59,"d"),TEXT(U59,"m"),TEXT(U59,"yyyy"),7),ngay(TEXT(U59,"d"),TEXT(U59,"m"),TEXT(U59,"yyyy"),7)))</f>
        <v>26</v>
      </c>
      <c r="V60" s="151">
        <f>IF(V59="","",IF(ngay(TEXT(V59,"d"),TEXT(V59,"m"),TEXT(V59,"yyyy"),7)=1,ngay(TEXT(V59,"d"),TEXT(V59,"m"),TEXT(V59,"yyyy"),7)&amp;"/"&amp;thang(TEXT(V59,"d"),TEXT(V59,"m"),TEXT(V59,"yyyy"),7),ngay(TEXT(V59,"d"),TEXT(V59,"m"),TEXT(V59,"yyyy"),7)))</f>
        <v>27</v>
      </c>
      <c r="W60" s="151">
        <f>IF(W59="","",IF(ngay(TEXT(W59,"d"),TEXT(W59,"m"),TEXT(W59,"yyyy"),7)=1,ngay(TEXT(W59,"d"),TEXT(W59,"m"),TEXT(W59,"yyyy"),7)&amp;"/"&amp;thang(TEXT(W59,"d"),TEXT(W59,"m"),TEXT(W59,"yyyy"),7),ngay(TEXT(W59,"d"),TEXT(W59,"m"),TEXT(W59,"yyyy"),7)))</f>
        <v>28</v>
      </c>
      <c r="X60" s="152">
        <f>IF(X59="","",IF(ngay(TEXT(X59,"d"),TEXT(X59,"m"),TEXT(X59,"yyyy"),7)=1,ngay(TEXT(X59,"d"),TEXT(X59,"m"),TEXT(X59,"yyyy"),7)&amp;"/"&amp;thang(TEXT(X59,"d"),TEXT(X59,"m"),TEXT(X59,"yyyy"),7),ngay(TEXT(X59,"d"),TEXT(X59,"m"),TEXT(X59,"yyyy"),7)))</f>
        <v>29</v>
      </c>
    </row>
    <row r="61" spans="1:25" s="4" customFormat="1" ht="45.95" customHeight="1" x14ac:dyDescent="0.3">
      <c r="B61" s="71">
        <f>IF(H59="","",IF(MONTH(H59+1)&lt;&gt;MONTH(H59),"",H59+1))</f>
        <v>43030</v>
      </c>
      <c r="C61" s="72">
        <f>IF(B61="","",IF(MONTH(B61+1)&lt;&gt;MONTH(B61),"",B61+1))</f>
        <v>43031</v>
      </c>
      <c r="D61" s="72">
        <f t="shared" ref="D61:H61" si="71">IF(C61="","",IF(MONTH(C61+1)&lt;&gt;MONTH(C61),"",C61+1))</f>
        <v>43032</v>
      </c>
      <c r="E61" s="72">
        <f t="shared" si="71"/>
        <v>43033</v>
      </c>
      <c r="F61" s="72">
        <f t="shared" si="71"/>
        <v>43034</v>
      </c>
      <c r="G61" s="77">
        <f t="shared" si="71"/>
        <v>43035</v>
      </c>
      <c r="H61" s="78">
        <f t="shared" si="71"/>
        <v>43036</v>
      </c>
      <c r="I61" s="16"/>
      <c r="J61" s="71">
        <f>IF(P59="","",IF(MONTH(P59+1)&lt;&gt;MONTH(P59),"",P59+1))</f>
        <v>43058</v>
      </c>
      <c r="K61" s="72">
        <f>IF(J61="","",IF(MONTH(J61+1)&lt;&gt;MONTH(J61),"",J61+1))</f>
        <v>43059</v>
      </c>
      <c r="L61" s="72">
        <f t="shared" ref="L61:P61" si="72">IF(K61="","",IF(MONTH(K61+1)&lt;&gt;MONTH(K61),"",K61+1))</f>
        <v>43060</v>
      </c>
      <c r="M61" s="72">
        <f t="shared" si="72"/>
        <v>43061</v>
      </c>
      <c r="N61" s="72">
        <f t="shared" si="72"/>
        <v>43062</v>
      </c>
      <c r="O61" s="77">
        <f t="shared" si="72"/>
        <v>43063</v>
      </c>
      <c r="P61" s="78">
        <f t="shared" si="72"/>
        <v>43064</v>
      </c>
      <c r="Q61" s="16"/>
      <c r="R61" s="153">
        <f>IF(X59="","",IF(MONTH(X59+1)&lt;&gt;MONTH(X59),"",X59+1))</f>
        <v>43086</v>
      </c>
      <c r="S61" s="154">
        <f>IF(R61="","",IF(MONTH(R61+1)&lt;&gt;MONTH(R61),"",R61+1))</f>
        <v>43087</v>
      </c>
      <c r="T61" s="154">
        <f t="shared" ref="T61:X61" si="73">IF(S61="","",IF(MONTH(S61+1)&lt;&gt;MONTH(S61),"",S61+1))</f>
        <v>43088</v>
      </c>
      <c r="U61" s="154">
        <f t="shared" si="73"/>
        <v>43089</v>
      </c>
      <c r="V61" s="154">
        <f t="shared" si="73"/>
        <v>43090</v>
      </c>
      <c r="W61" s="155">
        <f t="shared" si="73"/>
        <v>43091</v>
      </c>
      <c r="X61" s="156">
        <f t="shared" si="73"/>
        <v>43092</v>
      </c>
    </row>
    <row r="62" spans="1:25" s="18" customFormat="1" ht="45.95" customHeight="1" x14ac:dyDescent="0.2">
      <c r="B62" s="73">
        <f>IF(B61="","",IF(ngay(TEXT(B61,"d"),TEXT(B61,"m"),TEXT(B61,"yyyy"),7)=1,ngay(TEXT(B61,"d"),TEXT(B61,"m"),TEXT(B61,"yyyy"),7)&amp;"/"&amp;thang(TEXT(B61,"d"),TEXT(B61,"m"),TEXT(B61,"yyyy"),7),ngay(TEXT(B61,"d"),TEXT(B61,"m"),TEXT(B61,"yyyy"),7)))</f>
        <v>3</v>
      </c>
      <c r="C62" s="74">
        <f>IF(C61="","",IF(ngay(TEXT(C61,"d"),TEXT(C61,"m"),TEXT(C61,"yyyy"),7)=1,ngay(TEXT(C61,"d"),TEXT(C61,"m"),TEXT(C61,"yyyy"),7)&amp;"/"&amp;thang(TEXT(C61,"d"),TEXT(C61,"m"),TEXT(C61,"yyyy"),7),ngay(TEXT(C61,"d"),TEXT(C61,"m"),TEXT(C61,"yyyy"),7)))</f>
        <v>4</v>
      </c>
      <c r="D62" s="74">
        <f>IF(D61="","",IF(ngay(TEXT(D61,"d"),TEXT(D61,"m"),TEXT(D61,"yyyy"),7)=1,ngay(TEXT(D61,"d"),TEXT(D61,"m"),TEXT(D61,"yyyy"),7)&amp;"/"&amp;thang(TEXT(D61,"d"),TEXT(D61,"m"),TEXT(D61,"yyyy"),7),ngay(TEXT(D61,"d"),TEXT(D61,"m"),TEXT(D61,"yyyy"),7)))</f>
        <v>5</v>
      </c>
      <c r="E62" s="74">
        <f>IF(E61="","",IF(ngay(TEXT(E61,"d"),TEXT(E61,"m"),TEXT(E61,"yyyy"),7)=1,ngay(TEXT(E61,"d"),TEXT(E61,"m"),TEXT(E61,"yyyy"),7)&amp;"/"&amp;thang(TEXT(E61,"d"),TEXT(E61,"m"),TEXT(E61,"yyyy"),7),ngay(TEXT(E61,"d"),TEXT(E61,"m"),TEXT(E61,"yyyy"),7)))</f>
        <v>6</v>
      </c>
      <c r="F62" s="74">
        <f>IF(F61="","",IF(ngay(TEXT(F61,"d"),TEXT(F61,"m"),TEXT(F61,"yyyy"),7)=1,ngay(TEXT(F61,"d"),TEXT(F61,"m"),TEXT(F61,"yyyy"),7)&amp;"/"&amp;thang(TEXT(F61,"d"),TEXT(F61,"m"),TEXT(F61,"yyyy"),7),ngay(TEXT(F61,"d"),TEXT(F61,"m"),TEXT(F61,"yyyy"),7)))</f>
        <v>7</v>
      </c>
      <c r="G62" s="74">
        <f>IF(G61="","",IF(ngay(TEXT(G61,"d"),TEXT(G61,"m"),TEXT(G61,"yyyy"),7)=1,ngay(TEXT(G61,"d"),TEXT(G61,"m"),TEXT(G61,"yyyy"),7)&amp;"/"&amp;thang(TEXT(G61,"d"),TEXT(G61,"m"),TEXT(G61,"yyyy"),7),ngay(TEXT(G61,"d"),TEXT(G61,"m"),TEXT(G61,"yyyy"),7)))</f>
        <v>8</v>
      </c>
      <c r="H62" s="80">
        <f>IF(H61="","",IF(ngay(TEXT(H61,"d"),TEXT(H61,"m"),TEXT(H61,"yyyy"),7)=1,ngay(TEXT(H61,"d"),TEXT(H61,"m"),TEXT(H61,"yyyy"),7)&amp;"/"&amp;thang(TEXT(H61,"d"),TEXT(H61,"m"),TEXT(H61,"yyyy"),7),ngay(TEXT(H61,"d"),TEXT(H61,"m"),TEXT(H61,"yyyy"),7)))</f>
        <v>9</v>
      </c>
      <c r="I62" s="20"/>
      <c r="J62" s="150">
        <f>IF(J61="","",IF(ngay(TEXT(J61,"d"),TEXT(J61,"m"),TEXT(J61,"yyyy"),7)=1,ngay(TEXT(J61,"d"),TEXT(J61,"m"),TEXT(J61,"yyyy"),7)&amp;"/"&amp;thang(TEXT(J61,"d"),TEXT(J61,"m"),TEXT(J61,"yyyy"),7),ngay(TEXT(J61,"d"),TEXT(J61,"m"),TEXT(J61,"yyyy"),7)))</f>
        <v>2</v>
      </c>
      <c r="K62" s="151">
        <f>IF(K61="","",IF(ngay(TEXT(K61,"d"),TEXT(K61,"m"),TEXT(K61,"yyyy"),7)=1,ngay(TEXT(K61,"d"),TEXT(K61,"m"),TEXT(K61,"yyyy"),7)&amp;"/"&amp;thang(TEXT(K61,"d"),TEXT(K61,"m"),TEXT(K61,"yyyy"),7),ngay(TEXT(K61,"d"),TEXT(K61,"m"),TEXT(K61,"yyyy"),7)))</f>
        <v>3</v>
      </c>
      <c r="L62" s="151">
        <f>IF(L61="","",IF(ngay(TEXT(L61,"d"),TEXT(L61,"m"),TEXT(L61,"yyyy"),7)=1,ngay(TEXT(L61,"d"),TEXT(L61,"m"),TEXT(L61,"yyyy"),7)&amp;"/"&amp;thang(TEXT(L61,"d"),TEXT(L61,"m"),TEXT(L61,"yyyy"),7),ngay(TEXT(L61,"d"),TEXT(L61,"m"),TEXT(L61,"yyyy"),7)))</f>
        <v>4</v>
      </c>
      <c r="M62" s="151">
        <f>IF(M61="","",IF(ngay(TEXT(M61,"d"),TEXT(M61,"m"),TEXT(M61,"yyyy"),7)=1,ngay(TEXT(M61,"d"),TEXT(M61,"m"),TEXT(M61,"yyyy"),7)&amp;"/"&amp;thang(TEXT(M61,"d"),TEXT(M61,"m"),TEXT(M61,"yyyy"),7),ngay(TEXT(M61,"d"),TEXT(M61,"m"),TEXT(M61,"yyyy"),7)))</f>
        <v>5</v>
      </c>
      <c r="N62" s="151">
        <f>IF(N61="","",IF(ngay(TEXT(N61,"d"),TEXT(N61,"m"),TEXT(N61,"yyyy"),7)=1,ngay(TEXT(N61,"d"),TEXT(N61,"m"),TEXT(N61,"yyyy"),7)&amp;"/"&amp;thang(TEXT(N61,"d"),TEXT(N61,"m"),TEXT(N61,"yyyy"),7),ngay(TEXT(N61,"d"),TEXT(N61,"m"),TEXT(N61,"yyyy"),7)))</f>
        <v>6</v>
      </c>
      <c r="O62" s="151">
        <f>IF(O61="","",IF(ngay(TEXT(O61,"d"),TEXT(O61,"m"),TEXT(O61,"yyyy"),7)=1,ngay(TEXT(O61,"d"),TEXT(O61,"m"),TEXT(O61,"yyyy"),7)&amp;"/"&amp;thang(TEXT(O61,"d"),TEXT(O61,"m"),TEXT(O61,"yyyy"),7),ngay(TEXT(O61,"d"),TEXT(O61,"m"),TEXT(O61,"yyyy"),7)))</f>
        <v>7</v>
      </c>
      <c r="P62" s="152">
        <f>IF(P61="","",IF(ngay(TEXT(P61,"d"),TEXT(P61,"m"),TEXT(P61,"yyyy"),7)=1,ngay(TEXT(P61,"d"),TEXT(P61,"m"),TEXT(P61,"yyyy"),7)&amp;"/"&amp;thang(TEXT(P61,"d"),TEXT(P61,"m"),TEXT(P61,"yyyy"),7),ngay(TEXT(P61,"d"),TEXT(P61,"m"),TEXT(P61,"yyyy"),7)))</f>
        <v>8</v>
      </c>
      <c r="Q62" s="20"/>
      <c r="R62" s="150">
        <f>IF(R61="","",IF(ngay(TEXT(R61,"d"),TEXT(R61,"m"),TEXT(R61,"yyyy"),7)=1,ngay(TEXT(R61,"d"),TEXT(R61,"m"),TEXT(R61,"yyyy"),7)&amp;"/"&amp;thang(TEXT(R61,"d"),TEXT(R61,"m"),TEXT(R61,"yyyy"),7),ngay(TEXT(R61,"d"),TEXT(R61,"m"),TEXT(R61,"yyyy"),7)))</f>
        <v>30</v>
      </c>
      <c r="S62" s="151" t="str">
        <f>IF(S61="","",IF(ngay(TEXT(S61,"d"),TEXT(S61,"m"),TEXT(S61,"yyyy"),7)=1,ngay(TEXT(S61,"d"),TEXT(S61,"m"),TEXT(S61,"yyyy"),7)&amp;"/"&amp;thang(TEXT(S61,"d"),TEXT(S61,"m"),TEXT(S61,"yyyy"),7),ngay(TEXT(S61,"d"),TEXT(S61,"m"),TEXT(S61,"yyyy"),7)))</f>
        <v>1/11</v>
      </c>
      <c r="T62" s="151">
        <f>IF(T61="","",IF(ngay(TEXT(T61,"d"),TEXT(T61,"m"),TEXT(T61,"yyyy"),7)=1,ngay(TEXT(T61,"d"),TEXT(T61,"m"),TEXT(T61,"yyyy"),7)&amp;"/"&amp;thang(TEXT(T61,"d"),TEXT(T61,"m"),TEXT(T61,"yyyy"),7),ngay(TEXT(T61,"d"),TEXT(T61,"m"),TEXT(T61,"yyyy"),7)))</f>
        <v>2</v>
      </c>
      <c r="U62" s="151">
        <f>IF(U61="","",IF(ngay(TEXT(U61,"d"),TEXT(U61,"m"),TEXT(U61,"yyyy"),7)=1,ngay(TEXT(U61,"d"),TEXT(U61,"m"),TEXT(U61,"yyyy"),7)&amp;"/"&amp;thang(TEXT(U61,"d"),TEXT(U61,"m"),TEXT(U61,"yyyy"),7),ngay(TEXT(U61,"d"),TEXT(U61,"m"),TEXT(U61,"yyyy"),7)))</f>
        <v>3</v>
      </c>
      <c r="V62" s="151">
        <f>IF(V61="","",IF(ngay(TEXT(V61,"d"),TEXT(V61,"m"),TEXT(V61,"yyyy"),7)=1,ngay(TEXT(V61,"d"),TEXT(V61,"m"),TEXT(V61,"yyyy"),7)&amp;"/"&amp;thang(TEXT(V61,"d"),TEXT(V61,"m"),TEXT(V61,"yyyy"),7),ngay(TEXT(V61,"d"),TEXT(V61,"m"),TEXT(V61,"yyyy"),7)))</f>
        <v>4</v>
      </c>
      <c r="W62" s="151">
        <f>IF(W61="","",IF(ngay(TEXT(W61,"d"),TEXT(W61,"m"),TEXT(W61,"yyyy"),7)=1,ngay(TEXT(W61,"d"),TEXT(W61,"m"),TEXT(W61,"yyyy"),7)&amp;"/"&amp;thang(TEXT(W61,"d"),TEXT(W61,"m"),TEXT(W61,"yyyy"),7),ngay(TEXT(W61,"d"),TEXT(W61,"m"),TEXT(W61,"yyyy"),7)))</f>
        <v>5</v>
      </c>
      <c r="X62" s="152">
        <f>IF(X61="","",IF(ngay(TEXT(X61,"d"),TEXT(X61,"m"),TEXT(X61,"yyyy"),7)=1,ngay(TEXT(X61,"d"),TEXT(X61,"m"),TEXT(X61,"yyyy"),7)&amp;"/"&amp;thang(TEXT(X61,"d"),TEXT(X61,"m"),TEXT(X61,"yyyy"),7),ngay(TEXT(X61,"d"),TEXT(X61,"m"),TEXT(X61,"yyyy"),7)))</f>
        <v>6</v>
      </c>
    </row>
    <row r="63" spans="1:25" s="4" customFormat="1" ht="45.95" customHeight="1" x14ac:dyDescent="0.3">
      <c r="B63" s="71">
        <f>IF(H61="","",IF(MONTH(H61+1)&lt;&gt;MONTH(H61),"",H61+1))</f>
        <v>43037</v>
      </c>
      <c r="C63" s="72">
        <f>IF(B63="","",IF(MONTH(B63+1)&lt;&gt;MONTH(B63),"",B63+1))</f>
        <v>43038</v>
      </c>
      <c r="D63" s="72">
        <f t="shared" ref="D63:H63" si="74">IF(C63="","",IF(MONTH(C63+1)&lt;&gt;MONTH(C63),"",C63+1))</f>
        <v>43039</v>
      </c>
      <c r="E63" s="72" t="str">
        <f t="shared" si="74"/>
        <v/>
      </c>
      <c r="F63" s="72" t="str">
        <f t="shared" si="74"/>
        <v/>
      </c>
      <c r="G63" s="77" t="str">
        <f t="shared" si="74"/>
        <v/>
      </c>
      <c r="H63" s="78" t="str">
        <f t="shared" si="74"/>
        <v/>
      </c>
      <c r="I63" s="16"/>
      <c r="J63" s="71">
        <f>IF(P61="","",IF(MONTH(P61+1)&lt;&gt;MONTH(P61),"",P61+1))</f>
        <v>43065</v>
      </c>
      <c r="K63" s="72">
        <f>IF(J63="","",IF(MONTH(J63+1)&lt;&gt;MONTH(J63),"",J63+1))</f>
        <v>43066</v>
      </c>
      <c r="L63" s="72">
        <f t="shared" ref="L63:P63" si="75">IF(K63="","",IF(MONTH(K63+1)&lt;&gt;MONTH(K63),"",K63+1))</f>
        <v>43067</v>
      </c>
      <c r="M63" s="72">
        <f t="shared" si="75"/>
        <v>43068</v>
      </c>
      <c r="N63" s="72">
        <f t="shared" si="75"/>
        <v>43069</v>
      </c>
      <c r="O63" s="155" t="str">
        <f t="shared" si="75"/>
        <v/>
      </c>
      <c r="P63" s="156" t="str">
        <f t="shared" si="75"/>
        <v/>
      </c>
      <c r="Q63" s="16"/>
      <c r="R63" s="153">
        <f>IF(X61="","",IF(MONTH(X61+1)&lt;&gt;MONTH(X61),"",X61+1))</f>
        <v>43093</v>
      </c>
      <c r="S63" s="154">
        <f>IF(R63="","",IF(MONTH(R63+1)&lt;&gt;MONTH(R63),"",R63+1))</f>
        <v>43094</v>
      </c>
      <c r="T63" s="154">
        <f t="shared" ref="T63:X63" si="76">IF(S63="","",IF(MONTH(S63+1)&lt;&gt;MONTH(S63),"",S63+1))</f>
        <v>43095</v>
      </c>
      <c r="U63" s="154">
        <f t="shared" si="76"/>
        <v>43096</v>
      </c>
      <c r="V63" s="154">
        <f t="shared" si="76"/>
        <v>43097</v>
      </c>
      <c r="W63" s="155">
        <f t="shared" si="76"/>
        <v>43098</v>
      </c>
      <c r="X63" s="156">
        <f t="shared" si="76"/>
        <v>43099</v>
      </c>
    </row>
    <row r="64" spans="1:25" s="18" customFormat="1" ht="45.95" customHeight="1" x14ac:dyDescent="0.2">
      <c r="B64" s="64">
        <f>IF(B63="","",IF(ngay(TEXT(B63,"d"),TEXT(B63,"m"),TEXT(B63,"yyyy"),7)=1,ngay(TEXT(B63,"d"),TEXT(B63,"m"),TEXT(B63,"yyyy"),7)&amp;"/"&amp;thang(TEXT(B63,"d"),TEXT(B63,"m"),TEXT(B63,"yyyy"),7),ngay(TEXT(B63,"d"),TEXT(B63,"m"),TEXT(B63,"yyyy"),7)))</f>
        <v>10</v>
      </c>
      <c r="C64" s="69">
        <f>IF(C63="","",IF(ngay(TEXT(C63,"d"),TEXT(C63,"m"),TEXT(C63,"yyyy"),7)=1,ngay(TEXT(C63,"d"),TEXT(C63,"m"),TEXT(C63,"yyyy"),7)&amp;"/"&amp;thang(TEXT(C63,"d"),TEXT(C63,"m"),TEXT(C63,"yyyy"),7),ngay(TEXT(C63,"d"),TEXT(C63,"m"),TEXT(C63,"yyyy"),7)))</f>
        <v>11</v>
      </c>
      <c r="D64" s="69">
        <f>IF(D63="","",IF(ngay(TEXT(D63,"d"),TEXT(D63,"m"),TEXT(D63,"yyyy"),7)=1,ngay(TEXT(D63,"d"),TEXT(D63,"m"),TEXT(D63,"yyyy"),7)&amp;"/"&amp;thang(TEXT(D63,"d"),TEXT(D63,"m"),TEXT(D63,"yyyy"),7),ngay(TEXT(D63,"d"),TEXT(D63,"m"),TEXT(D63,"yyyy"),7)))</f>
        <v>12</v>
      </c>
      <c r="E64" s="74" t="str">
        <f>IF(E63="","",IF(ngay(TEXT(E63,"d"),TEXT(E63,"m"),TEXT(E63,"yyyy"),7)=1,ngay(TEXT(E63,"d"),TEXT(E63,"m"),TEXT(E63,"yyyy"),7)&amp;"/"&amp;thang(TEXT(E63,"d"),TEXT(E63,"m"),TEXT(E63,"yyyy"),7),ngay(TEXT(E63,"d"),TEXT(E63,"m"),TEXT(E63,"yyyy"),7)))</f>
        <v/>
      </c>
      <c r="F64" s="74" t="str">
        <f>IF(F63="","",IF(ngay(TEXT(F63,"d"),TEXT(F63,"m"),TEXT(F63,"yyyy"),7)=1,ngay(TEXT(F63,"d"),TEXT(F63,"m"),TEXT(F63,"yyyy"),7)&amp;"/"&amp;thang(TEXT(F63,"d"),TEXT(F63,"m"),TEXT(F63,"yyyy"),7),ngay(TEXT(F63,"d"),TEXT(F63,"m"),TEXT(F63,"yyyy"),7)))</f>
        <v/>
      </c>
      <c r="G64" s="74" t="str">
        <f>IF(G63="","",IF(ngay(TEXT(G63,"d"),TEXT(G63,"m"),TEXT(G63,"yyyy"),7)=1,ngay(TEXT(G63,"d"),TEXT(G63,"m"),TEXT(G63,"yyyy"),7)&amp;"/"&amp;thang(TEXT(G63,"d"),TEXT(G63,"m"),TEXT(G63,"yyyy"),7),ngay(TEXT(G63,"d"),TEXT(G63,"m"),TEXT(G63,"yyyy"),7)))</f>
        <v/>
      </c>
      <c r="H64" s="80" t="str">
        <f>IF(H63="","",IF(ngay(TEXT(H63,"d"),TEXT(H63,"m"),TEXT(H63,"yyyy"),7)=1,ngay(TEXT(H63,"d"),TEXT(H63,"m"),TEXT(H63,"yyyy"),7)&amp;"/"&amp;thang(TEXT(H63,"d"),TEXT(H63,"m"),TEXT(H63,"yyyy"),7),ngay(TEXT(H63,"d"),TEXT(H63,"m"),TEXT(H63,"yyyy"),7)))</f>
        <v/>
      </c>
      <c r="I64" s="20"/>
      <c r="J64" s="150">
        <f>IF(J63="","",IF(ngay(TEXT(J63,"d"),TEXT(J63,"m"),TEXT(J63,"yyyy"),7)=1,ngay(TEXT(J63,"d"),TEXT(J63,"m"),TEXT(J63,"yyyy"),7)&amp;"/"&amp;thang(TEXT(J63,"d"),TEXT(J63,"m"),TEXT(J63,"yyyy"),7),ngay(TEXT(J63,"d"),TEXT(J63,"m"),TEXT(J63,"yyyy"),7)))</f>
        <v>9</v>
      </c>
      <c r="K64" s="151">
        <f>IF(K63="","",IF(ngay(TEXT(K63,"d"),TEXT(K63,"m"),TEXT(K63,"yyyy"),7)=1,ngay(TEXT(K63,"d"),TEXT(K63,"m"),TEXT(K63,"yyyy"),7)&amp;"/"&amp;thang(TEXT(K63,"d"),TEXT(K63,"m"),TEXT(K63,"yyyy"),7),ngay(TEXT(K63,"d"),TEXT(K63,"m"),TEXT(K63,"yyyy"),7)))</f>
        <v>10</v>
      </c>
      <c r="L64" s="151">
        <f>IF(L63="","",IF(ngay(TEXT(L63,"d"),TEXT(L63,"m"),TEXT(L63,"yyyy"),7)=1,ngay(TEXT(L63,"d"),TEXT(L63,"m"),TEXT(L63,"yyyy"),7)&amp;"/"&amp;thang(TEXT(L63,"d"),TEXT(L63,"m"),TEXT(L63,"yyyy"),7),ngay(TEXT(L63,"d"),TEXT(L63,"m"),TEXT(L63,"yyyy"),7)))</f>
        <v>11</v>
      </c>
      <c r="M64" s="151">
        <f>IF(M63="","",IF(ngay(TEXT(M63,"d"),TEXT(M63,"m"),TEXT(M63,"yyyy"),7)=1,ngay(TEXT(M63,"d"),TEXT(M63,"m"),TEXT(M63,"yyyy"),7)&amp;"/"&amp;thang(TEXT(M63,"d"),TEXT(M63,"m"),TEXT(M63,"yyyy"),7),ngay(TEXT(M63,"d"),TEXT(M63,"m"),TEXT(M63,"yyyy"),7)))</f>
        <v>12</v>
      </c>
      <c r="N64" s="151">
        <f>IF(N63="","",IF(ngay(TEXT(N63,"d"),TEXT(N63,"m"),TEXT(N63,"yyyy"),7)=1,ngay(TEXT(N63,"d"),TEXT(N63,"m"),TEXT(N63,"yyyy"),7)&amp;"/"&amp;thang(TEXT(N63,"d"),TEXT(N63,"m"),TEXT(N63,"yyyy"),7),ngay(TEXT(N63,"d"),TEXT(N63,"m"),TEXT(N63,"yyyy"),7)))</f>
        <v>13</v>
      </c>
      <c r="O64" s="151" t="str">
        <f>IF(O63="","",IF(ngay(TEXT(O63,"d"),TEXT(O63,"m"),TEXT(O63,"yyyy"),7)=1,ngay(TEXT(O63,"d"),TEXT(O63,"m"),TEXT(O63,"yyyy"),7)&amp;"/"&amp;thang(TEXT(O63,"d"),TEXT(O63,"m"),TEXT(O63,"yyyy"),7),ngay(TEXT(O63,"d"),TEXT(O63,"m"),TEXT(O63,"yyyy"),7)))</f>
        <v/>
      </c>
      <c r="P64" s="152" t="str">
        <f>IF(P63="","",IF(ngay(TEXT(P63,"d"),TEXT(P63,"m"),TEXT(P63,"yyyy"),7)=1,ngay(TEXT(P63,"d"),TEXT(P63,"m"),TEXT(P63,"yyyy"),7)&amp;"/"&amp;thang(TEXT(P63,"d"),TEXT(P63,"m"),TEXT(P63,"yyyy"),7),ngay(TEXT(P63,"d"),TEXT(P63,"m"),TEXT(P63,"yyyy"),7)))</f>
        <v/>
      </c>
      <c r="Q64" s="20"/>
      <c r="R64" s="150">
        <f>IF(R63="","",IF(ngay(TEXT(R63,"d"),TEXT(R63,"m"),TEXT(R63,"yyyy"),7)=1,ngay(TEXT(R63,"d"),TEXT(R63,"m"),TEXT(R63,"yyyy"),7)&amp;"/"&amp;thang(TEXT(R63,"d"),TEXT(R63,"m"),TEXT(R63,"yyyy"),7),ngay(TEXT(R63,"d"),TEXT(R63,"m"),TEXT(R63,"yyyy"),7)))</f>
        <v>7</v>
      </c>
      <c r="S64" s="151">
        <f>IF(S63="","",IF(ngay(TEXT(S63,"d"),TEXT(S63,"m"),TEXT(S63,"yyyy"),7)=1,ngay(TEXT(S63,"d"),TEXT(S63,"m"),TEXT(S63,"yyyy"),7)&amp;"/"&amp;thang(TEXT(S63,"d"),TEXT(S63,"m"),TEXT(S63,"yyyy"),7),ngay(TEXT(S63,"d"),TEXT(S63,"m"),TEXT(S63,"yyyy"),7)))</f>
        <v>8</v>
      </c>
      <c r="T64" s="151">
        <f>IF(T63="","",IF(ngay(TEXT(T63,"d"),TEXT(T63,"m"),TEXT(T63,"yyyy"),7)=1,ngay(TEXT(T63,"d"),TEXT(T63,"m"),TEXT(T63,"yyyy"),7)&amp;"/"&amp;thang(TEXT(T63,"d"),TEXT(T63,"m"),TEXT(T63,"yyyy"),7),ngay(TEXT(T63,"d"),TEXT(T63,"m"),TEXT(T63,"yyyy"),7)))</f>
        <v>9</v>
      </c>
      <c r="U64" s="151">
        <f>IF(U63="","",IF(ngay(TEXT(U63,"d"),TEXT(U63,"m"),TEXT(U63,"yyyy"),7)=1,ngay(TEXT(U63,"d"),TEXT(U63,"m"),TEXT(U63,"yyyy"),7)&amp;"/"&amp;thang(TEXT(U63,"d"),TEXT(U63,"m"),TEXT(U63,"yyyy"),7),ngay(TEXT(U63,"d"),TEXT(U63,"m"),TEXT(U63,"yyyy"),7)))</f>
        <v>10</v>
      </c>
      <c r="V64" s="151">
        <f>IF(V63="","",IF(ngay(TEXT(V63,"d"),TEXT(V63,"m"),TEXT(V63,"yyyy"),7)=1,ngay(TEXT(V63,"d"),TEXT(V63,"m"),TEXT(V63,"yyyy"),7)&amp;"/"&amp;thang(TEXT(V63,"d"),TEXT(V63,"m"),TEXT(V63,"yyyy"),7),ngay(TEXT(V63,"d"),TEXT(V63,"m"),TEXT(V63,"yyyy"),7)))</f>
        <v>11</v>
      </c>
      <c r="W64" s="151">
        <f>IF(W63="","",IF(ngay(TEXT(W63,"d"),TEXT(W63,"m"),TEXT(W63,"yyyy"),7)=1,ngay(TEXT(W63,"d"),TEXT(W63,"m"),TEXT(W63,"yyyy"),7)&amp;"/"&amp;thang(TEXT(W63,"d"),TEXT(W63,"m"),TEXT(W63,"yyyy"),7),ngay(TEXT(W63,"d"),TEXT(W63,"m"),TEXT(W63,"yyyy"),7)))</f>
        <v>12</v>
      </c>
      <c r="X64" s="152">
        <f>IF(X63="","",IF(ngay(TEXT(X63,"d"),TEXT(X63,"m"),TEXT(X63,"yyyy"),7)=1,ngay(TEXT(X63,"d"),TEXT(X63,"m"),TEXT(X63,"yyyy"),7)&amp;"/"&amp;thang(TEXT(X63,"d"),TEXT(X63,"m"),TEXT(X63,"yyyy"),7),ngay(TEXT(X63,"d"),TEXT(X63,"m"),TEXT(X63,"yyyy"),7)))</f>
        <v>13</v>
      </c>
    </row>
    <row r="65" spans="2:24" s="4" customFormat="1" ht="45.95" customHeight="1" x14ac:dyDescent="0.3">
      <c r="B65" s="28" t="str">
        <f>IF(H63="","",IF(MONTH(H63+1)&lt;&gt;MONTH(H63),"",H63+1))</f>
        <v/>
      </c>
      <c r="C65" s="3" t="str">
        <f>IF(B65="","",IF(MONTH(B65+1)&lt;&gt;MONTH(B65),"",B65+1))</f>
        <v/>
      </c>
      <c r="D65" s="3" t="str">
        <f t="shared" ref="D65:H65" si="77">IF(C65="","",IF(MONTH(C65+1)&lt;&gt;MONTH(C65),"",C65+1))</f>
        <v/>
      </c>
      <c r="E65" s="3" t="str">
        <f t="shared" si="77"/>
        <v/>
      </c>
      <c r="F65" s="3" t="str">
        <f t="shared" si="77"/>
        <v/>
      </c>
      <c r="G65" s="17" t="str">
        <f t="shared" si="77"/>
        <v/>
      </c>
      <c r="H65" s="29" t="str">
        <f t="shared" si="77"/>
        <v/>
      </c>
      <c r="I65" s="16"/>
      <c r="J65" s="28" t="str">
        <f>IF(P63="","",IF(MONTH(P63+1)&lt;&gt;MONTH(P63),"",P63+1))</f>
        <v/>
      </c>
      <c r="K65" s="3" t="str">
        <f>IF(J65="","",IF(MONTH(J65+1)&lt;&gt;MONTH(J65),"",J65+1))</f>
        <v/>
      </c>
      <c r="L65" s="3" t="str">
        <f t="shared" ref="L65:P65" si="78">IF(K65="","",IF(MONTH(K65+1)&lt;&gt;MONTH(K65),"",K65+1))</f>
        <v/>
      </c>
      <c r="M65" s="3" t="str">
        <f t="shared" si="78"/>
        <v/>
      </c>
      <c r="N65" s="3" t="str">
        <f t="shared" si="78"/>
        <v/>
      </c>
      <c r="O65" s="17" t="str">
        <f t="shared" si="78"/>
        <v/>
      </c>
      <c r="P65" s="29" t="str">
        <f t="shared" si="78"/>
        <v/>
      </c>
      <c r="Q65" s="16"/>
      <c r="R65" s="153">
        <f>IF(X63="","",IF(MONTH(X63+1)&lt;&gt;MONTH(X63),"",X63+1))</f>
        <v>43100</v>
      </c>
      <c r="S65" s="154" t="str">
        <f>IF(R65="","",IF(MONTH(R65+1)&lt;&gt;MONTH(R65),"",R65+1))</f>
        <v/>
      </c>
      <c r="T65" s="154" t="str">
        <f t="shared" ref="T65:X65" si="79">IF(S65="","",IF(MONTH(S65+1)&lt;&gt;MONTH(S65),"",S65+1))</f>
        <v/>
      </c>
      <c r="U65" s="154" t="str">
        <f t="shared" si="79"/>
        <v/>
      </c>
      <c r="V65" s="154" t="str">
        <f t="shared" si="79"/>
        <v/>
      </c>
      <c r="W65" s="155" t="str">
        <f t="shared" si="79"/>
        <v/>
      </c>
      <c r="X65" s="156" t="str">
        <f t="shared" si="79"/>
        <v/>
      </c>
    </row>
    <row r="66" spans="2:24" s="18" customFormat="1" ht="45.95" customHeight="1" x14ac:dyDescent="0.2">
      <c r="B66" s="32" t="str">
        <f>IF(B65="","",IF(ngay(TEXT(B65,"d"),TEXT(B65,"m"),TEXT(B65,"yyyy"),7)=1,ngay(TEXT(B65,"d"),TEXT(B65,"m"),TEXT(B65,"yyyy"),7)&amp;"/"&amp;thang(TEXT(B65,"d"),TEXT(B65,"m"),TEXT(B65,"yyyy"),7),ngay(TEXT(B65,"d"),TEXT(B65,"m"),TEXT(B65,"yyyy"),7)))</f>
        <v/>
      </c>
      <c r="C66" s="33" t="str">
        <f>IF(C65="","",IF(ngay(TEXT(C65,"d"),TEXT(C65,"m"),TEXT(C65,"yyyy"),7)=1,ngay(TEXT(C65,"d"),TEXT(C65,"m"),TEXT(C65,"yyyy"),7)&amp;"/"&amp;thang(TEXT(C65,"d"),TEXT(C65,"m"),TEXT(C65,"yyyy"),7),ngay(TEXT(C65,"d"),TEXT(C65,"m"),TEXT(C65,"yyyy"),7)))</f>
        <v/>
      </c>
      <c r="D66" s="33" t="str">
        <f>IF(D65="","",IF(ngay(TEXT(D65,"d"),TEXT(D65,"m"),TEXT(D65,"yyyy"),7)=1,ngay(TEXT(D65,"d"),TEXT(D65,"m"),TEXT(D65,"yyyy"),7)&amp;"/"&amp;thang(TEXT(D65,"d"),TEXT(D65,"m"),TEXT(D65,"yyyy"),7),ngay(TEXT(D65,"d"),TEXT(D65,"m"),TEXT(D65,"yyyy"),7)))</f>
        <v/>
      </c>
      <c r="E66" s="33" t="str">
        <f>IF(E65="","",IF(ngay(TEXT(E65,"d"),TEXT(E65,"m"),TEXT(E65,"yyyy"),7)=1,ngay(TEXT(E65,"d"),TEXT(E65,"m"),TEXT(E65,"yyyy"),7)&amp;"/"&amp;thang(TEXT(E65,"d"),TEXT(E65,"m"),TEXT(E65,"yyyy"),7),ngay(TEXT(E65,"d"),TEXT(E65,"m"),TEXT(E65,"yyyy"),7)))</f>
        <v/>
      </c>
      <c r="F66" s="33" t="str">
        <f>IF(F65="","",IF(ngay(TEXT(F65,"d"),TEXT(F65,"m"),TEXT(F65,"yyyy"),7)=1,ngay(TEXT(F65,"d"),TEXT(F65,"m"),TEXT(F65,"yyyy"),7)&amp;"/"&amp;thang(TEXT(F65,"d"),TEXT(F65,"m"),TEXT(F65,"yyyy"),7),ngay(TEXT(F65,"d"),TEXT(F65,"m"),TEXT(F65,"yyyy"),7)))</f>
        <v/>
      </c>
      <c r="G66" s="33" t="str">
        <f>IF(G65="","",IF(ngay(TEXT(G65,"d"),TEXT(G65,"m"),TEXT(G65,"yyyy"),7)=1,ngay(TEXT(G65,"d"),TEXT(G65,"m"),TEXT(G65,"yyyy"),7)&amp;"/"&amp;thang(TEXT(G65,"d"),TEXT(G65,"m"),TEXT(G65,"yyyy"),7),ngay(TEXT(G65,"d"),TEXT(G65,"m"),TEXT(G65,"yyyy"),7)))</f>
        <v/>
      </c>
      <c r="H66" s="34" t="str">
        <f>IF(H65="","",IF(ngay(TEXT(H65,"d"),TEXT(H65,"m"),TEXT(H65,"yyyy"),7)=1,ngay(TEXT(H65,"d"),TEXT(H65,"m"),TEXT(H65,"yyyy"),7)&amp;"/"&amp;thang(TEXT(H65,"d"),TEXT(H65,"m"),TEXT(H65,"yyyy"),7),ngay(TEXT(H65,"d"),TEXT(H65,"m"),TEXT(H65,"yyyy"),7)))</f>
        <v/>
      </c>
      <c r="I66" s="20"/>
      <c r="J66" s="32" t="str">
        <f>IF(J65="","",IF(ngay(TEXT(J65,"d"),TEXT(J65,"m"),TEXT(J65,"yyyy"),7)=1,ngay(TEXT(J65,"d"),TEXT(J65,"m"),TEXT(J65,"yyyy"),7)&amp;"/"&amp;thang(TEXT(J65,"d"),TEXT(J65,"m"),TEXT(J65,"yyyy"),7),ngay(TEXT(J65,"d"),TEXT(J65,"m"),TEXT(J65,"yyyy"),7)))</f>
        <v/>
      </c>
      <c r="K66" s="33" t="str">
        <f>IF(K65="","",IF(ngay(TEXT(K65,"d"),TEXT(K65,"m"),TEXT(K65,"yyyy"),7)=1,ngay(TEXT(K65,"d"),TEXT(K65,"m"),TEXT(K65,"yyyy"),7)&amp;"/"&amp;thang(TEXT(K65,"d"),TEXT(K65,"m"),TEXT(K65,"yyyy"),7),ngay(TEXT(K65,"d"),TEXT(K65,"m"),TEXT(K65,"yyyy"),7)))</f>
        <v/>
      </c>
      <c r="L66" s="33" t="str">
        <f>IF(L65="","",IF(ngay(TEXT(L65,"d"),TEXT(L65,"m"),TEXT(L65,"yyyy"),7)=1,ngay(TEXT(L65,"d"),TEXT(L65,"m"),TEXT(L65,"yyyy"),7)&amp;"/"&amp;thang(TEXT(L65,"d"),TEXT(L65,"m"),TEXT(L65,"yyyy"),7),ngay(TEXT(L65,"d"),TEXT(L65,"m"),TEXT(L65,"yyyy"),7)))</f>
        <v/>
      </c>
      <c r="M66" s="33" t="str">
        <f>IF(M65="","",IF(ngay(TEXT(M65,"d"),TEXT(M65,"m"),TEXT(M65,"yyyy"),7)=1,ngay(TEXT(M65,"d"),TEXT(M65,"m"),TEXT(M65,"yyyy"),7)&amp;"/"&amp;thang(TEXT(M65,"d"),TEXT(M65,"m"),TEXT(M65,"yyyy"),7),ngay(TEXT(M65,"d"),TEXT(M65,"m"),TEXT(M65,"yyyy"),7)))</f>
        <v/>
      </c>
      <c r="N66" s="33" t="str">
        <f>IF(N65="","",IF(ngay(TEXT(N65,"d"),TEXT(N65,"m"),TEXT(N65,"yyyy"),7)=1,ngay(TEXT(N65,"d"),TEXT(N65,"m"),TEXT(N65,"yyyy"),7)&amp;"/"&amp;thang(TEXT(N65,"d"),TEXT(N65,"m"),TEXT(N65,"yyyy"),7),ngay(TEXT(N65,"d"),TEXT(N65,"m"),TEXT(N65,"yyyy"),7)))</f>
        <v/>
      </c>
      <c r="O66" s="33" t="str">
        <f>IF(O65="","",IF(ngay(TEXT(O65,"d"),TEXT(O65,"m"),TEXT(O65,"yyyy"),7)=1,ngay(TEXT(O65,"d"),TEXT(O65,"m"),TEXT(O65,"yyyy"),7)&amp;"/"&amp;thang(TEXT(O65,"d"),TEXT(O65,"m"),TEXT(O65,"yyyy"),7),ngay(TEXT(O65,"d"),TEXT(O65,"m"),TEXT(O65,"yyyy"),7)))</f>
        <v/>
      </c>
      <c r="P66" s="34" t="str">
        <f>IF(P65="","",IF(ngay(TEXT(P65,"d"),TEXT(P65,"m"),TEXT(P65,"yyyy"),7)=1,ngay(TEXT(P65,"d"),TEXT(P65,"m"),TEXT(P65,"yyyy"),7)&amp;"/"&amp;thang(TEXT(P65,"d"),TEXT(P65,"m"),TEXT(P65,"yyyy"),7),ngay(TEXT(P65,"d"),TEXT(P65,"m"),TEXT(P65,"yyyy"),7)))</f>
        <v/>
      </c>
      <c r="Q66" s="20"/>
      <c r="R66" s="158">
        <f>IF(R65="","",IF(ngay(TEXT(R65,"d"),TEXT(R65,"m"),TEXT(R65,"yyyy"),7)=1,ngay(TEXT(R65,"d"),TEXT(R65,"m"),TEXT(R65,"yyyy"),7)&amp;"/"&amp;thang(TEXT(R65,"d"),TEXT(R65,"m"),TEXT(R65,"yyyy"),7),ngay(TEXT(R65,"d"),TEXT(R65,"m"),TEXT(R65,"yyyy"),7)))</f>
        <v>14</v>
      </c>
      <c r="S66" s="159" t="str">
        <f>IF(S65="","",IF(ngay(TEXT(S65,"d"),TEXT(S65,"m"),TEXT(S65,"yyyy"),7)=1,ngay(TEXT(S65,"d"),TEXT(S65,"m"),TEXT(S65,"yyyy"),7)&amp;"/"&amp;thang(TEXT(S65,"d"),TEXT(S65,"m"),TEXT(S65,"yyyy"),7),ngay(TEXT(S65,"d"),TEXT(S65,"m"),TEXT(S65,"yyyy"),7)))</f>
        <v/>
      </c>
      <c r="T66" s="159" t="str">
        <f>IF(T65="","",IF(ngay(TEXT(T65,"d"),TEXT(T65,"m"),TEXT(T65,"yyyy"),7)=1,ngay(TEXT(T65,"d"),TEXT(T65,"m"),TEXT(T65,"yyyy"),7)&amp;"/"&amp;thang(TEXT(T65,"d"),TEXT(T65,"m"),TEXT(T65,"yyyy"),7),ngay(TEXT(T65,"d"),TEXT(T65,"m"),TEXT(T65,"yyyy"),7)))</f>
        <v/>
      </c>
      <c r="U66" s="159" t="str">
        <f>IF(U65="","",IF(ngay(TEXT(U65,"d"),TEXT(U65,"m"),TEXT(U65,"yyyy"),7)=1,ngay(TEXT(U65,"d"),TEXT(U65,"m"),TEXT(U65,"yyyy"),7)&amp;"/"&amp;thang(TEXT(U65,"d"),TEXT(U65,"m"),TEXT(U65,"yyyy"),7),ngay(TEXT(U65,"d"),TEXT(U65,"m"),TEXT(U65,"yyyy"),7)))</f>
        <v/>
      </c>
      <c r="V66" s="159" t="str">
        <f>IF(V65="","",IF(ngay(TEXT(V65,"d"),TEXT(V65,"m"),TEXT(V65,"yyyy"),7)=1,ngay(TEXT(V65,"d"),TEXT(V65,"m"),TEXT(V65,"yyyy"),7)&amp;"/"&amp;thang(TEXT(V65,"d"),TEXT(V65,"m"),TEXT(V65,"yyyy"),7),ngay(TEXT(V65,"d"),TEXT(V65,"m"),TEXT(V65,"yyyy"),7)))</f>
        <v/>
      </c>
      <c r="W66" s="159" t="str">
        <f>IF(W65="","",IF(ngay(TEXT(W65,"d"),TEXT(W65,"m"),TEXT(W65,"yyyy"),7)=1,ngay(TEXT(W65,"d"),TEXT(W65,"m"),TEXT(W65,"yyyy"),7)&amp;"/"&amp;thang(TEXT(W65,"d"),TEXT(W65,"m"),TEXT(W65,"yyyy"),7),ngay(TEXT(W65,"d"),TEXT(W65,"m"),TEXT(W65,"yyyy"),7)))</f>
        <v/>
      </c>
      <c r="X66" s="160" t="str">
        <f>IF(X65="","",IF(ngay(TEXT(X65,"d"),TEXT(X65,"m"),TEXT(X65,"yyyy"),7)=1,ngay(TEXT(X65,"d"),TEXT(X65,"m"),TEXT(X65,"yyyy"),7)&amp;"/"&amp;thang(TEXT(X65,"d"),TEXT(X65,"m"),TEXT(X65,"yyyy"),7),ngay(TEXT(X65,"d"),TEXT(X65,"m"),TEXT(X65,"yyyy"),7)))</f>
        <v/>
      </c>
    </row>
    <row r="67" spans="2:24" x14ac:dyDescent="0.2"/>
  </sheetData>
  <mergeCells count="20">
    <mergeCell ref="R38:X38"/>
    <mergeCell ref="B5:X5"/>
    <mergeCell ref="B53:H53"/>
    <mergeCell ref="J53:P53"/>
    <mergeCell ref="R53:X53"/>
    <mergeCell ref="B38:H38"/>
    <mergeCell ref="J38:P38"/>
    <mergeCell ref="B23:H23"/>
    <mergeCell ref="J23:P23"/>
    <mergeCell ref="R23:X23"/>
    <mergeCell ref="B6:X6"/>
    <mergeCell ref="D3:F3"/>
    <mergeCell ref="B8:H8"/>
    <mergeCell ref="J8:P8"/>
    <mergeCell ref="R8:X8"/>
    <mergeCell ref="V1:X1"/>
    <mergeCell ref="J3:K3"/>
    <mergeCell ref="O3:P3"/>
    <mergeCell ref="J1:P1"/>
    <mergeCell ref="V3:X3"/>
  </mergeCells>
  <conditionalFormatting sqref="B8 J8 R8 B23 J23 R23 B38 J38 R38 B53 J53 R53">
    <cfRule type="expression" dxfId="1" priority="1">
      <formula>$J$3=1</formula>
    </cfRule>
  </conditionalFormatting>
  <conditionalFormatting sqref="B10:H21 B55:H66 J55:P66 R55:X66 J10:P21 R10:X21 B25:H36 J25:P36 R25:X36 B40:H51 J40:P51 R40:X51">
    <cfRule type="cellIs" dxfId="0" priority="2" operator="equal">
      <formula>""</formula>
    </cfRule>
  </conditionalFormatting>
  <hyperlinks>
    <hyperlink ref="V3" r:id="rId1"/>
  </hyperlinks>
  <printOptions horizontalCentered="1"/>
  <pageMargins left="0.1" right="0.1" top="0.15" bottom="0.15" header="0" footer="0"/>
  <pageSetup scale="44" fitToHeight="2" orientation="landscape" r:id="rId2"/>
  <headerFooter>
    <oddFooter>&amp;Chttps://www.dantaichinh.com</oddFooter>
  </headerFooter>
  <rowBreaks count="1" manualBreakCount="1">
    <brk id="36" min="1" max="23" man="1"/>
  </rowBreaks>
  <ignoredErrors>
    <ignoredError sqref="I15:X15 I17:X17 Y31:Y36 J13:X13 J12:X12 I14:X14 I16:X16 B31:X36 B29:X29 I19:X19 I18:X18 B22:X23 B30:X30 B37:X38 I20:X20 I21:X21 B21:H21 B19:H19 B17:H17 B15:H15 B13:H13 B12:H12 B14:H14 B16:H16 B18:H18 B20:H20 B26:X28 I24 Q24 B41:X53 I39 Q39 B55:X66 I54 Q54 I25 Q25 I40 Q40" formula="1"/>
  </ignoredError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67"/>
  <sheetViews>
    <sheetView showGridLines="0" topLeftCell="D22" zoomScale="70" zoomScaleNormal="70" workbookViewId="0">
      <selection activeCell="R12" sqref="R12"/>
    </sheetView>
  </sheetViews>
  <sheetFormatPr defaultColWidth="0" defaultRowHeight="0" customHeight="1" zeroHeight="1" x14ac:dyDescent="0.2"/>
  <cols>
    <col min="1" max="1" width="1" style="82" customWidth="1"/>
    <col min="2" max="2" width="9.85546875" style="82" customWidth="1"/>
    <col min="3" max="8" width="13.28515625" style="82" customWidth="1"/>
    <col min="9" max="9" width="6.7109375" style="82" customWidth="1"/>
    <col min="10" max="16" width="13.28515625" style="82" customWidth="1"/>
    <col min="17" max="17" width="6.7109375" style="82" customWidth="1"/>
    <col min="18" max="24" width="13.28515625" style="82" customWidth="1"/>
    <col min="25" max="25" width="0.85546875" style="82" customWidth="1"/>
    <col min="26" max="26" width="4.140625" style="82" hidden="1" customWidth="1"/>
    <col min="27" max="16384" width="9.140625" style="82" hidden="1"/>
  </cols>
  <sheetData>
    <row r="1" spans="1:25" ht="15.75" x14ac:dyDescent="0.25">
      <c r="A1" s="128"/>
      <c r="B1" s="115"/>
      <c r="C1" s="127" t="s">
        <v>2</v>
      </c>
      <c r="D1" s="115"/>
      <c r="E1" s="115"/>
      <c r="F1" s="115"/>
      <c r="G1" s="115"/>
      <c r="H1" s="115"/>
      <c r="I1" s="115"/>
      <c r="J1" s="46"/>
      <c r="K1" s="46"/>
      <c r="L1" s="46"/>
      <c r="M1" s="46"/>
      <c r="N1" s="46"/>
      <c r="O1" s="46"/>
      <c r="P1" s="46"/>
      <c r="Q1" s="115"/>
      <c r="R1" s="115"/>
      <c r="S1" s="115"/>
      <c r="T1" s="115"/>
      <c r="U1" s="115"/>
      <c r="V1" s="126"/>
      <c r="W1" s="126"/>
      <c r="X1" s="126"/>
      <c r="Y1" s="125"/>
    </row>
    <row r="2" spans="1:25" ht="6" customHeight="1" x14ac:dyDescent="0.2">
      <c r="A2" s="115"/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6"/>
      <c r="Y2" s="115"/>
    </row>
    <row r="3" spans="1:25" ht="15.75" x14ac:dyDescent="0.2">
      <c r="A3" s="115"/>
      <c r="B3" s="115"/>
      <c r="C3" s="124" t="s">
        <v>5</v>
      </c>
      <c r="D3" s="123">
        <v>2018</v>
      </c>
      <c r="E3" s="123"/>
      <c r="F3" s="123"/>
      <c r="G3" s="115"/>
      <c r="H3" s="115"/>
      <c r="I3" s="122" t="s">
        <v>1</v>
      </c>
      <c r="J3" s="120">
        <v>1</v>
      </c>
      <c r="K3" s="120"/>
      <c r="L3" s="118"/>
      <c r="M3" s="118"/>
      <c r="N3" s="121" t="s">
        <v>0</v>
      </c>
      <c r="O3" s="120">
        <v>1</v>
      </c>
      <c r="P3" s="120"/>
      <c r="Q3" s="119" t="s">
        <v>4</v>
      </c>
      <c r="R3" s="118"/>
      <c r="S3" s="115"/>
      <c r="T3" s="115"/>
      <c r="U3" s="115"/>
      <c r="V3" s="47" t="s">
        <v>6</v>
      </c>
      <c r="W3" s="47"/>
      <c r="X3" s="47"/>
      <c r="Y3" s="117"/>
    </row>
    <row r="4" spans="1:25" ht="12.75" x14ac:dyDescent="0.2">
      <c r="A4" s="115"/>
      <c r="B4" s="115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6"/>
      <c r="Y4" s="115"/>
    </row>
    <row r="5" spans="1:25" ht="41.25" x14ac:dyDescent="0.2">
      <c r="B5" s="114">
        <f>D3</f>
        <v>2018</v>
      </c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</row>
    <row r="6" spans="1:25" ht="41.25" x14ac:dyDescent="0.2">
      <c r="B6" s="114" t="s">
        <v>3</v>
      </c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</row>
    <row r="7" spans="1:25" ht="12.75" x14ac:dyDescent="0.2"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</row>
    <row r="8" spans="1:25" s="103" customFormat="1" ht="20.25" x14ac:dyDescent="0.3">
      <c r="A8" s="110"/>
      <c r="B8" s="109">
        <f>DATE(D3,J3,1)</f>
        <v>43101</v>
      </c>
      <c r="C8" s="108"/>
      <c r="D8" s="108"/>
      <c r="E8" s="108"/>
      <c r="F8" s="108"/>
      <c r="G8" s="108"/>
      <c r="H8" s="107"/>
      <c r="I8" s="102"/>
      <c r="J8" s="106">
        <f>DATE(YEAR(B8+42),MONTH(B8+42),1)</f>
        <v>43132</v>
      </c>
      <c r="K8" s="105"/>
      <c r="L8" s="105"/>
      <c r="M8" s="105"/>
      <c r="N8" s="105"/>
      <c r="O8" s="105"/>
      <c r="P8" s="104"/>
      <c r="Q8" s="102"/>
      <c r="R8" s="106">
        <f>DATE(YEAR(J8+42),MONTH(J8+42),1)</f>
        <v>43160</v>
      </c>
      <c r="S8" s="105"/>
      <c r="T8" s="105"/>
      <c r="U8" s="105"/>
      <c r="V8" s="105"/>
      <c r="W8" s="105"/>
      <c r="X8" s="104"/>
    </row>
    <row r="9" spans="1:25" s="97" customFormat="1" ht="18" customHeight="1" x14ac:dyDescent="0.25">
      <c r="A9" s="103"/>
      <c r="B9" s="100" t="str">
        <f>CHOOSE(1+MOD($O$3+1-2,7),"Mon","Tue","Wed","Thu","Fri","Sat","Sun")</f>
        <v>Mon</v>
      </c>
      <c r="C9" s="99" t="str">
        <f>CHOOSE(1+MOD($O$3+2-2,7),"Mon","Tue","Wed","Thu","Fri","Sat","Sun")</f>
        <v>Tue</v>
      </c>
      <c r="D9" s="99" t="str">
        <f>CHOOSE(1+MOD($O$3+3-2,7),"Mon","Tue","Wed","Thu","Fri","Sat","Sun")</f>
        <v>Wed</v>
      </c>
      <c r="E9" s="99" t="str">
        <f>CHOOSE(1+MOD($O$3+4-2,7),"Mon","Tue","Wed","Thu","Fri","Sat","Sun")</f>
        <v>Thu</v>
      </c>
      <c r="F9" s="99" t="str">
        <f>CHOOSE(1+MOD($O$3+5-2,7),"Mon","Tue","Wed","Thu","Fri","Sat","Sun")</f>
        <v>Fri</v>
      </c>
      <c r="G9" s="99" t="str">
        <f>CHOOSE(1+MOD($O$3+6-2,7),"Mon","Tue","Wed","Thu","Fri","Sat","Sun")</f>
        <v>Sat</v>
      </c>
      <c r="H9" s="98" t="str">
        <f>CHOOSE(1+MOD($O$3+7-2,7),"Mon","Tue","Wed","Thu","Fri","Sat","Sun")</f>
        <v>Sun</v>
      </c>
      <c r="I9" s="102"/>
      <c r="J9" s="100" t="str">
        <f>CHOOSE(1+MOD($O$3+1-2,7),"Mon","Tue","Wed","Thu","Fri","Sat","Sun")</f>
        <v>Mon</v>
      </c>
      <c r="K9" s="99" t="str">
        <f>CHOOSE(1+MOD($O$3+2-2,7),"Mon","Tue","Wed","Thu","Fri","Sat","Sun")</f>
        <v>Tue</v>
      </c>
      <c r="L9" s="99" t="str">
        <f>CHOOSE(1+MOD($O$3+3-2,7),"Mon","Tue","Wed","Thu","Fri","Sat","Sun")</f>
        <v>Wed</v>
      </c>
      <c r="M9" s="99" t="str">
        <f>CHOOSE(1+MOD($O$3+4-2,7),"Mon","Tue","Wed","Thu","Fri","Sat","Sun")</f>
        <v>Thu</v>
      </c>
      <c r="N9" s="99" t="str">
        <f>CHOOSE(1+MOD($O$3+5-2,7),"Mon","Tue","Wed","Thu","Fri","Sat","Sun")</f>
        <v>Fri</v>
      </c>
      <c r="O9" s="99" t="str">
        <f>CHOOSE(1+MOD($O$3+6-2,7),"Mon","Tue","Wed","Thu","Fri","Sat","Sun")</f>
        <v>Sat</v>
      </c>
      <c r="P9" s="98" t="str">
        <f>CHOOSE(1+MOD($O$3+7-2,7),"Mon","Tue","Wed","Thu","Fri","Sat","Sun")</f>
        <v>Sun</v>
      </c>
      <c r="Q9" s="101"/>
      <c r="R9" s="100" t="str">
        <f>CHOOSE(1+MOD($O$3+1-2,7),"Mon","Tue","Wed","Thu","Fri","Sat","Sun")</f>
        <v>Mon</v>
      </c>
      <c r="S9" s="99" t="str">
        <f>CHOOSE(1+MOD($O$3+2-2,7),"Mon","Tue","Wed","Thu","Fri","Sat","Sun")</f>
        <v>Tue</v>
      </c>
      <c r="T9" s="99" t="str">
        <f>CHOOSE(1+MOD($O$3+3-2,7),"Mon","Tue","Wed","Thu","Fri","Sat","Sun")</f>
        <v>Wed</v>
      </c>
      <c r="U9" s="99" t="str">
        <f>CHOOSE(1+MOD($O$3+4-2,7),"Mon","Tue","Wed","Thu","Fri","Sat","Sun")</f>
        <v>Thu</v>
      </c>
      <c r="V9" s="99" t="str">
        <f>CHOOSE(1+MOD($O$3+5-2,7),"Mon","Tue","Wed","Thu","Fri","Sat","Sun")</f>
        <v>Fri</v>
      </c>
      <c r="W9" s="99" t="str">
        <f>CHOOSE(1+MOD($O$3+6-2,7),"Mon","Tue","Wed","Thu","Fri","Sat","Sun")</f>
        <v>Sat</v>
      </c>
      <c r="X9" s="98" t="str">
        <f>CHOOSE(1+MOD($O$3+7-2,7),"Mon","Tue","Wed","Thu","Fri","Sat","Sun")</f>
        <v>Sun</v>
      </c>
    </row>
    <row r="10" spans="1:25" s="148" customFormat="1" ht="45.95" customHeight="1" x14ac:dyDescent="0.3">
      <c r="A10" s="88"/>
      <c r="B10" s="129">
        <f>IF(WEEKDAY(B8,2)=$O$3,B8,"")</f>
        <v>43101</v>
      </c>
      <c r="C10" s="131">
        <f>IF(B10="",IF(WEEKDAY(B8,1)=MOD($O$3+1,7)+1,B8,""),B10+1)</f>
        <v>43102</v>
      </c>
      <c r="D10" s="131">
        <f>IF(C10="",IF(WEEKDAY(B8,1)=MOD($O$3+2,7)+1,B8,""),C10+1)</f>
        <v>43103</v>
      </c>
      <c r="E10" s="131">
        <f>IF(D10="",IF(WEEKDAY(B8,1)=MOD($O$3+3,7)+1,B8,""),D10+1)</f>
        <v>43104</v>
      </c>
      <c r="F10" s="131">
        <f>IF(E10="",IF(WEEKDAY(B8,1)=MOD($O$3+4,7)+1,B8,""),E10+1)</f>
        <v>43105</v>
      </c>
      <c r="G10" s="132">
        <f>IF(F10="",IF(WEEKDAY(B8,1)=MOD($O$3+5,7)+1,B8,""),F10+1)</f>
        <v>43106</v>
      </c>
      <c r="H10" s="133">
        <f>IF(G10="",IF(WEEKDAY(B8,1)=MOD($O$3+6,7)+1,B8,""),G10+1)</f>
        <v>43107</v>
      </c>
      <c r="I10" s="93"/>
      <c r="J10" s="92" t="str">
        <f>IF(WEEKDAY(J8,2)=$O$3,J8,"")</f>
        <v/>
      </c>
      <c r="K10" s="91" t="str">
        <f>IF(J10="",IF(WEEKDAY(J8,1)=MOD($O$3+1,7)+1,J8,""),J10+1)</f>
        <v/>
      </c>
      <c r="L10" s="91" t="str">
        <f>IF(K10="",IF(WEEKDAY(J8,1)=MOD($O$3+2,7)+1,J8,""),K10+1)</f>
        <v/>
      </c>
      <c r="M10" s="141">
        <f>IF(L10="",IF(WEEKDAY(J8,1)=MOD($O$3+3,7)+1,J8,""),L10+1)</f>
        <v>43132</v>
      </c>
      <c r="N10" s="141">
        <f>IF(M10="",IF(WEEKDAY(J8,1)=MOD($O$3+4,7)+1,J8,""),M10+1)</f>
        <v>43133</v>
      </c>
      <c r="O10" s="142">
        <f>IF(N10="",IF(WEEKDAY(J8,1)=MOD($O$3+5,7)+1,J8,""),N10+1)</f>
        <v>43134</v>
      </c>
      <c r="P10" s="143">
        <f>IF(O10="",IF(WEEKDAY(J8,1)=MOD($O$3+6,7)+1,J8,""),O10+1)</f>
        <v>43135</v>
      </c>
      <c r="Q10" s="93"/>
      <c r="R10" s="92" t="str">
        <f>IF(WEEKDAY(R8,2)=$O$3,R8,"")</f>
        <v/>
      </c>
      <c r="S10" s="91" t="str">
        <f>IF(R10="",IF(WEEKDAY(R8,1)=MOD($O$3+1,7)+1,R8,""),R10+1)</f>
        <v/>
      </c>
      <c r="T10" s="91" t="str">
        <f>IF(S10="",IF(WEEKDAY(R8,1)=MOD($O$3+2,7)+1,R8,""),S10+1)</f>
        <v/>
      </c>
      <c r="U10" s="141">
        <f>IF(T10="",IF(WEEKDAY(R8,1)=MOD($O$3+3,7)+1,R8,""),T10+1)</f>
        <v>43160</v>
      </c>
      <c r="V10" s="141">
        <f>IF(U10="",IF(WEEKDAY(R8,1)=MOD($O$3+4,7)+1,R8,""),U10+1)</f>
        <v>43161</v>
      </c>
      <c r="W10" s="142">
        <f>IF(V10="",IF(WEEKDAY(R8,1)=MOD($O$3+5,7)+1,R8,""),V10+1)</f>
        <v>43162</v>
      </c>
      <c r="X10" s="143">
        <f>IF(W10="",IF(WEEKDAY(R8,1)=MOD($O$3+6,7)+1,R8,""),W10+1)</f>
        <v>43163</v>
      </c>
    </row>
    <row r="11" spans="1:25" s="149" customFormat="1" ht="45.95" customHeight="1" x14ac:dyDescent="0.2">
      <c r="A11" s="83"/>
      <c r="B11" s="130">
        <f>IF(B10="","",IF(ngay(TEXT(B10,"d"),TEXT(B10,"m"),TEXT(B10,"yyyy"),7)=1,ngay(TEXT(B10,"d"),TEXT(B10,"m"),TEXT(B10,"yyyy"),7)&amp;"/"&amp;thang(TEXT(B10,"d"),TEXT(B10,"m"),TEXT(B10,"yyyy"),7),ngay(TEXT(B10,"d"),TEXT(B10,"m"),TEXT(B10,"yyyy"),7)))</f>
        <v>15</v>
      </c>
      <c r="C11" s="134">
        <f>IF(C10="","",IF(ngay(TEXT(C10,"d"),TEXT(C10,"m"),TEXT(C10,"yyyy"),7)=1,ngay(TEXT(C10,"d"),TEXT(C10,"m"),TEXT(C10,"yyyy"),7)&amp;"/"&amp;thang(TEXT(C10,"d"),TEXT(C10,"m"),TEXT(C10,"yyyy"),7),ngay(TEXT(C10,"d"),TEXT(C10,"m"),TEXT(C10,"yyyy"),7)))</f>
        <v>16</v>
      </c>
      <c r="D11" s="134">
        <f>IF(D10="","",IF(ngay(TEXT(D10,"d"),TEXT(D10,"m"),TEXT(D10,"yyyy"),7)=1,ngay(TEXT(D10,"d"),TEXT(D10,"m"),TEXT(D10,"yyyy"),7)&amp;"/"&amp;thang(TEXT(D10,"d"),TEXT(D10,"m"),TEXT(D10,"yyyy"),7),ngay(TEXT(D10,"d"),TEXT(D10,"m"),TEXT(D10,"yyyy"),7)))</f>
        <v>17</v>
      </c>
      <c r="E11" s="134">
        <f>IF(E10="","",IF(ngay(TEXT(E10,"d"),TEXT(E10,"m"),TEXT(E10,"yyyy"),7)=1,ngay(TEXT(E10,"d"),TEXT(E10,"m"),TEXT(E10,"yyyy"),7)&amp;"/"&amp;thang(TEXT(E10,"d"),TEXT(E10,"m"),TEXT(E10,"yyyy"),7),ngay(TEXT(E10,"d"),TEXT(E10,"m"),TEXT(E10,"yyyy"),7)))</f>
        <v>18</v>
      </c>
      <c r="F11" s="134">
        <f>IF(F10="","",IF(ngay(TEXT(F10,"d"),TEXT(F10,"m"),TEXT(F10,"yyyy"),7)=1,ngay(TEXT(F10,"d"),TEXT(F10,"m"),TEXT(F10,"yyyy"),7)&amp;"/"&amp;thang(TEXT(F10,"d"),TEXT(F10,"m"),TEXT(F10,"yyyy"),7),ngay(TEXT(F10,"d"),TEXT(F10,"m"),TEXT(F10,"yyyy"),7)))</f>
        <v>19</v>
      </c>
      <c r="G11" s="134">
        <f>IF(G10="","",IF(ngay(TEXT(G10,"d"),TEXT(G10,"m"),TEXT(G10,"yyyy"),7)=1,ngay(TEXT(G10,"d"),TEXT(G10,"m"),TEXT(G10,"yyyy"),7)&amp;"/"&amp;thang(TEXT(G10,"d"),TEXT(G10,"m"),TEXT(G10,"yyyy"),7),ngay(TEXT(G10,"d"),TEXT(G10,"m"),TEXT(G10,"yyyy"),7)))</f>
        <v>20</v>
      </c>
      <c r="H11" s="135">
        <f>IF(H10="","",IF(ngay(TEXT(H10,"d"),TEXT(H10,"m"),TEXT(H10,"yyyy"),7)=1,ngay(TEXT(H10,"d"),TEXT(H10,"m"),TEXT(H10,"yyyy"),7)&amp;"/"&amp;thang(TEXT(H10,"d"),TEXT(H10,"m"),TEXT(H10,"yyyy"),7),ngay(TEXT(H10,"d"),TEXT(H10,"m"),TEXT(H10,"yyyy"),7)))</f>
        <v>21</v>
      </c>
      <c r="I11" s="87"/>
      <c r="J11" s="96" t="str">
        <f>IF(J10="","",IF(ngay(TEXT(J10,"d"),TEXT(J10,"m"),TEXT(J10,"yyyy"),7)=1,ngay(TEXT(J10,"d"),TEXT(J10,"m"),TEXT(J10,"yyyy"),7)&amp;"/"&amp;thang(TEXT(J10,"d"),TEXT(J10,"m"),TEXT(J10,"yyyy"),7),ngay(TEXT(J10,"d"),TEXT(J10,"m"),TEXT(J10,"yyyy"),7)))</f>
        <v/>
      </c>
      <c r="K11" s="95" t="str">
        <f>IF(K10="","",IF(ngay(TEXT(K10,"d"),TEXT(K10,"m"),TEXT(K10,"yyyy"),7)=1,ngay(TEXT(K10,"d"),TEXT(K10,"m"),TEXT(K10,"yyyy"),7)&amp;"/"&amp;thang(TEXT(K10,"d"),TEXT(K10,"m"),TEXT(K10,"yyyy"),7),ngay(TEXT(K10,"d"),TEXT(K10,"m"),TEXT(K10,"yyyy"),7)))</f>
        <v/>
      </c>
      <c r="L11" s="95" t="str">
        <f>IF(L10="","",IF(ngay(TEXT(L10,"d"),TEXT(L10,"m"),TEXT(L10,"yyyy"),7)=1,ngay(TEXT(L10,"d"),TEXT(L10,"m"),TEXT(L10,"yyyy"),7)&amp;"/"&amp;thang(TEXT(L10,"d"),TEXT(L10,"m"),TEXT(L10,"yyyy"),7),ngay(TEXT(L10,"d"),TEXT(L10,"m"),TEXT(L10,"yyyy"),7)))</f>
        <v/>
      </c>
      <c r="M11" s="144">
        <f>IF(M10="","",IF(ngay(TEXT(M10,"d"),TEXT(M10,"m"),TEXT(M10,"yyyy"),7)=1,ngay(TEXT(M10,"d"),TEXT(M10,"m"),TEXT(M10,"yyyy"),7)&amp;"/"&amp;thang(TEXT(M10,"d"),TEXT(M10,"m"),TEXT(M10,"yyyy"),7),ngay(TEXT(M10,"d"),TEXT(M10,"m"),TEXT(M10,"yyyy"),7)))</f>
        <v>16</v>
      </c>
      <c r="N11" s="144">
        <f>IF(N10="","",IF(ngay(TEXT(N10,"d"),TEXT(N10,"m"),TEXT(N10,"yyyy"),7)=1,ngay(TEXT(N10,"d"),TEXT(N10,"m"),TEXT(N10,"yyyy"),7)&amp;"/"&amp;thang(TEXT(N10,"d"),TEXT(N10,"m"),TEXT(N10,"yyyy"),7),ngay(TEXT(N10,"d"),TEXT(N10,"m"),TEXT(N10,"yyyy"),7)))</f>
        <v>17</v>
      </c>
      <c r="O11" s="144">
        <f>IF(O10="","",IF(ngay(TEXT(O10,"d"),TEXT(O10,"m"),TEXT(O10,"yyyy"),7)=1,ngay(TEXT(O10,"d"),TEXT(O10,"m"),TEXT(O10,"yyyy"),7)&amp;"/"&amp;thang(TEXT(O10,"d"),TEXT(O10,"m"),TEXT(O10,"yyyy"),7),ngay(TEXT(O10,"d"),TEXT(O10,"m"),TEXT(O10,"yyyy"),7)))</f>
        <v>18</v>
      </c>
      <c r="P11" s="145">
        <f>IF(P10="","",IF(ngay(TEXT(P10,"d"),TEXT(P10,"m"),TEXT(P10,"yyyy"),7)=1,ngay(TEXT(P10,"d"),TEXT(P10,"m"),TEXT(P10,"yyyy"),7)&amp;"/"&amp;thang(TEXT(P10,"d"),TEXT(P10,"m"),TEXT(P10,"yyyy"),7),ngay(TEXT(P10,"d"),TEXT(P10,"m"),TEXT(P10,"yyyy"),7)))</f>
        <v>19</v>
      </c>
      <c r="Q11" s="87"/>
      <c r="R11" s="96" t="str">
        <f>IF(R10="","",IF(ngay(TEXT(R10,"d"),TEXT(R10,"m"),TEXT(R10,"yyyy"),7)=1,ngay(TEXT(R10,"d"),TEXT(R10,"m"),TEXT(R10,"yyyy"),7)&amp;"/"&amp;thang(TEXT(R10,"d"),TEXT(R10,"m"),TEXT(R10,"yyyy"),7),ngay(TEXT(R10,"d"),TEXT(R10,"m"),TEXT(R10,"yyyy"),7)))</f>
        <v/>
      </c>
      <c r="S11" s="95" t="str">
        <f>IF(S10="","",IF(ngay(TEXT(S10,"d"),TEXT(S10,"m"),TEXT(S10,"yyyy"),7)=1,ngay(TEXT(S10,"d"),TEXT(S10,"m"),TEXT(S10,"yyyy"),7)&amp;"/"&amp;thang(TEXT(S10,"d"),TEXT(S10,"m"),TEXT(S10,"yyyy"),7),ngay(TEXT(S10,"d"),TEXT(S10,"m"),TEXT(S10,"yyyy"),7)))</f>
        <v/>
      </c>
      <c r="T11" s="95" t="str">
        <f>IF(T10="","",IF(ngay(TEXT(T10,"d"),TEXT(T10,"m"),TEXT(T10,"yyyy"),7)=1,ngay(TEXT(T10,"d"),TEXT(T10,"m"),TEXT(T10,"yyyy"),7)&amp;"/"&amp;thang(TEXT(T10,"d"),TEXT(T10,"m"),TEXT(T10,"yyyy"),7),ngay(TEXT(T10,"d"),TEXT(T10,"m"),TEXT(T10,"yyyy"),7)))</f>
        <v/>
      </c>
      <c r="U11" s="144">
        <f>IF(U10="","",IF(ngay(TEXT(U10,"d"),TEXT(U10,"m"),TEXT(U10,"yyyy"),7)=1,ngay(TEXT(U10,"d"),TEXT(U10,"m"),TEXT(U10,"yyyy"),7)&amp;"/"&amp;thang(TEXT(U10,"d"),TEXT(U10,"m"),TEXT(U10,"yyyy"),7),ngay(TEXT(U10,"d"),TEXT(U10,"m"),TEXT(U10,"yyyy"),7)))</f>
        <v>14</v>
      </c>
      <c r="V11" s="144">
        <f>IF(V10="","",IF(ngay(TEXT(V10,"d"),TEXT(V10,"m"),TEXT(V10,"yyyy"),7)=1,ngay(TEXT(V10,"d"),TEXT(V10,"m"),TEXT(V10,"yyyy"),7)&amp;"/"&amp;thang(TEXT(V10,"d"),TEXT(V10,"m"),TEXT(V10,"yyyy"),7),ngay(TEXT(V10,"d"),TEXT(V10,"m"),TEXT(V10,"yyyy"),7)))</f>
        <v>15</v>
      </c>
      <c r="W11" s="144">
        <f>IF(W10="","",IF(ngay(TEXT(W10,"d"),TEXT(W10,"m"),TEXT(W10,"yyyy"),7)=1,ngay(TEXT(W10,"d"),TEXT(W10,"m"),TEXT(W10,"yyyy"),7)&amp;"/"&amp;thang(TEXT(W10,"d"),TEXT(W10,"m"),TEXT(W10,"yyyy"),7),ngay(TEXT(W10,"d"),TEXT(W10,"m"),TEXT(W10,"yyyy"),7)))</f>
        <v>16</v>
      </c>
      <c r="X11" s="145">
        <f>IF(X10="","",IF(ngay(TEXT(X10,"d"),TEXT(X10,"m"),TEXT(X10,"yyyy"),7)=1,ngay(TEXT(X10,"d"),TEXT(X10,"m"),TEXT(X10,"yyyy"),7)&amp;"/"&amp;thang(TEXT(X10,"d"),TEXT(X10,"m"),TEXT(X10,"yyyy"),7),ngay(TEXT(X10,"d"),TEXT(X10,"m"),TEXT(X10,"yyyy"),7)))</f>
        <v>17</v>
      </c>
    </row>
    <row r="12" spans="1:25" s="88" customFormat="1" ht="45.95" customHeight="1" x14ac:dyDescent="0.3">
      <c r="B12" s="92">
        <f>IF(H10="","",IF(MONTH(H10+1)&lt;&gt;MONTH(H10),"",H10+1))</f>
        <v>43108</v>
      </c>
      <c r="C12" s="141">
        <f>IF(B12="","",IF(MONTH(B12+1)&lt;&gt;MONTH(B12),"",B12+1))</f>
        <v>43109</v>
      </c>
      <c r="D12" s="141">
        <f>IF(C12="","",IF(MONTH(C12+1)&lt;&gt;MONTH(C12),"",C12+1))</f>
        <v>43110</v>
      </c>
      <c r="E12" s="141">
        <f>IF(D12="","",IF(MONTH(D12+1)&lt;&gt;MONTH(D12),"",D12+1))</f>
        <v>43111</v>
      </c>
      <c r="F12" s="141">
        <f>IF(E12="","",IF(MONTH(E12+1)&lt;&gt;MONTH(E12),"",E12+1))</f>
        <v>43112</v>
      </c>
      <c r="G12" s="142">
        <f>IF(F12="","",IF(MONTH(F12+1)&lt;&gt;MONTH(F12),"",F12+1))</f>
        <v>43113</v>
      </c>
      <c r="H12" s="143">
        <f>IF(G12="","",IF(MONTH(G12+1)&lt;&gt;MONTH(G12),"",G12+1))</f>
        <v>43114</v>
      </c>
      <c r="I12" s="93"/>
      <c r="J12" s="129">
        <f>IF(P10="","",IF(MONTH(P10+1)&lt;&gt;MONTH(P10),"",P10+1))</f>
        <v>43136</v>
      </c>
      <c r="K12" s="136">
        <f>IF(J12="","",IF(MONTH(J12+1)&lt;&gt;MONTH(J12),"",J12+1))</f>
        <v>43137</v>
      </c>
      <c r="L12" s="136">
        <f>IF(K12="","",IF(MONTH(K12+1)&lt;&gt;MONTH(K12),"",K12+1))</f>
        <v>43138</v>
      </c>
      <c r="M12" s="136">
        <f>IF(L12="","",IF(MONTH(L12+1)&lt;&gt;MONTH(L12),"",L12+1))</f>
        <v>43139</v>
      </c>
      <c r="N12" s="136">
        <f>IF(M12="","",IF(MONTH(M12+1)&lt;&gt;MONTH(M12),"",M12+1))</f>
        <v>43140</v>
      </c>
      <c r="O12" s="138">
        <f>IF(N12="","",IF(MONTH(N12+1)&lt;&gt;MONTH(N12),"",N12+1))</f>
        <v>43141</v>
      </c>
      <c r="P12" s="139">
        <f>IF(O12="","",IF(MONTH(O12+1)&lt;&gt;MONTH(O12),"",O12+1))</f>
        <v>43142</v>
      </c>
      <c r="Q12" s="93"/>
      <c r="R12" s="92">
        <f>IF(X10="","",IF(MONTH(X10+1)&lt;&gt;MONTH(X10),"",X10+1))</f>
        <v>43164</v>
      </c>
      <c r="S12" s="91">
        <f>IF(R12="","",IF(MONTH(R12+1)&lt;&gt;MONTH(R12),"",R12+1))</f>
        <v>43165</v>
      </c>
      <c r="T12" s="91">
        <f>IF(S12="","",IF(MONTH(S12+1)&lt;&gt;MONTH(S12),"",S12+1))</f>
        <v>43166</v>
      </c>
      <c r="U12" s="91">
        <f>IF(T12="","",IF(MONTH(T12+1)&lt;&gt;MONTH(T12),"",T12+1))</f>
        <v>43167</v>
      </c>
      <c r="V12" s="91">
        <f>IF(U12="","",IF(MONTH(U12+1)&lt;&gt;MONTH(U12),"",U12+1))</f>
        <v>43168</v>
      </c>
      <c r="W12" s="90">
        <f>IF(V12="","",IF(MONTH(V12+1)&lt;&gt;MONTH(V12),"",V12+1))</f>
        <v>43169</v>
      </c>
      <c r="X12" s="89">
        <f>IF(W12="","",IF(MONTH(W12+1)&lt;&gt;MONTH(W12),"",W12+1))</f>
        <v>43170</v>
      </c>
    </row>
    <row r="13" spans="1:25" s="83" customFormat="1" ht="45.95" customHeight="1" x14ac:dyDescent="0.2">
      <c r="B13" s="96">
        <f>IF(B12="","",IF(ngay(TEXT(B12,"d"),TEXT(B12,"m"),TEXT(B12,"yyyy"),7)=1,ngay(TEXT(B12,"d"),TEXT(B12,"m"),TEXT(B12,"yyyy"),7)&amp;"/"&amp;thang(TEXT(B12,"d"),TEXT(B12,"m"),TEXT(B12,"yyyy"),7),ngay(TEXT(B12,"d"),TEXT(B12,"m"),TEXT(B12,"yyyy"),7)))</f>
        <v>22</v>
      </c>
      <c r="C13" s="144">
        <f>IF(C12="","",IF(ngay(TEXT(C12,"d"),TEXT(C12,"m"),TEXT(C12,"yyyy"),7)=1,ngay(TEXT(C12,"d"),TEXT(C12,"m"),TEXT(C12,"yyyy"),7)&amp;"/"&amp;thang(TEXT(C12,"d"),TEXT(C12,"m"),TEXT(C12,"yyyy"),7),ngay(TEXT(C12,"d"),TEXT(C12,"m"),TEXT(C12,"yyyy"),7)))</f>
        <v>23</v>
      </c>
      <c r="D13" s="144">
        <f>IF(D12="","",IF(ngay(TEXT(D12,"d"),TEXT(D12,"m"),TEXT(D12,"yyyy"),7)=1,ngay(TEXT(D12,"d"),TEXT(D12,"m"),TEXT(D12,"yyyy"),7)&amp;"/"&amp;thang(TEXT(D12,"d"),TEXT(D12,"m"),TEXT(D12,"yyyy"),7),ngay(TEXT(D12,"d"),TEXT(D12,"m"),TEXT(D12,"yyyy"),7)))</f>
        <v>24</v>
      </c>
      <c r="E13" s="144">
        <f>IF(E12="","",IF(ngay(TEXT(E12,"d"),TEXT(E12,"m"),TEXT(E12,"yyyy"),7)=1,ngay(TEXT(E12,"d"),TEXT(E12,"m"),TEXT(E12,"yyyy"),7)&amp;"/"&amp;thang(TEXT(E12,"d"),TEXT(E12,"m"),TEXT(E12,"yyyy"),7),ngay(TEXT(E12,"d"),TEXT(E12,"m"),TEXT(E12,"yyyy"),7)))</f>
        <v>25</v>
      </c>
      <c r="F13" s="144">
        <f>IF(F12="","",IF(ngay(TEXT(F12,"d"),TEXT(F12,"m"),TEXT(F12,"yyyy"),7)=1,ngay(TEXT(F12,"d"),TEXT(F12,"m"),TEXT(F12,"yyyy"),7)&amp;"/"&amp;thang(TEXT(F12,"d"),TEXT(F12,"m"),TEXT(F12,"yyyy"),7),ngay(TEXT(F12,"d"),TEXT(F12,"m"),TEXT(F12,"yyyy"),7)))</f>
        <v>26</v>
      </c>
      <c r="G13" s="144">
        <f>IF(G12="","",IF(ngay(TEXT(G12,"d"),TEXT(G12,"m"),TEXT(G12,"yyyy"),7)=1,ngay(TEXT(G12,"d"),TEXT(G12,"m"),TEXT(G12,"yyyy"),7)&amp;"/"&amp;thang(TEXT(G12,"d"),TEXT(G12,"m"),TEXT(G12,"yyyy"),7),ngay(TEXT(G12,"d"),TEXT(G12,"m"),TEXT(G12,"yyyy"),7)))</f>
        <v>27</v>
      </c>
      <c r="H13" s="145">
        <f>IF(H12="","",IF(ngay(TEXT(H12,"d"),TEXT(H12,"m"),TEXT(H12,"yyyy"),7)=1,ngay(TEXT(H12,"d"),TEXT(H12,"m"),TEXT(H12,"yyyy"),7)&amp;"/"&amp;thang(TEXT(H12,"d"),TEXT(H12,"m"),TEXT(H12,"yyyy"),7),ngay(TEXT(H12,"d"),TEXT(H12,"m"),TEXT(H12,"yyyy"),7)))</f>
        <v>28</v>
      </c>
      <c r="I13" s="87"/>
      <c r="J13" s="130">
        <f>IF(J12="","",IF(ngay(TEXT(J12,"d"),TEXT(J12,"m"),TEXT(J12,"yyyy"),7)=1,ngay(TEXT(J12,"d"),TEXT(J12,"m"),TEXT(J12,"yyyy"),7)&amp;"/"&amp;thang(TEXT(J12,"d"),TEXT(J12,"m"),TEXT(J12,"yyyy"),7),ngay(TEXT(J12,"d"),TEXT(J12,"m"),TEXT(J12,"yyyy"),7)))</f>
        <v>20</v>
      </c>
      <c r="K13" s="137">
        <f>IF(K12="","",IF(ngay(TEXT(K12,"d"),TEXT(K12,"m"),TEXT(K12,"yyyy"),7)=1,ngay(TEXT(K12,"d"),TEXT(K12,"m"),TEXT(K12,"yyyy"),7)&amp;"/"&amp;thang(TEXT(K12,"d"),TEXT(K12,"m"),TEXT(K12,"yyyy"),7),ngay(TEXT(K12,"d"),TEXT(K12,"m"),TEXT(K12,"yyyy"),7)))</f>
        <v>21</v>
      </c>
      <c r="L13" s="137">
        <f>IF(L12="","",IF(ngay(TEXT(L12,"d"),TEXT(L12,"m"),TEXT(L12,"yyyy"),7)=1,ngay(TEXT(L12,"d"),TEXT(L12,"m"),TEXT(L12,"yyyy"),7)&amp;"/"&amp;thang(TEXT(L12,"d"),TEXT(L12,"m"),TEXT(L12,"yyyy"),7),ngay(TEXT(L12,"d"),TEXT(L12,"m"),TEXT(L12,"yyyy"),7)))</f>
        <v>22</v>
      </c>
      <c r="M13" s="137">
        <f>IF(M12="","",IF(ngay(TEXT(M12,"d"),TEXT(M12,"m"),TEXT(M12,"yyyy"),7)=1,ngay(TEXT(M12,"d"),TEXT(M12,"m"),TEXT(M12,"yyyy"),7)&amp;"/"&amp;thang(TEXT(M12,"d"),TEXT(M12,"m"),TEXT(M12,"yyyy"),7),ngay(TEXT(M12,"d"),TEXT(M12,"m"),TEXT(M12,"yyyy"),7)))</f>
        <v>23</v>
      </c>
      <c r="N13" s="137">
        <f>IF(N12="","",IF(ngay(TEXT(N12,"d"),TEXT(N12,"m"),TEXT(N12,"yyyy"),7)=1,ngay(TEXT(N12,"d"),TEXT(N12,"m"),TEXT(N12,"yyyy"),7)&amp;"/"&amp;thang(TEXT(N12,"d"),TEXT(N12,"m"),TEXT(N12,"yyyy"),7),ngay(TEXT(N12,"d"),TEXT(N12,"m"),TEXT(N12,"yyyy"),7)))</f>
        <v>24</v>
      </c>
      <c r="O13" s="137">
        <f>IF(O12="","",IF(ngay(TEXT(O12,"d"),TEXT(O12,"m"),TEXT(O12,"yyyy"),7)=1,ngay(TEXT(O12,"d"),TEXT(O12,"m"),TEXT(O12,"yyyy"),7)&amp;"/"&amp;thang(TEXT(O12,"d"),TEXT(O12,"m"),TEXT(O12,"yyyy"),7),ngay(TEXT(O12,"d"),TEXT(O12,"m"),TEXT(O12,"yyyy"),7)))</f>
        <v>25</v>
      </c>
      <c r="P13" s="140">
        <f>IF(P12="","",IF(ngay(TEXT(P12,"d"),TEXT(P12,"m"),TEXT(P12,"yyyy"),7)=1,ngay(TEXT(P12,"d"),TEXT(P12,"m"),TEXT(P12,"yyyy"),7)&amp;"/"&amp;thang(TEXT(P12,"d"),TEXT(P12,"m"),TEXT(P12,"yyyy"),7),ngay(TEXT(P12,"d"),TEXT(P12,"m"),TEXT(P12,"yyyy"),7)))</f>
        <v>26</v>
      </c>
      <c r="Q13" s="87"/>
      <c r="R13" s="96">
        <f>IF(R12="","",IF(ngay(TEXT(R12,"d"),TEXT(R12,"m"),TEXT(R12,"yyyy"),7)=1,ngay(TEXT(R12,"d"),TEXT(R12,"m"),TEXT(R12,"yyyy"),7)&amp;"/"&amp;thang(TEXT(R12,"d"),TEXT(R12,"m"),TEXT(R12,"yyyy"),7),ngay(TEXT(R12,"d"),TEXT(R12,"m"),TEXT(R12,"yyyy"),7)))</f>
        <v>18</v>
      </c>
      <c r="S13" s="95">
        <f>IF(S12="","",IF(ngay(TEXT(S12,"d"),TEXT(S12,"m"),TEXT(S12,"yyyy"),7)=1,ngay(TEXT(S12,"d"),TEXT(S12,"m"),TEXT(S12,"yyyy"),7)&amp;"/"&amp;thang(TEXT(S12,"d"),TEXT(S12,"m"),TEXT(S12,"yyyy"),7),ngay(TEXT(S12,"d"),TEXT(S12,"m"),TEXT(S12,"yyyy"),7)))</f>
        <v>19</v>
      </c>
      <c r="T13" s="95">
        <f>IF(T12="","",IF(ngay(TEXT(T12,"d"),TEXT(T12,"m"),TEXT(T12,"yyyy"),7)=1,ngay(TEXT(T12,"d"),TEXT(T12,"m"),TEXT(T12,"yyyy"),7)&amp;"/"&amp;thang(TEXT(T12,"d"),TEXT(T12,"m"),TEXT(T12,"yyyy"),7),ngay(TEXT(T12,"d"),TEXT(T12,"m"),TEXT(T12,"yyyy"),7)))</f>
        <v>20</v>
      </c>
      <c r="U13" s="95">
        <f>IF(U12="","",IF(ngay(TEXT(U12,"d"),TEXT(U12,"m"),TEXT(U12,"yyyy"),7)=1,ngay(TEXT(U12,"d"),TEXT(U12,"m"),TEXT(U12,"yyyy"),7)&amp;"/"&amp;thang(TEXT(U12,"d"),TEXT(U12,"m"),TEXT(U12,"yyyy"),7),ngay(TEXT(U12,"d"),TEXT(U12,"m"),TEXT(U12,"yyyy"),7)))</f>
        <v>21</v>
      </c>
      <c r="V13" s="95">
        <f>IF(V12="","",IF(ngay(TEXT(V12,"d"),TEXT(V12,"m"),TEXT(V12,"yyyy"),7)=1,ngay(TEXT(V12,"d"),TEXT(V12,"m"),TEXT(V12,"yyyy"),7)&amp;"/"&amp;thang(TEXT(V12,"d"),TEXT(V12,"m"),TEXT(V12,"yyyy"),7),ngay(TEXT(V12,"d"),TEXT(V12,"m"),TEXT(V12,"yyyy"),7)))</f>
        <v>22</v>
      </c>
      <c r="W13" s="95">
        <f>IF(W12="","",IF(ngay(TEXT(W12,"d"),TEXT(W12,"m"),TEXT(W12,"yyyy"),7)=1,ngay(TEXT(W12,"d"),TEXT(W12,"m"),TEXT(W12,"yyyy"),7)&amp;"/"&amp;thang(TEXT(W12,"d"),TEXT(W12,"m"),TEXT(W12,"yyyy"),7),ngay(TEXT(W12,"d"),TEXT(W12,"m"),TEXT(W12,"yyyy"),7)))</f>
        <v>23</v>
      </c>
      <c r="X13" s="94">
        <f>IF(X12="","",IF(ngay(TEXT(X12,"d"),TEXT(X12,"m"),TEXT(X12,"yyyy"),7)=1,ngay(TEXT(X12,"d"),TEXT(X12,"m"),TEXT(X12,"yyyy"),7)&amp;"/"&amp;thang(TEXT(X12,"d"),TEXT(X12,"m"),TEXT(X12,"yyyy"),7),ngay(TEXT(X12,"d"),TEXT(X12,"m"),TEXT(X12,"yyyy"),7)))</f>
        <v>24</v>
      </c>
    </row>
    <row r="14" spans="1:25" s="88" customFormat="1" ht="45.95" customHeight="1" x14ac:dyDescent="0.3">
      <c r="B14" s="92">
        <f>IF(H12="","",IF(MONTH(H12+1)&lt;&gt;MONTH(H12),"",H12+1))</f>
        <v>43115</v>
      </c>
      <c r="C14" s="141">
        <f>IF(B14="","",IF(MONTH(B14+1)&lt;&gt;MONTH(B14),"",B14+1))</f>
        <v>43116</v>
      </c>
      <c r="D14" s="141">
        <f>IF(C14="","",IF(MONTH(C14+1)&lt;&gt;MONTH(C14),"",C14+1))</f>
        <v>43117</v>
      </c>
      <c r="E14" s="141">
        <f>IF(D14="","",IF(MONTH(D14+1)&lt;&gt;MONTH(D14),"",D14+1))</f>
        <v>43118</v>
      </c>
      <c r="F14" s="141">
        <f>IF(E14="","",IF(MONTH(E14+1)&lt;&gt;MONTH(E14),"",E14+1))</f>
        <v>43119</v>
      </c>
      <c r="G14" s="142">
        <f>IF(F14="","",IF(MONTH(F14+1)&lt;&gt;MONTH(F14),"",F14+1))</f>
        <v>43120</v>
      </c>
      <c r="H14" s="143">
        <f>IF(G14="","",IF(MONTH(G14+1)&lt;&gt;MONTH(G14),"",G14+1))</f>
        <v>43121</v>
      </c>
      <c r="I14" s="93"/>
      <c r="J14" s="129">
        <f>IF(P12="","",IF(MONTH(P12+1)&lt;&gt;MONTH(P12),"",P12+1))</f>
        <v>43143</v>
      </c>
      <c r="K14" s="136">
        <f>IF(J14="","",IF(MONTH(J14+1)&lt;&gt;MONTH(J14),"",J14+1))</f>
        <v>43144</v>
      </c>
      <c r="L14" s="136">
        <f>IF(K14="","",IF(MONTH(K14+1)&lt;&gt;MONTH(K14),"",K14+1))</f>
        <v>43145</v>
      </c>
      <c r="M14" s="136">
        <f>IF(L14="","",IF(MONTH(L14+1)&lt;&gt;MONTH(L14),"",L14+1))</f>
        <v>43146</v>
      </c>
      <c r="N14" s="136">
        <f>IF(M14="","",IF(MONTH(M14+1)&lt;&gt;MONTH(M14),"",M14+1))</f>
        <v>43147</v>
      </c>
      <c r="O14" s="138">
        <f>IF(N14="","",IF(MONTH(N14+1)&lt;&gt;MONTH(N14),"",N14+1))</f>
        <v>43148</v>
      </c>
      <c r="P14" s="139">
        <f>IF(O14="","",IF(MONTH(O14+1)&lt;&gt;MONTH(O14),"",O14+1))</f>
        <v>43149</v>
      </c>
      <c r="Q14" s="93"/>
      <c r="R14" s="92">
        <f>IF(X12="","",IF(MONTH(X12+1)&lt;&gt;MONTH(X12),"",X12+1))</f>
        <v>43171</v>
      </c>
      <c r="S14" s="91">
        <f>IF(R14="","",IF(MONTH(R14+1)&lt;&gt;MONTH(R14),"",R14+1))</f>
        <v>43172</v>
      </c>
      <c r="T14" s="91">
        <f>IF(S14="","",IF(MONTH(S14+1)&lt;&gt;MONTH(S14),"",S14+1))</f>
        <v>43173</v>
      </c>
      <c r="U14" s="91">
        <f>IF(T14="","",IF(MONTH(T14+1)&lt;&gt;MONTH(T14),"",T14+1))</f>
        <v>43174</v>
      </c>
      <c r="V14" s="91">
        <f>IF(U14="","",IF(MONTH(U14+1)&lt;&gt;MONTH(U14),"",U14+1))</f>
        <v>43175</v>
      </c>
      <c r="W14" s="90">
        <f>IF(V14="","",IF(MONTH(V14+1)&lt;&gt;MONTH(V14),"",V14+1))</f>
        <v>43176</v>
      </c>
      <c r="X14" s="89">
        <f>IF(W14="","",IF(MONTH(W14+1)&lt;&gt;MONTH(W14),"",W14+1))</f>
        <v>43177</v>
      </c>
    </row>
    <row r="15" spans="1:25" s="83" customFormat="1" ht="45.95" customHeight="1" x14ac:dyDescent="0.2">
      <c r="B15" s="96">
        <f>IF(B14="","",IF(ngay(TEXT(B14,"d"),TEXT(B14,"m"),TEXT(B14,"yyyy"),7)=1,ngay(TEXT(B14,"d"),TEXT(B14,"m"),TEXT(B14,"yyyy"),7)&amp;"/"&amp;thang(TEXT(B14,"d"),TEXT(B14,"m"),TEXT(B14,"yyyy"),7),ngay(TEXT(B14,"d"),TEXT(B14,"m"),TEXT(B14,"yyyy"),7)))</f>
        <v>29</v>
      </c>
      <c r="C15" s="144">
        <f>IF(C14="","",IF(ngay(TEXT(C14,"d"),TEXT(C14,"m"),TEXT(C14,"yyyy"),7)=1,ngay(TEXT(C14,"d"),TEXT(C14,"m"),TEXT(C14,"yyyy"),7)&amp;"/"&amp;thang(TEXT(C14,"d"),TEXT(C14,"m"),TEXT(C14,"yyyy"),7),ngay(TEXT(C14,"d"),TEXT(C14,"m"),TEXT(C14,"yyyy"),7)))</f>
        <v>30</v>
      </c>
      <c r="D15" s="144" t="str">
        <f>IF(D14="","",IF(ngay(TEXT(D14,"d"),TEXT(D14,"m"),TEXT(D14,"yyyy"),7)=1,ngay(TEXT(D14,"d"),TEXT(D14,"m"),TEXT(D14,"yyyy"),7)&amp;"/"&amp;thang(TEXT(D14,"d"),TEXT(D14,"m"),TEXT(D14,"yyyy"),7),ngay(TEXT(D14,"d"),TEXT(D14,"m"),TEXT(D14,"yyyy"),7)))</f>
        <v>1/12</v>
      </c>
      <c r="E15" s="144">
        <f>IF(E14="","",IF(ngay(TEXT(E14,"d"),TEXT(E14,"m"),TEXT(E14,"yyyy"),7)=1,ngay(TEXT(E14,"d"),TEXT(E14,"m"),TEXT(E14,"yyyy"),7)&amp;"/"&amp;thang(TEXT(E14,"d"),TEXT(E14,"m"),TEXT(E14,"yyyy"),7),ngay(TEXT(E14,"d"),TEXT(E14,"m"),TEXT(E14,"yyyy"),7)))</f>
        <v>2</v>
      </c>
      <c r="F15" s="144">
        <f>IF(F14="","",IF(ngay(TEXT(F14,"d"),TEXT(F14,"m"),TEXT(F14,"yyyy"),7)=1,ngay(TEXT(F14,"d"),TEXT(F14,"m"),TEXT(F14,"yyyy"),7)&amp;"/"&amp;thang(TEXT(F14,"d"),TEXT(F14,"m"),TEXT(F14,"yyyy"),7),ngay(TEXT(F14,"d"),TEXT(F14,"m"),TEXT(F14,"yyyy"),7)))</f>
        <v>3</v>
      </c>
      <c r="G15" s="144">
        <f>IF(G14="","",IF(ngay(TEXT(G14,"d"),TEXT(G14,"m"),TEXT(G14,"yyyy"),7)=1,ngay(TEXT(G14,"d"),TEXT(G14,"m"),TEXT(G14,"yyyy"),7)&amp;"/"&amp;thang(TEXT(G14,"d"),TEXT(G14,"m"),TEXT(G14,"yyyy"),7),ngay(TEXT(G14,"d"),TEXT(G14,"m"),TEXT(G14,"yyyy"),7)))</f>
        <v>4</v>
      </c>
      <c r="H15" s="145">
        <f>IF(H14="","",IF(ngay(TEXT(H14,"d"),TEXT(H14,"m"),TEXT(H14,"yyyy"),7)=1,ngay(TEXT(H14,"d"),TEXT(H14,"m"),TEXT(H14,"yyyy"),7)&amp;"/"&amp;thang(TEXT(H14,"d"),TEXT(H14,"m"),TEXT(H14,"yyyy"),7),ngay(TEXT(H14,"d"),TEXT(H14,"m"),TEXT(H14,"yyyy"),7)))</f>
        <v>5</v>
      </c>
      <c r="I15" s="87"/>
      <c r="J15" s="130">
        <f>IF(J14="","",IF(ngay(TEXT(J14,"d"),TEXT(J14,"m"),TEXT(J14,"yyyy"),7)=1,ngay(TEXT(J14,"d"),TEXT(J14,"m"),TEXT(J14,"yyyy"),7)&amp;"/"&amp;thang(TEXT(J14,"d"),TEXT(J14,"m"),TEXT(J14,"yyyy"),7),ngay(TEXT(J14,"d"),TEXT(J14,"m"),TEXT(J14,"yyyy"),7)))</f>
        <v>27</v>
      </c>
      <c r="K15" s="137">
        <f>IF(K14="","",IF(ngay(TEXT(K14,"d"),TEXT(K14,"m"),TEXT(K14,"yyyy"),7)=1,ngay(TEXT(K14,"d"),TEXT(K14,"m"),TEXT(K14,"yyyy"),7)&amp;"/"&amp;thang(TEXT(K14,"d"),TEXT(K14,"m"),TEXT(K14,"yyyy"),7),ngay(TEXT(K14,"d"),TEXT(K14,"m"),TEXT(K14,"yyyy"),7)))</f>
        <v>28</v>
      </c>
      <c r="L15" s="137">
        <f>IF(L14="","",IF(ngay(TEXT(L14,"d"),TEXT(L14,"m"),TEXT(L14,"yyyy"),7)=1,ngay(TEXT(L14,"d"),TEXT(L14,"m"),TEXT(L14,"yyyy"),7)&amp;"/"&amp;thang(TEXT(L14,"d"),TEXT(L14,"m"),TEXT(L14,"yyyy"),7),ngay(TEXT(L14,"d"),TEXT(L14,"m"),TEXT(L14,"yyyy"),7)))</f>
        <v>29</v>
      </c>
      <c r="M15" s="137">
        <f>IF(M14="","",IF(ngay(TEXT(M14,"d"),TEXT(M14,"m"),TEXT(M14,"yyyy"),7)=1,ngay(TEXT(M14,"d"),TEXT(M14,"m"),TEXT(M14,"yyyy"),7)&amp;"/"&amp;thang(TEXT(M14,"d"),TEXT(M14,"m"),TEXT(M14,"yyyy"),7),ngay(TEXT(M14,"d"),TEXT(M14,"m"),TEXT(M14,"yyyy"),7)))</f>
        <v>30</v>
      </c>
      <c r="N15" s="137" t="str">
        <f>IF(N14="","",IF(ngay(TEXT(N14,"d"),TEXT(N14,"m"),TEXT(N14,"yyyy"),7)=1,ngay(TEXT(N14,"d"),TEXT(N14,"m"),TEXT(N14,"yyyy"),7)&amp;"/"&amp;thang(TEXT(N14,"d"),TEXT(N14,"m"),TEXT(N14,"yyyy"),7),ngay(TEXT(N14,"d"),TEXT(N14,"m"),TEXT(N14,"yyyy"),7)))</f>
        <v>1/1</v>
      </c>
      <c r="O15" s="137">
        <f>IF(O14="","",IF(ngay(TEXT(O14,"d"),TEXT(O14,"m"),TEXT(O14,"yyyy"),7)=1,ngay(TEXT(O14,"d"),TEXT(O14,"m"),TEXT(O14,"yyyy"),7)&amp;"/"&amp;thang(TEXT(O14,"d"),TEXT(O14,"m"),TEXT(O14,"yyyy"),7),ngay(TEXT(O14,"d"),TEXT(O14,"m"),TEXT(O14,"yyyy"),7)))</f>
        <v>2</v>
      </c>
      <c r="P15" s="140">
        <f>IF(P14="","",IF(ngay(TEXT(P14,"d"),TEXT(P14,"m"),TEXT(P14,"yyyy"),7)=1,ngay(TEXT(P14,"d"),TEXT(P14,"m"),TEXT(P14,"yyyy"),7)&amp;"/"&amp;thang(TEXT(P14,"d"),TEXT(P14,"m"),TEXT(P14,"yyyy"),7),ngay(TEXT(P14,"d"),TEXT(P14,"m"),TEXT(P14,"yyyy"),7)))</f>
        <v>3</v>
      </c>
      <c r="Q15" s="87"/>
      <c r="R15" s="96">
        <f>IF(R14="","",IF(ngay(TEXT(R14,"d"),TEXT(R14,"m"),TEXT(R14,"yyyy"),7)=1,ngay(TEXT(R14,"d"),TEXT(R14,"m"),TEXT(R14,"yyyy"),7)&amp;"/"&amp;thang(TEXT(R14,"d"),TEXT(R14,"m"),TEXT(R14,"yyyy"),7),ngay(TEXT(R14,"d"),TEXT(R14,"m"),TEXT(R14,"yyyy"),7)))</f>
        <v>25</v>
      </c>
      <c r="S15" s="95">
        <f>IF(S14="","",IF(ngay(TEXT(S14,"d"),TEXT(S14,"m"),TEXT(S14,"yyyy"),7)=1,ngay(TEXT(S14,"d"),TEXT(S14,"m"),TEXT(S14,"yyyy"),7)&amp;"/"&amp;thang(TEXT(S14,"d"),TEXT(S14,"m"),TEXT(S14,"yyyy"),7),ngay(TEXT(S14,"d"),TEXT(S14,"m"),TEXT(S14,"yyyy"),7)))</f>
        <v>26</v>
      </c>
      <c r="T15" s="95">
        <f>IF(T14="","",IF(ngay(TEXT(T14,"d"),TEXT(T14,"m"),TEXT(T14,"yyyy"),7)=1,ngay(TEXT(T14,"d"),TEXT(T14,"m"),TEXT(T14,"yyyy"),7)&amp;"/"&amp;thang(TEXT(T14,"d"),TEXT(T14,"m"),TEXT(T14,"yyyy"),7),ngay(TEXT(T14,"d"),TEXT(T14,"m"),TEXT(T14,"yyyy"),7)))</f>
        <v>27</v>
      </c>
      <c r="U15" s="95">
        <f>IF(U14="","",IF(ngay(TEXT(U14,"d"),TEXT(U14,"m"),TEXT(U14,"yyyy"),7)=1,ngay(TEXT(U14,"d"),TEXT(U14,"m"),TEXT(U14,"yyyy"),7)&amp;"/"&amp;thang(TEXT(U14,"d"),TEXT(U14,"m"),TEXT(U14,"yyyy"),7),ngay(TEXT(U14,"d"),TEXT(U14,"m"),TEXT(U14,"yyyy"),7)))</f>
        <v>28</v>
      </c>
      <c r="V15" s="95">
        <f>IF(V14="","",IF(ngay(TEXT(V14,"d"),TEXT(V14,"m"),TEXT(V14,"yyyy"),7)=1,ngay(TEXT(V14,"d"),TEXT(V14,"m"),TEXT(V14,"yyyy"),7)&amp;"/"&amp;thang(TEXT(V14,"d"),TEXT(V14,"m"),TEXT(V14,"yyyy"),7),ngay(TEXT(V14,"d"),TEXT(V14,"m"),TEXT(V14,"yyyy"),7)))</f>
        <v>29</v>
      </c>
      <c r="W15" s="95" t="str">
        <f>IF(W14="","",IF(ngay(TEXT(W14,"d"),TEXT(W14,"m"),TEXT(W14,"yyyy"),7)=1,ngay(TEXT(W14,"d"),TEXT(W14,"m"),TEXT(W14,"yyyy"),7)&amp;"/"&amp;thang(TEXT(W14,"d"),TEXT(W14,"m"),TEXT(W14,"yyyy"),7),ngay(TEXT(W14,"d"),TEXT(W14,"m"),TEXT(W14,"yyyy"),7)))</f>
        <v>1/2</v>
      </c>
      <c r="X15" s="94">
        <f>IF(X14="","",IF(ngay(TEXT(X14,"d"),TEXT(X14,"m"),TEXT(X14,"yyyy"),7)=1,ngay(TEXT(X14,"d"),TEXT(X14,"m"),TEXT(X14,"yyyy"),7)&amp;"/"&amp;thang(TEXT(X14,"d"),TEXT(X14,"m"),TEXT(X14,"yyyy"),7),ngay(TEXT(X14,"d"),TEXT(X14,"m"),TEXT(X14,"yyyy"),7)))</f>
        <v>2</v>
      </c>
    </row>
    <row r="16" spans="1:25" s="88" customFormat="1" ht="45.95" customHeight="1" x14ac:dyDescent="0.3">
      <c r="B16" s="92">
        <f>IF(H14="","",IF(MONTH(H14+1)&lt;&gt;MONTH(H14),"",H14+1))</f>
        <v>43122</v>
      </c>
      <c r="C16" s="141">
        <f>IF(B16="","",IF(MONTH(B16+1)&lt;&gt;MONTH(B16),"",B16+1))</f>
        <v>43123</v>
      </c>
      <c r="D16" s="141">
        <f>IF(C16="","",IF(MONTH(C16+1)&lt;&gt;MONTH(C16),"",C16+1))</f>
        <v>43124</v>
      </c>
      <c r="E16" s="141">
        <f>IF(D16="","",IF(MONTH(D16+1)&lt;&gt;MONTH(D16),"",D16+1))</f>
        <v>43125</v>
      </c>
      <c r="F16" s="141">
        <f>IF(E16="","",IF(MONTH(E16+1)&lt;&gt;MONTH(E16),"",E16+1))</f>
        <v>43126</v>
      </c>
      <c r="G16" s="142">
        <f>IF(F16="","",IF(MONTH(F16+1)&lt;&gt;MONTH(F16),"",F16+1))</f>
        <v>43127</v>
      </c>
      <c r="H16" s="143">
        <f>IF(G16="","",IF(MONTH(G16+1)&lt;&gt;MONTH(G16),"",G16+1))</f>
        <v>43128</v>
      </c>
      <c r="I16" s="93"/>
      <c r="J16" s="129">
        <f>IF(P14="","",IF(MONTH(P14+1)&lt;&gt;MONTH(P14),"",P14+1))</f>
        <v>43150</v>
      </c>
      <c r="K16" s="136">
        <f>IF(J16="","",IF(MONTH(J16+1)&lt;&gt;MONTH(J16),"",J16+1))</f>
        <v>43151</v>
      </c>
      <c r="L16" s="136">
        <f>IF(K16="","",IF(MONTH(K16+1)&lt;&gt;MONTH(K16),"",K16+1))</f>
        <v>43152</v>
      </c>
      <c r="M16" s="136">
        <f>IF(L16="","",IF(MONTH(L16+1)&lt;&gt;MONTH(L16),"",L16+1))</f>
        <v>43153</v>
      </c>
      <c r="N16" s="136">
        <f>IF(M16="","",IF(MONTH(M16+1)&lt;&gt;MONTH(M16),"",M16+1))</f>
        <v>43154</v>
      </c>
      <c r="O16" s="138">
        <f>IF(N16="","",IF(MONTH(N16+1)&lt;&gt;MONTH(N16),"",N16+1))</f>
        <v>43155</v>
      </c>
      <c r="P16" s="139">
        <f>IF(O16="","",IF(MONTH(O16+1)&lt;&gt;MONTH(O16),"",O16+1))</f>
        <v>43156</v>
      </c>
      <c r="Q16" s="93"/>
      <c r="R16" s="92">
        <f>IF(X14="","",IF(MONTH(X14+1)&lt;&gt;MONTH(X14),"",X14+1))</f>
        <v>43178</v>
      </c>
      <c r="S16" s="91">
        <f>IF(R16="","",IF(MONTH(R16+1)&lt;&gt;MONTH(R16),"",R16+1))</f>
        <v>43179</v>
      </c>
      <c r="T16" s="91">
        <f>IF(S16="","",IF(MONTH(S16+1)&lt;&gt;MONTH(S16),"",S16+1))</f>
        <v>43180</v>
      </c>
      <c r="U16" s="91">
        <f>IF(T16="","",IF(MONTH(T16+1)&lt;&gt;MONTH(T16),"",T16+1))</f>
        <v>43181</v>
      </c>
      <c r="V16" s="91">
        <f>IF(U16="","",IF(MONTH(U16+1)&lt;&gt;MONTH(U16),"",U16+1))</f>
        <v>43182</v>
      </c>
      <c r="W16" s="90">
        <f>IF(V16="","",IF(MONTH(V16+1)&lt;&gt;MONTH(V16),"",V16+1))</f>
        <v>43183</v>
      </c>
      <c r="X16" s="89">
        <f>IF(W16="","",IF(MONTH(W16+1)&lt;&gt;MONTH(W16),"",W16+1))</f>
        <v>43184</v>
      </c>
    </row>
    <row r="17" spans="1:24" s="83" customFormat="1" ht="45.95" customHeight="1" x14ac:dyDescent="0.2">
      <c r="B17" s="96">
        <f>IF(B16="","",IF(ngay(TEXT(B16,"d"),TEXT(B16,"m"),TEXT(B16,"yyyy"),7)=1,ngay(TEXT(B16,"d"),TEXT(B16,"m"),TEXT(B16,"yyyy"),7)&amp;"/"&amp;thang(TEXT(B16,"d"),TEXT(B16,"m"),TEXT(B16,"yyyy"),7),ngay(TEXT(B16,"d"),TEXT(B16,"m"),TEXT(B16,"yyyy"),7)))</f>
        <v>6</v>
      </c>
      <c r="C17" s="144">
        <f>IF(C16="","",IF(ngay(TEXT(C16,"d"),TEXT(C16,"m"),TEXT(C16,"yyyy"),7)=1,ngay(TEXT(C16,"d"),TEXT(C16,"m"),TEXT(C16,"yyyy"),7)&amp;"/"&amp;thang(TEXT(C16,"d"),TEXT(C16,"m"),TEXT(C16,"yyyy"),7),ngay(TEXT(C16,"d"),TEXT(C16,"m"),TEXT(C16,"yyyy"),7)))</f>
        <v>7</v>
      </c>
      <c r="D17" s="144">
        <f>IF(D16="","",IF(ngay(TEXT(D16,"d"),TEXT(D16,"m"),TEXT(D16,"yyyy"),7)=1,ngay(TEXT(D16,"d"),TEXT(D16,"m"),TEXT(D16,"yyyy"),7)&amp;"/"&amp;thang(TEXT(D16,"d"),TEXT(D16,"m"),TEXT(D16,"yyyy"),7),ngay(TEXT(D16,"d"),TEXT(D16,"m"),TEXT(D16,"yyyy"),7)))</f>
        <v>8</v>
      </c>
      <c r="E17" s="144">
        <f>IF(E16="","",IF(ngay(TEXT(E16,"d"),TEXT(E16,"m"),TEXT(E16,"yyyy"),7)=1,ngay(TEXT(E16,"d"),TEXT(E16,"m"),TEXT(E16,"yyyy"),7)&amp;"/"&amp;thang(TEXT(E16,"d"),TEXT(E16,"m"),TEXT(E16,"yyyy"),7),ngay(TEXT(E16,"d"),TEXT(E16,"m"),TEXT(E16,"yyyy"),7)))</f>
        <v>9</v>
      </c>
      <c r="F17" s="144">
        <f>IF(F16="","",IF(ngay(TEXT(F16,"d"),TEXT(F16,"m"),TEXT(F16,"yyyy"),7)=1,ngay(TEXT(F16,"d"),TEXT(F16,"m"),TEXT(F16,"yyyy"),7)&amp;"/"&amp;thang(TEXT(F16,"d"),TEXT(F16,"m"),TEXT(F16,"yyyy"),7),ngay(TEXT(F16,"d"),TEXT(F16,"m"),TEXT(F16,"yyyy"),7)))</f>
        <v>10</v>
      </c>
      <c r="G17" s="144">
        <f>IF(G16="","",IF(ngay(TEXT(G16,"d"),TEXT(G16,"m"),TEXT(G16,"yyyy"),7)=1,ngay(TEXT(G16,"d"),TEXT(G16,"m"),TEXT(G16,"yyyy"),7)&amp;"/"&amp;thang(TEXT(G16,"d"),TEXT(G16,"m"),TEXT(G16,"yyyy"),7),ngay(TEXT(G16,"d"),TEXT(G16,"m"),TEXT(G16,"yyyy"),7)))</f>
        <v>11</v>
      </c>
      <c r="H17" s="145">
        <f>IF(H16="","",IF(ngay(TEXT(H16,"d"),TEXT(H16,"m"),TEXT(H16,"yyyy"),7)=1,ngay(TEXT(H16,"d"),TEXT(H16,"m"),TEXT(H16,"yyyy"),7)&amp;"/"&amp;thang(TEXT(H16,"d"),TEXT(H16,"m"),TEXT(H16,"yyyy"),7),ngay(TEXT(H16,"d"),TEXT(H16,"m"),TEXT(H16,"yyyy"),7)))</f>
        <v>12</v>
      </c>
      <c r="I17" s="87"/>
      <c r="J17" s="130">
        <f>IF(J16="","",IF(ngay(TEXT(J16,"d"),TEXT(J16,"m"),TEXT(J16,"yyyy"),7)=1,ngay(TEXT(J16,"d"),TEXT(J16,"m"),TEXT(J16,"yyyy"),7)&amp;"/"&amp;thang(TEXT(J16,"d"),TEXT(J16,"m"),TEXT(J16,"yyyy"),7),ngay(TEXT(J16,"d"),TEXT(J16,"m"),TEXT(J16,"yyyy"),7)))</f>
        <v>4</v>
      </c>
      <c r="K17" s="137">
        <f>IF(K16="","",IF(ngay(TEXT(K16,"d"),TEXT(K16,"m"),TEXT(K16,"yyyy"),7)=1,ngay(TEXT(K16,"d"),TEXT(K16,"m"),TEXT(K16,"yyyy"),7)&amp;"/"&amp;thang(TEXT(K16,"d"),TEXT(K16,"m"),TEXT(K16,"yyyy"),7),ngay(TEXT(K16,"d"),TEXT(K16,"m"),TEXT(K16,"yyyy"),7)))</f>
        <v>5</v>
      </c>
      <c r="L17" s="137">
        <f>IF(L16="","",IF(ngay(TEXT(L16,"d"),TEXT(L16,"m"),TEXT(L16,"yyyy"),7)=1,ngay(TEXT(L16,"d"),TEXT(L16,"m"),TEXT(L16,"yyyy"),7)&amp;"/"&amp;thang(TEXT(L16,"d"),TEXT(L16,"m"),TEXT(L16,"yyyy"),7),ngay(TEXT(L16,"d"),TEXT(L16,"m"),TEXT(L16,"yyyy"),7)))</f>
        <v>6</v>
      </c>
      <c r="M17" s="137">
        <f>IF(M16="","",IF(ngay(TEXT(M16,"d"),TEXT(M16,"m"),TEXT(M16,"yyyy"),7)=1,ngay(TEXT(M16,"d"),TEXT(M16,"m"),TEXT(M16,"yyyy"),7)&amp;"/"&amp;thang(TEXT(M16,"d"),TEXT(M16,"m"),TEXT(M16,"yyyy"),7),ngay(TEXT(M16,"d"),TEXT(M16,"m"),TEXT(M16,"yyyy"),7)))</f>
        <v>7</v>
      </c>
      <c r="N17" s="137">
        <f>IF(N16="","",IF(ngay(TEXT(N16,"d"),TEXT(N16,"m"),TEXT(N16,"yyyy"),7)=1,ngay(TEXT(N16,"d"),TEXT(N16,"m"),TEXT(N16,"yyyy"),7)&amp;"/"&amp;thang(TEXT(N16,"d"),TEXT(N16,"m"),TEXT(N16,"yyyy"),7),ngay(TEXT(N16,"d"),TEXT(N16,"m"),TEXT(N16,"yyyy"),7)))</f>
        <v>8</v>
      </c>
      <c r="O17" s="137">
        <f>IF(O16="","",IF(ngay(TEXT(O16,"d"),TEXT(O16,"m"),TEXT(O16,"yyyy"),7)=1,ngay(TEXT(O16,"d"),TEXT(O16,"m"),TEXT(O16,"yyyy"),7)&amp;"/"&amp;thang(TEXT(O16,"d"),TEXT(O16,"m"),TEXT(O16,"yyyy"),7),ngay(TEXT(O16,"d"),TEXT(O16,"m"),TEXT(O16,"yyyy"),7)))</f>
        <v>9</v>
      </c>
      <c r="P17" s="140">
        <f>IF(P16="","",IF(ngay(TEXT(P16,"d"),TEXT(P16,"m"),TEXT(P16,"yyyy"),7)=1,ngay(TEXT(P16,"d"),TEXT(P16,"m"),TEXT(P16,"yyyy"),7)&amp;"/"&amp;thang(TEXT(P16,"d"),TEXT(P16,"m"),TEXT(P16,"yyyy"),7),ngay(TEXT(P16,"d"),TEXT(P16,"m"),TEXT(P16,"yyyy"),7)))</f>
        <v>10</v>
      </c>
      <c r="Q17" s="87"/>
      <c r="R17" s="96">
        <f>IF(R16="","",IF(ngay(TEXT(R16,"d"),TEXT(R16,"m"),TEXT(R16,"yyyy"),7)=1,ngay(TEXT(R16,"d"),TEXT(R16,"m"),TEXT(R16,"yyyy"),7)&amp;"/"&amp;thang(TEXT(R16,"d"),TEXT(R16,"m"),TEXT(R16,"yyyy"),7),ngay(TEXT(R16,"d"),TEXT(R16,"m"),TEXT(R16,"yyyy"),7)))</f>
        <v>3</v>
      </c>
      <c r="S17" s="95">
        <f>IF(S16="","",IF(ngay(TEXT(S16,"d"),TEXT(S16,"m"),TEXT(S16,"yyyy"),7)=1,ngay(TEXT(S16,"d"),TEXT(S16,"m"),TEXT(S16,"yyyy"),7)&amp;"/"&amp;thang(TEXT(S16,"d"),TEXT(S16,"m"),TEXT(S16,"yyyy"),7),ngay(TEXT(S16,"d"),TEXT(S16,"m"),TEXT(S16,"yyyy"),7)))</f>
        <v>4</v>
      </c>
      <c r="T17" s="95">
        <f>IF(T16="","",IF(ngay(TEXT(T16,"d"),TEXT(T16,"m"),TEXT(T16,"yyyy"),7)=1,ngay(TEXT(T16,"d"),TEXT(T16,"m"),TEXT(T16,"yyyy"),7)&amp;"/"&amp;thang(TEXT(T16,"d"),TEXT(T16,"m"),TEXT(T16,"yyyy"),7),ngay(TEXT(T16,"d"),TEXT(T16,"m"),TEXT(T16,"yyyy"),7)))</f>
        <v>5</v>
      </c>
      <c r="U17" s="95">
        <f>IF(U16="","",IF(ngay(TEXT(U16,"d"),TEXT(U16,"m"),TEXT(U16,"yyyy"),7)=1,ngay(TEXT(U16,"d"),TEXT(U16,"m"),TEXT(U16,"yyyy"),7)&amp;"/"&amp;thang(TEXT(U16,"d"),TEXT(U16,"m"),TEXT(U16,"yyyy"),7),ngay(TEXT(U16,"d"),TEXT(U16,"m"),TEXT(U16,"yyyy"),7)))</f>
        <v>6</v>
      </c>
      <c r="V17" s="95">
        <f>IF(V16="","",IF(ngay(TEXT(V16,"d"),TEXT(V16,"m"),TEXT(V16,"yyyy"),7)=1,ngay(TEXT(V16,"d"),TEXT(V16,"m"),TEXT(V16,"yyyy"),7)&amp;"/"&amp;thang(TEXT(V16,"d"),TEXT(V16,"m"),TEXT(V16,"yyyy"),7),ngay(TEXT(V16,"d"),TEXT(V16,"m"),TEXT(V16,"yyyy"),7)))</f>
        <v>7</v>
      </c>
      <c r="W17" s="95">
        <f>IF(W16="","",IF(ngay(TEXT(W16,"d"),TEXT(W16,"m"),TEXT(W16,"yyyy"),7)=1,ngay(TEXT(W16,"d"),TEXT(W16,"m"),TEXT(W16,"yyyy"),7)&amp;"/"&amp;thang(TEXT(W16,"d"),TEXT(W16,"m"),TEXT(W16,"yyyy"),7),ngay(TEXT(W16,"d"),TEXT(W16,"m"),TEXT(W16,"yyyy"),7)))</f>
        <v>8</v>
      </c>
      <c r="X17" s="94">
        <f>IF(X16="","",IF(ngay(TEXT(X16,"d"),TEXT(X16,"m"),TEXT(X16,"yyyy"),7)=1,ngay(TEXT(X16,"d"),TEXT(X16,"m"),TEXT(X16,"yyyy"),7)&amp;"/"&amp;thang(TEXT(X16,"d"),TEXT(X16,"m"),TEXT(X16,"yyyy"),7),ngay(TEXT(X16,"d"),TEXT(X16,"m"),TEXT(X16,"yyyy"),7)))</f>
        <v>9</v>
      </c>
    </row>
    <row r="18" spans="1:24" s="88" customFormat="1" ht="45.95" customHeight="1" x14ac:dyDescent="0.3">
      <c r="B18" s="92">
        <f>IF(H16="","",IF(MONTH(H16+1)&lt;&gt;MONTH(H16),"",H16+1))</f>
        <v>43129</v>
      </c>
      <c r="C18" s="141">
        <f>IF(B18="","",IF(MONTH(B18+1)&lt;&gt;MONTH(B18),"",B18+1))</f>
        <v>43130</v>
      </c>
      <c r="D18" s="141">
        <f>IF(C18="","",IF(MONTH(C18+1)&lt;&gt;MONTH(C18),"",C18+1))</f>
        <v>43131</v>
      </c>
      <c r="E18" s="91" t="str">
        <f>IF(D18="","",IF(MONTH(D18+1)&lt;&gt;MONTH(D18),"",D18+1))</f>
        <v/>
      </c>
      <c r="F18" s="91" t="str">
        <f>IF(E18="","",IF(MONTH(E18+1)&lt;&gt;MONTH(E18),"",E18+1))</f>
        <v/>
      </c>
      <c r="G18" s="90" t="str">
        <f>IF(F18="","",IF(MONTH(F18+1)&lt;&gt;MONTH(F18),"",F18+1))</f>
        <v/>
      </c>
      <c r="H18" s="89" t="str">
        <f>IF(G18="","",IF(MONTH(G18+1)&lt;&gt;MONTH(G18),"",G18+1))</f>
        <v/>
      </c>
      <c r="I18" s="93"/>
      <c r="J18" s="146">
        <f>IF(P16="","",IF(MONTH(P16+1)&lt;&gt;MONTH(P16),"",P16+1))</f>
        <v>43157</v>
      </c>
      <c r="K18" s="141">
        <f>IF(J18="","",IF(MONTH(J18+1)&lt;&gt;MONTH(J18),"",J18+1))</f>
        <v>43158</v>
      </c>
      <c r="L18" s="141">
        <f>IF(K18="","",IF(MONTH(K18+1)&lt;&gt;MONTH(K18),"",K18+1))</f>
        <v>43159</v>
      </c>
      <c r="M18" s="91" t="str">
        <f>IF(L18="","",IF(MONTH(L18+1)&lt;&gt;MONTH(L18),"",L18+1))</f>
        <v/>
      </c>
      <c r="N18" s="91" t="str">
        <f>IF(M18="","",IF(MONTH(M18+1)&lt;&gt;MONTH(M18),"",M18+1))</f>
        <v/>
      </c>
      <c r="O18" s="90" t="str">
        <f>IF(N18="","",IF(MONTH(N18+1)&lt;&gt;MONTH(N18),"",N18+1))</f>
        <v/>
      </c>
      <c r="P18" s="89" t="str">
        <f>IF(O18="","",IF(MONTH(O18+1)&lt;&gt;MONTH(O18),"",O18+1))</f>
        <v/>
      </c>
      <c r="Q18" s="93"/>
      <c r="R18" s="92">
        <f>IF(X16="","",IF(MONTH(X16+1)&lt;&gt;MONTH(X16),"",X16+1))</f>
        <v>43185</v>
      </c>
      <c r="S18" s="91">
        <f>IF(R18="","",IF(MONTH(R18+1)&lt;&gt;MONTH(R18),"",R18+1))</f>
        <v>43186</v>
      </c>
      <c r="T18" s="91">
        <f>IF(S18="","",IF(MONTH(S18+1)&lt;&gt;MONTH(S18),"",S18+1))</f>
        <v>43187</v>
      </c>
      <c r="U18" s="91">
        <f>IF(T18="","",IF(MONTH(T18+1)&lt;&gt;MONTH(T18),"",T18+1))</f>
        <v>43188</v>
      </c>
      <c r="V18" s="91">
        <f>IF(U18="","",IF(MONTH(U18+1)&lt;&gt;MONTH(U18),"",U18+1))</f>
        <v>43189</v>
      </c>
      <c r="W18" s="90">
        <f>IF(V18="","",IF(MONTH(V18+1)&lt;&gt;MONTH(V18),"",V18+1))</f>
        <v>43190</v>
      </c>
      <c r="X18" s="89" t="str">
        <f>IF(W18="","",IF(MONTH(W18+1)&lt;&gt;MONTH(W18),"",W18+1))</f>
        <v/>
      </c>
    </row>
    <row r="19" spans="1:24" s="83" customFormat="1" ht="45.95" customHeight="1" x14ac:dyDescent="0.2">
      <c r="B19" s="96">
        <f>IF(B18="","",IF(ngay(TEXT(B18,"d"),TEXT(B18,"m"),TEXT(B18,"yyyy"),7)=1,ngay(TEXT(B18,"d"),TEXT(B18,"m"),TEXT(B18,"yyyy"),7)&amp;"/"&amp;thang(TEXT(B18,"d"),TEXT(B18,"m"),TEXT(B18,"yyyy"),7),ngay(TEXT(B18,"d"),TEXT(B18,"m"),TEXT(B18,"yyyy"),7)))</f>
        <v>13</v>
      </c>
      <c r="C19" s="144">
        <f>IF(C18="","",IF(ngay(TEXT(C18,"d"),TEXT(C18,"m"),TEXT(C18,"yyyy"),7)=1,ngay(TEXT(C18,"d"),TEXT(C18,"m"),TEXT(C18,"yyyy"),7)&amp;"/"&amp;thang(TEXT(C18,"d"),TEXT(C18,"m"),TEXT(C18,"yyyy"),7),ngay(TEXT(C18,"d"),TEXT(C18,"m"),TEXT(C18,"yyyy"),7)))</f>
        <v>14</v>
      </c>
      <c r="D19" s="144">
        <f>IF(D18="","",IF(ngay(TEXT(D18,"d"),TEXT(D18,"m"),TEXT(D18,"yyyy"),7)=1,ngay(TEXT(D18,"d"),TEXT(D18,"m"),TEXT(D18,"yyyy"),7)&amp;"/"&amp;thang(TEXT(D18,"d"),TEXT(D18,"m"),TEXT(D18,"yyyy"),7),ngay(TEXT(D18,"d"),TEXT(D18,"m"),TEXT(D18,"yyyy"),7)))</f>
        <v>15</v>
      </c>
      <c r="E19" s="95" t="str">
        <f>IF(E18="","",IF(ngay(TEXT(E18,"d"),TEXT(E18,"m"),TEXT(E18,"yyyy"),7)=1,ngay(TEXT(E18,"d"),TEXT(E18,"m"),TEXT(E18,"yyyy"),7)&amp;"/"&amp;thang(TEXT(E18,"d"),TEXT(E18,"m"),TEXT(E18,"yyyy"),7),ngay(TEXT(E18,"d"),TEXT(E18,"m"),TEXT(E18,"yyyy"),7)))</f>
        <v/>
      </c>
      <c r="F19" s="95" t="str">
        <f>IF(F18="","",IF(ngay(TEXT(F18,"d"),TEXT(F18,"m"),TEXT(F18,"yyyy"),7)=1,ngay(TEXT(F18,"d"),TEXT(F18,"m"),TEXT(F18,"yyyy"),7)&amp;"/"&amp;thang(TEXT(F18,"d"),TEXT(F18,"m"),TEXT(F18,"yyyy"),7),ngay(TEXT(F18,"d"),TEXT(F18,"m"),TEXT(F18,"yyyy"),7)))</f>
        <v/>
      </c>
      <c r="G19" s="95" t="str">
        <f>IF(G18="","",IF(ngay(TEXT(G18,"d"),TEXT(G18,"m"),TEXT(G18,"yyyy"),7)=1,ngay(TEXT(G18,"d"),TEXT(G18,"m"),TEXT(G18,"yyyy"),7)&amp;"/"&amp;thang(TEXT(G18,"d"),TEXT(G18,"m"),TEXT(G18,"yyyy"),7),ngay(TEXT(G18,"d"),TEXT(G18,"m"),TEXT(G18,"yyyy"),7)))</f>
        <v/>
      </c>
      <c r="H19" s="94" t="str">
        <f>IF(H18="","",IF(ngay(TEXT(H18,"d"),TEXT(H18,"m"),TEXT(H18,"yyyy"),7)=1,ngay(TEXT(H18,"d"),TEXT(H18,"m"),TEXT(H18,"yyyy"),7)&amp;"/"&amp;thang(TEXT(H18,"d"),TEXT(H18,"m"),TEXT(H18,"yyyy"),7),ngay(TEXT(H18,"d"),TEXT(H18,"m"),TEXT(H18,"yyyy"),7)))</f>
        <v/>
      </c>
      <c r="I19" s="87"/>
      <c r="J19" s="147">
        <f>IF(J18="","",IF(ngay(TEXT(J18,"d"),TEXT(J18,"m"),TEXT(J18,"yyyy"),7)=1,ngay(TEXT(J18,"d"),TEXT(J18,"m"),TEXT(J18,"yyyy"),7)&amp;"/"&amp;thang(TEXT(J18,"d"),TEXT(J18,"m"),TEXT(J18,"yyyy"),7),ngay(TEXT(J18,"d"),TEXT(J18,"m"),TEXT(J18,"yyyy"),7)))</f>
        <v>11</v>
      </c>
      <c r="K19" s="144">
        <f>IF(K18="","",IF(ngay(TEXT(K18,"d"),TEXT(K18,"m"),TEXT(K18,"yyyy"),7)=1,ngay(TEXT(K18,"d"),TEXT(K18,"m"),TEXT(K18,"yyyy"),7)&amp;"/"&amp;thang(TEXT(K18,"d"),TEXT(K18,"m"),TEXT(K18,"yyyy"),7),ngay(TEXT(K18,"d"),TEXT(K18,"m"),TEXT(K18,"yyyy"),7)))</f>
        <v>12</v>
      </c>
      <c r="L19" s="144">
        <f>IF(L18="","",IF(ngay(TEXT(L18,"d"),TEXT(L18,"m"),TEXT(L18,"yyyy"),7)=1,ngay(TEXT(L18,"d"),TEXT(L18,"m"),TEXT(L18,"yyyy"),7)&amp;"/"&amp;thang(TEXT(L18,"d"),TEXT(L18,"m"),TEXT(L18,"yyyy"),7),ngay(TEXT(L18,"d"),TEXT(L18,"m"),TEXT(L18,"yyyy"),7)))</f>
        <v>13</v>
      </c>
      <c r="M19" s="95" t="str">
        <f>IF(M18="","",IF(ngay(TEXT(M18,"d"),TEXT(M18,"m"),TEXT(M18,"yyyy"),7)=1,ngay(TEXT(M18,"d"),TEXT(M18,"m"),TEXT(M18,"yyyy"),7)&amp;"/"&amp;thang(TEXT(M18,"d"),TEXT(M18,"m"),TEXT(M18,"yyyy"),7),ngay(TEXT(M18,"d"),TEXT(M18,"m"),TEXT(M18,"yyyy"),7)))</f>
        <v/>
      </c>
      <c r="N19" s="95" t="str">
        <f>IF(N18="","",IF(ngay(TEXT(N18,"d"),TEXT(N18,"m"),TEXT(N18,"yyyy"),7)=1,ngay(TEXT(N18,"d"),TEXT(N18,"m"),TEXT(N18,"yyyy"),7)&amp;"/"&amp;thang(TEXT(N18,"d"),TEXT(N18,"m"),TEXT(N18,"yyyy"),7),ngay(TEXT(N18,"d"),TEXT(N18,"m"),TEXT(N18,"yyyy"),7)))</f>
        <v/>
      </c>
      <c r="O19" s="95" t="str">
        <f>IF(O18="","",IF(ngay(TEXT(O18,"d"),TEXT(O18,"m"),TEXT(O18,"yyyy"),7)=1,ngay(TEXT(O18,"d"),TEXT(O18,"m"),TEXT(O18,"yyyy"),7)&amp;"/"&amp;thang(TEXT(O18,"d"),TEXT(O18,"m"),TEXT(O18,"yyyy"),7),ngay(TEXT(O18,"d"),TEXT(O18,"m"),TEXT(O18,"yyyy"),7)))</f>
        <v/>
      </c>
      <c r="P19" s="94" t="str">
        <f>IF(P18="","",IF(ngay(TEXT(P18,"d"),TEXT(P18,"m"),TEXT(P18,"yyyy"),7)=1,ngay(TEXT(P18,"d"),TEXT(P18,"m"),TEXT(P18,"yyyy"),7)&amp;"/"&amp;thang(TEXT(P18,"d"),TEXT(P18,"m"),TEXT(P18,"yyyy"),7),ngay(TEXT(P18,"d"),TEXT(P18,"m"),TEXT(P18,"yyyy"),7)))</f>
        <v/>
      </c>
      <c r="Q19" s="87"/>
      <c r="R19" s="96">
        <f>IF(R18="","",IF(ngay(TEXT(R18,"d"),TEXT(R18,"m"),TEXT(R18,"yyyy"),7)=1,ngay(TEXT(R18,"d"),TEXT(R18,"m"),TEXT(R18,"yyyy"),7)&amp;"/"&amp;thang(TEXT(R18,"d"),TEXT(R18,"m"),TEXT(R18,"yyyy"),7),ngay(TEXT(R18,"d"),TEXT(R18,"m"),TEXT(R18,"yyyy"),7)))</f>
        <v>10</v>
      </c>
      <c r="S19" s="95">
        <f>IF(S18="","",IF(ngay(TEXT(S18,"d"),TEXT(S18,"m"),TEXT(S18,"yyyy"),7)=1,ngay(TEXT(S18,"d"),TEXT(S18,"m"),TEXT(S18,"yyyy"),7)&amp;"/"&amp;thang(TEXT(S18,"d"),TEXT(S18,"m"),TEXT(S18,"yyyy"),7),ngay(TEXT(S18,"d"),TEXT(S18,"m"),TEXT(S18,"yyyy"),7)))</f>
        <v>11</v>
      </c>
      <c r="T19" s="95">
        <f>IF(T18="","",IF(ngay(TEXT(T18,"d"),TEXT(T18,"m"),TEXT(T18,"yyyy"),7)=1,ngay(TEXT(T18,"d"),TEXT(T18,"m"),TEXT(T18,"yyyy"),7)&amp;"/"&amp;thang(TEXT(T18,"d"),TEXT(T18,"m"),TEXT(T18,"yyyy"),7),ngay(TEXT(T18,"d"),TEXT(T18,"m"),TEXT(T18,"yyyy"),7)))</f>
        <v>12</v>
      </c>
      <c r="U19" s="95">
        <f>IF(U18="","",IF(ngay(TEXT(U18,"d"),TEXT(U18,"m"),TEXT(U18,"yyyy"),7)=1,ngay(TEXT(U18,"d"),TEXT(U18,"m"),TEXT(U18,"yyyy"),7)&amp;"/"&amp;thang(TEXT(U18,"d"),TEXT(U18,"m"),TEXT(U18,"yyyy"),7),ngay(TEXT(U18,"d"),TEXT(U18,"m"),TEXT(U18,"yyyy"),7)))</f>
        <v>13</v>
      </c>
      <c r="V19" s="95">
        <f>IF(V18="","",IF(ngay(TEXT(V18,"d"),TEXT(V18,"m"),TEXT(V18,"yyyy"),7)=1,ngay(TEXT(V18,"d"),TEXT(V18,"m"),TEXT(V18,"yyyy"),7)&amp;"/"&amp;thang(TEXT(V18,"d"),TEXT(V18,"m"),TEXT(V18,"yyyy"),7),ngay(TEXT(V18,"d"),TEXT(V18,"m"),TEXT(V18,"yyyy"),7)))</f>
        <v>14</v>
      </c>
      <c r="W19" s="95">
        <f>IF(W18="","",IF(ngay(TEXT(W18,"d"),TEXT(W18,"m"),TEXT(W18,"yyyy"),7)=1,ngay(TEXT(W18,"d"),TEXT(W18,"m"),TEXT(W18,"yyyy"),7)&amp;"/"&amp;thang(TEXT(W18,"d"),TEXT(W18,"m"),TEXT(W18,"yyyy"),7),ngay(TEXT(W18,"d"),TEXT(W18,"m"),TEXT(W18,"yyyy"),7)))</f>
        <v>15</v>
      </c>
      <c r="X19" s="94" t="str">
        <f>IF(X18="","",IF(ngay(TEXT(X18,"d"),TEXT(X18,"m"),TEXT(X18,"yyyy"),7)=1,ngay(TEXT(X18,"d"),TEXT(X18,"m"),TEXT(X18,"yyyy"),7)&amp;"/"&amp;thang(TEXT(X18,"d"),TEXT(X18,"m"),TEXT(X18,"yyyy"),7),ngay(TEXT(X18,"d"),TEXT(X18,"m"),TEXT(X18,"yyyy"),7)))</f>
        <v/>
      </c>
    </row>
    <row r="20" spans="1:24" s="88" customFormat="1" ht="45.95" customHeight="1" x14ac:dyDescent="0.3">
      <c r="B20" s="92" t="str">
        <f>IF(H18="","",IF(MONTH(H18+1)&lt;&gt;MONTH(H18),"",H18+1))</f>
        <v/>
      </c>
      <c r="C20" s="91" t="str">
        <f>IF(B20="","",IF(MONTH(B20+1)&lt;&gt;MONTH(B20),"",B20+1))</f>
        <v/>
      </c>
      <c r="D20" s="91" t="str">
        <f>IF(C20="","",IF(MONTH(C20+1)&lt;&gt;MONTH(C20),"",C20+1))</f>
        <v/>
      </c>
      <c r="E20" s="91" t="str">
        <f>IF(D20="","",IF(MONTH(D20+1)&lt;&gt;MONTH(D20),"",D20+1))</f>
        <v/>
      </c>
      <c r="F20" s="91" t="str">
        <f>IF(E20="","",IF(MONTH(E20+1)&lt;&gt;MONTH(E20),"",E20+1))</f>
        <v/>
      </c>
      <c r="G20" s="90" t="str">
        <f>IF(F20="","",IF(MONTH(F20+1)&lt;&gt;MONTH(F20),"",F20+1))</f>
        <v/>
      </c>
      <c r="H20" s="112" t="str">
        <f>IF(G20="","",IF(MONTH(G20+1)&lt;&gt;MONTH(G20),"",G20+1))</f>
        <v/>
      </c>
      <c r="I20" s="93"/>
      <c r="J20" s="92" t="str">
        <f>IF(P18="","",IF(MONTH(P18+1)&lt;&gt;MONTH(P18),"",P18+1))</f>
        <v/>
      </c>
      <c r="K20" s="91" t="str">
        <f>IF(J20="","",IF(MONTH(J20+1)&lt;&gt;MONTH(J20),"",J20+1))</f>
        <v/>
      </c>
      <c r="L20" s="91" t="str">
        <f>IF(K20="","",IF(MONTH(K20+1)&lt;&gt;MONTH(K20),"",K20+1))</f>
        <v/>
      </c>
      <c r="M20" s="91" t="str">
        <f>IF(L20="","",IF(MONTH(L20+1)&lt;&gt;MONTH(L20),"",L20+1))</f>
        <v/>
      </c>
      <c r="N20" s="91" t="str">
        <f>IF(M20="","",IF(MONTH(M20+1)&lt;&gt;MONTH(M20),"",M20+1))</f>
        <v/>
      </c>
      <c r="O20" s="90" t="str">
        <f>IF(N20="","",IF(MONTH(N20+1)&lt;&gt;MONTH(N20),"",N20+1))</f>
        <v/>
      </c>
      <c r="P20" s="89" t="str">
        <f>IF(O20="","",IF(MONTH(O20+1)&lt;&gt;MONTH(O20),"",O20+1))</f>
        <v/>
      </c>
      <c r="Q20" s="93"/>
      <c r="R20" s="92" t="str">
        <f>IF(X18="","",IF(MONTH(X18+1)&lt;&gt;MONTH(X18),"",X18+1))</f>
        <v/>
      </c>
      <c r="S20" s="91" t="str">
        <f>IF(R20="","",IF(MONTH(R20+1)&lt;&gt;MONTH(R20),"",R20+1))</f>
        <v/>
      </c>
      <c r="T20" s="91" t="str">
        <f>IF(S20="","",IF(MONTH(S20+1)&lt;&gt;MONTH(S20),"",S20+1))</f>
        <v/>
      </c>
      <c r="U20" s="91" t="str">
        <f>IF(T20="","",IF(MONTH(T20+1)&lt;&gt;MONTH(T20),"",T20+1))</f>
        <v/>
      </c>
      <c r="V20" s="91" t="str">
        <f>IF(U20="","",IF(MONTH(U20+1)&lt;&gt;MONTH(U20),"",U20+1))</f>
        <v/>
      </c>
      <c r="W20" s="90" t="str">
        <f>IF(V20="","",IF(MONTH(V20+1)&lt;&gt;MONTH(V20),"",V20+1))</f>
        <v/>
      </c>
      <c r="X20" s="89" t="str">
        <f>IF(W20="","",IF(MONTH(W20+1)&lt;&gt;MONTH(W20),"",W20+1))</f>
        <v/>
      </c>
    </row>
    <row r="21" spans="1:24" s="83" customFormat="1" ht="45.95" customHeight="1" x14ac:dyDescent="0.2">
      <c r="B21" s="86" t="str">
        <f>IF(B20="","",ngay(TEXT(B20,"d"),TEXT(B20,"m"),TEXT(B20,"yyyy"),7))</f>
        <v/>
      </c>
      <c r="C21" s="85" t="str">
        <f>IF(C20="","",ngay(TEXT(C20,"d"),TEXT(C20,"m"),TEXT(C20,"yyyy"),7))</f>
        <v/>
      </c>
      <c r="D21" s="85" t="str">
        <f>IF(D20="","",ngay(TEXT(D20,"d"),TEXT(D20,"m"),TEXT(D20,"yyyy"),7))</f>
        <v/>
      </c>
      <c r="E21" s="85" t="str">
        <f>IF(E20="","",ngay(TEXT(E20,"d"),TEXT(E20,"m"),TEXT(E20,"yyyy"),7))</f>
        <v/>
      </c>
      <c r="F21" s="85" t="str">
        <f>IF(F20="","",ngay(TEXT(F20,"d"),TEXT(F20,"m"),TEXT(F20,"yyyy"),7))</f>
        <v/>
      </c>
      <c r="G21" s="85" t="str">
        <f>IF(G20="","",ngay(TEXT(G20,"d"),TEXT(G20,"m"),TEXT(G20,"yyyy"),7))</f>
        <v/>
      </c>
      <c r="H21" s="84" t="str">
        <f>IF(H20="","",ngay(TEXT(H20,"d"),TEXT(H20,"m"),TEXT(H20,"yyyy"),7))</f>
        <v/>
      </c>
      <c r="I21" s="87"/>
      <c r="J21" s="86" t="str">
        <f>IF(J20="","",IF(ngay(TEXT(J20,"d"),TEXT(J20,"m"),TEXT(J20,"yyyy"),7)=1,ngay(TEXT(J20,"d"),TEXT(J20,"m"),TEXT(J20,"yyyy"),7)&amp;"/"&amp;thang(TEXT(J20,"d"),TEXT(J20,"m"),TEXT(J20,"yyyy"),7),ngay(TEXT(J20,"d"),TEXT(J20,"m"),TEXT(J20,"yyyy"),7)))</f>
        <v/>
      </c>
      <c r="K21" s="85" t="str">
        <f>IF(K20="","",IF(ngay(TEXT(K20,"d"),TEXT(K20,"m"),TEXT(K20,"yyyy"),7)=1,ngay(TEXT(K20,"d"),TEXT(K20,"m"),TEXT(K20,"yyyy"),7)&amp;"/"&amp;thang(TEXT(K20,"d"),TEXT(K20,"m"),TEXT(K20,"yyyy"),7),ngay(TEXT(K20,"d"),TEXT(K20,"m"),TEXT(K20,"yyyy"),7)))</f>
        <v/>
      </c>
      <c r="L21" s="85" t="str">
        <f>IF(L20="","",IF(ngay(TEXT(L20,"d"),TEXT(L20,"m"),TEXT(L20,"yyyy"),7)=1,ngay(TEXT(L20,"d"),TEXT(L20,"m"),TEXT(L20,"yyyy"),7)&amp;"/"&amp;thang(TEXT(L20,"d"),TEXT(L20,"m"),TEXT(L20,"yyyy"),7),ngay(TEXT(L20,"d"),TEXT(L20,"m"),TEXT(L20,"yyyy"),7)))</f>
        <v/>
      </c>
      <c r="M21" s="85" t="str">
        <f>IF(M20="","",IF(ngay(TEXT(M20,"d"),TEXT(M20,"m"),TEXT(M20,"yyyy"),7)=1,ngay(TEXT(M20,"d"),TEXT(M20,"m"),TEXT(M20,"yyyy"),7)&amp;"/"&amp;thang(TEXT(M20,"d"),TEXT(M20,"m"),TEXT(M20,"yyyy"),7),ngay(TEXT(M20,"d"),TEXT(M20,"m"),TEXT(M20,"yyyy"),7)))</f>
        <v/>
      </c>
      <c r="N21" s="85" t="str">
        <f>IF(N20="","",IF(ngay(TEXT(N20,"d"),TEXT(N20,"m"),TEXT(N20,"yyyy"),7)=1,ngay(TEXT(N20,"d"),TEXT(N20,"m"),TEXT(N20,"yyyy"),7)&amp;"/"&amp;thang(TEXT(N20,"d"),TEXT(N20,"m"),TEXT(N20,"yyyy"),7),ngay(TEXT(N20,"d"),TEXT(N20,"m"),TEXT(N20,"yyyy"),7)))</f>
        <v/>
      </c>
      <c r="O21" s="85" t="str">
        <f>IF(O20="","",IF(ngay(TEXT(O20,"d"),TEXT(O20,"m"),TEXT(O20,"yyyy"),7)=1,ngay(TEXT(O20,"d"),TEXT(O20,"m"),TEXT(O20,"yyyy"),7)&amp;"/"&amp;thang(TEXT(O20,"d"),TEXT(O20,"m"),TEXT(O20,"yyyy"),7),ngay(TEXT(O20,"d"),TEXT(O20,"m"),TEXT(O20,"yyyy"),7)))</f>
        <v/>
      </c>
      <c r="P21" s="84" t="str">
        <f>IF(P20="","",IF(ngay(TEXT(P20,"d"),TEXT(P20,"m"),TEXT(P20,"yyyy"),7)=1,ngay(TEXT(P20,"d"),TEXT(P20,"m"),TEXT(P20,"yyyy"),7)&amp;"/"&amp;thang(TEXT(P20,"d"),TEXT(P20,"m"),TEXT(P20,"yyyy"),7),ngay(TEXT(P20,"d"),TEXT(P20,"m"),TEXT(P20,"yyyy"),7)))</f>
        <v/>
      </c>
      <c r="Q21" s="87"/>
      <c r="R21" s="86" t="str">
        <f>IF(R20="","",IF(ngay(TEXT(R20,"d"),TEXT(R20,"m"),TEXT(R20,"yyyy"),7)=1,ngay(TEXT(R20,"d"),TEXT(R20,"m"),TEXT(R20,"yyyy"),7)&amp;"/"&amp;thang(TEXT(R20,"d"),TEXT(R20,"m"),TEXT(R20,"yyyy"),7),ngay(TEXT(R20,"d"),TEXT(R20,"m"),TEXT(R20,"yyyy"),7)))</f>
        <v/>
      </c>
      <c r="S21" s="85" t="str">
        <f>IF(S20="","",IF(ngay(TEXT(S20,"d"),TEXT(S20,"m"),TEXT(S20,"yyyy"),7)=1,ngay(TEXT(S20,"d"),TEXT(S20,"m"),TEXT(S20,"yyyy"),7)&amp;"/"&amp;thang(TEXT(S20,"d"),TEXT(S20,"m"),TEXT(S20,"yyyy"),7),ngay(TEXT(S20,"d"),TEXT(S20,"m"),TEXT(S20,"yyyy"),7)))</f>
        <v/>
      </c>
      <c r="T21" s="85" t="str">
        <f>IF(T20="","",IF(ngay(TEXT(T20,"d"),TEXT(T20,"m"),TEXT(T20,"yyyy"),7)=1,ngay(TEXT(T20,"d"),TEXT(T20,"m"),TEXT(T20,"yyyy"),7)&amp;"/"&amp;thang(TEXT(T20,"d"),TEXT(T20,"m"),TEXT(T20,"yyyy"),7),ngay(TEXT(T20,"d"),TEXT(T20,"m"),TEXT(T20,"yyyy"),7)))</f>
        <v/>
      </c>
      <c r="U21" s="85" t="str">
        <f>IF(U20="","",IF(ngay(TEXT(U20,"d"),TEXT(U20,"m"),TEXT(U20,"yyyy"),7)=1,ngay(TEXT(U20,"d"),TEXT(U20,"m"),TEXT(U20,"yyyy"),7)&amp;"/"&amp;thang(TEXT(U20,"d"),TEXT(U20,"m"),TEXT(U20,"yyyy"),7),ngay(TEXT(U20,"d"),TEXT(U20,"m"),TEXT(U20,"yyyy"),7)))</f>
        <v/>
      </c>
      <c r="V21" s="85" t="str">
        <f>IF(V20="","",IF(ngay(TEXT(V20,"d"),TEXT(V20,"m"),TEXT(V20,"yyyy"),7)=1,ngay(TEXT(V20,"d"),TEXT(V20,"m"),TEXT(V20,"yyyy"),7)&amp;"/"&amp;thang(TEXT(V20,"d"),TEXT(V20,"m"),TEXT(V20,"yyyy"),7),ngay(TEXT(V20,"d"),TEXT(V20,"m"),TEXT(V20,"yyyy"),7)))</f>
        <v/>
      </c>
      <c r="W21" s="85" t="str">
        <f>IF(W20="","",IF(ngay(TEXT(W20,"d"),TEXT(W20,"m"),TEXT(W20,"yyyy"),7)=1,ngay(TEXT(W20,"d"),TEXT(W20,"m"),TEXT(W20,"yyyy"),7)&amp;"/"&amp;thang(TEXT(W20,"d"),TEXT(W20,"m"),TEXT(W20,"yyyy"),7),ngay(TEXT(W20,"d"),TEXT(W20,"m"),TEXT(W20,"yyyy"),7)))</f>
        <v/>
      </c>
      <c r="X21" s="84" t="str">
        <f>IF(X20="","",IF(ngay(TEXT(X20,"d"),TEXT(X20,"m"),TEXT(X20,"yyyy"),7)=1,ngay(TEXT(X20,"d"),TEXT(X20,"m"),TEXT(X20,"yyyy"),7)&amp;"/"&amp;thang(TEXT(X20,"d"),TEXT(X20,"m"),TEXT(X20,"yyyy"),7),ngay(TEXT(X20,"d"),TEXT(X20,"m"),TEXT(X20,"yyyy"),7)))</f>
        <v/>
      </c>
    </row>
    <row r="22" spans="1:24" ht="12" customHeight="1" x14ac:dyDescent="0.25">
      <c r="A22" s="103"/>
      <c r="B22" s="102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2"/>
      <c r="U22" s="102"/>
      <c r="V22" s="102"/>
      <c r="W22" s="102"/>
      <c r="X22" s="102"/>
    </row>
    <row r="23" spans="1:24" s="103" customFormat="1" ht="20.25" x14ac:dyDescent="0.3">
      <c r="A23" s="110"/>
      <c r="B23" s="109">
        <f>DATE(YEAR(R8+42),MONTH(R8+42),1)</f>
        <v>43191</v>
      </c>
      <c r="C23" s="108"/>
      <c r="D23" s="108"/>
      <c r="E23" s="108"/>
      <c r="F23" s="108"/>
      <c r="G23" s="108"/>
      <c r="H23" s="107"/>
      <c r="I23" s="102"/>
      <c r="J23" s="106">
        <f>DATE(YEAR(B23+42),MONTH(B23+42),1)</f>
        <v>43221</v>
      </c>
      <c r="K23" s="105"/>
      <c r="L23" s="105"/>
      <c r="M23" s="105"/>
      <c r="N23" s="105"/>
      <c r="O23" s="105"/>
      <c r="P23" s="104"/>
      <c r="Q23" s="102"/>
      <c r="R23" s="106">
        <f>DATE(YEAR(J23+42),MONTH(J23+42),1)</f>
        <v>43252</v>
      </c>
      <c r="S23" s="105"/>
      <c r="T23" s="105"/>
      <c r="U23" s="105"/>
      <c r="V23" s="105"/>
      <c r="W23" s="105"/>
      <c r="X23" s="104"/>
    </row>
    <row r="24" spans="1:24" s="97" customFormat="1" ht="18" customHeight="1" x14ac:dyDescent="0.25">
      <c r="A24" s="103"/>
      <c r="B24" s="100" t="str">
        <f>CHOOSE(1+MOD($O$3+1-2,7),"Mon","Tue","Wed","Thu","Fri","Sat","Sun")</f>
        <v>Mon</v>
      </c>
      <c r="C24" s="99" t="str">
        <f>CHOOSE(1+MOD($O$3+2-2,7),"Mon","Tue","Wed","Thu","Fri","Sat","Sun")</f>
        <v>Tue</v>
      </c>
      <c r="D24" s="99" t="str">
        <f>CHOOSE(1+MOD($O$3+3-2,7),"Mon","Tue","Wed","Thu","Fri","Sat","Sun")</f>
        <v>Wed</v>
      </c>
      <c r="E24" s="99" t="str">
        <f>CHOOSE(1+MOD($O$3+4-2,7),"Mon","Tue","Wed","Thu","Fri","Sat","Sun")</f>
        <v>Thu</v>
      </c>
      <c r="F24" s="99" t="str">
        <f>CHOOSE(1+MOD($O$3+5-2,7),"Mon","Tue","Wed","Thu","Fri","Sat","Sun")</f>
        <v>Fri</v>
      </c>
      <c r="G24" s="99" t="str">
        <f>CHOOSE(1+MOD($O$3+6-2,7),"Mon","Tue","Wed","Thu","Fri","Sat","Sun")</f>
        <v>Sat</v>
      </c>
      <c r="H24" s="98" t="str">
        <f>CHOOSE(1+MOD($O$3+7-2,7),"Mon","Tue","Wed","Thu","Fri","Sat","Sun")</f>
        <v>Sun</v>
      </c>
      <c r="I24" s="102"/>
      <c r="J24" s="100" t="str">
        <f>CHOOSE(1+MOD($O$3+1-2,7),"Mon","Tue","Wed","Thu","Fri","Sat","Sun")</f>
        <v>Mon</v>
      </c>
      <c r="K24" s="99" t="str">
        <f>CHOOSE(1+MOD($O$3+2-2,7),"Mon","Tue","Wed","Thu","Fri","Sat","Sun")</f>
        <v>Tue</v>
      </c>
      <c r="L24" s="99" t="str">
        <f>CHOOSE(1+MOD($O$3+3-2,7),"Mon","Tue","Wed","Thu","Fri","Sat","Sun")</f>
        <v>Wed</v>
      </c>
      <c r="M24" s="99" t="str">
        <f>CHOOSE(1+MOD($O$3+4-2,7),"Mon","Tue","Wed","Thu","Fri","Sat","Sun")</f>
        <v>Thu</v>
      </c>
      <c r="N24" s="99" t="str">
        <f>CHOOSE(1+MOD($O$3+5-2,7),"Mon","Tue","Wed","Thu","Fri","Sat","Sun")</f>
        <v>Fri</v>
      </c>
      <c r="O24" s="99" t="str">
        <f>CHOOSE(1+MOD($O$3+6-2,7),"Mon","Tue","Wed","Thu","Fri","Sat","Sun")</f>
        <v>Sat</v>
      </c>
      <c r="P24" s="98" t="str">
        <f>CHOOSE(1+MOD($O$3+7-2,7),"Mon","Tue","Wed","Thu","Fri","Sat","Sun")</f>
        <v>Sun</v>
      </c>
      <c r="Q24" s="101"/>
      <c r="R24" s="100" t="str">
        <f>CHOOSE(1+MOD($O$3+1-2,7),"Mon","Tue","Wed","Thu","Fri","Sat","Sun")</f>
        <v>Mon</v>
      </c>
      <c r="S24" s="99" t="str">
        <f>CHOOSE(1+MOD($O$3+2-2,7),"Mon","Tue","Wed","Thu","Fri","Sat","Sun")</f>
        <v>Tue</v>
      </c>
      <c r="T24" s="99" t="str">
        <f>CHOOSE(1+MOD($O$3+3-2,7),"Mon","Tue","Wed","Thu","Fri","Sat","Sun")</f>
        <v>Wed</v>
      </c>
      <c r="U24" s="99" t="str">
        <f>CHOOSE(1+MOD($O$3+4-2,7),"Mon","Tue","Wed","Thu","Fri","Sat","Sun")</f>
        <v>Thu</v>
      </c>
      <c r="V24" s="99" t="str">
        <f>CHOOSE(1+MOD($O$3+5-2,7),"Mon","Tue","Wed","Thu","Fri","Sat","Sun")</f>
        <v>Fri</v>
      </c>
      <c r="W24" s="99" t="str">
        <f>CHOOSE(1+MOD($O$3+6-2,7),"Mon","Tue","Wed","Thu","Fri","Sat","Sun")</f>
        <v>Sat</v>
      </c>
      <c r="X24" s="98" t="str">
        <f>CHOOSE(1+MOD($O$3+7-2,7),"Mon","Tue","Wed","Thu","Fri","Sat","Sun")</f>
        <v>Sun</v>
      </c>
    </row>
    <row r="25" spans="1:24" s="88" customFormat="1" ht="45.95" customHeight="1" x14ac:dyDescent="0.3">
      <c r="B25" s="92" t="str">
        <f>IF(WEEKDAY(B23,2)=$O$3,B23,"")</f>
        <v/>
      </c>
      <c r="C25" s="91" t="str">
        <f>IF(B25="",IF(WEEKDAY(B23,1)=MOD($O$3+1,7)+1,B23,""),B25+1)</f>
        <v/>
      </c>
      <c r="D25" s="91" t="str">
        <f>IF(C25="",IF(WEEKDAY(B23,1)=MOD($O$3+2,7)+1,B23,""),C25+1)</f>
        <v/>
      </c>
      <c r="E25" s="91" t="str">
        <f>IF(D25="",IF(WEEKDAY(B23,1)=MOD($O$3+3,7)+1,B23,""),D25+1)</f>
        <v/>
      </c>
      <c r="F25" s="91" t="str">
        <f>IF(E25="",IF(WEEKDAY(B23,1)=MOD($O$3+4,7)+1,B23,""),E25+1)</f>
        <v/>
      </c>
      <c r="G25" s="90" t="str">
        <f>IF(F25="",IF(WEEKDAY(B23,1)=MOD($O$3+5,7)+1,B23,""),F25+1)</f>
        <v/>
      </c>
      <c r="H25" s="89">
        <f>IF(G25="",IF(WEEKDAY(B23,1)=MOD($O$3+6,7)+1,B23,""),G25+1)</f>
        <v>43191</v>
      </c>
      <c r="I25" s="93"/>
      <c r="J25" s="92" t="str">
        <f>IF(WEEKDAY(J23,2)=$O$3,J23,"")</f>
        <v/>
      </c>
      <c r="K25" s="91">
        <f>IF(J25="",IF(WEEKDAY(J23,1)=MOD($O$3+1,7)+1,J23,""),J25+1)</f>
        <v>43221</v>
      </c>
      <c r="L25" s="91">
        <f>IF(K25="",IF(WEEKDAY(J23,1)=MOD($O$3+2,7)+1,J23,""),K25+1)</f>
        <v>43222</v>
      </c>
      <c r="M25" s="91">
        <f>IF(L25="",IF(WEEKDAY(J23,1)=MOD($O$3+3,7)+1,J23,""),L25+1)</f>
        <v>43223</v>
      </c>
      <c r="N25" s="91">
        <f>IF(M25="",IF(WEEKDAY(J23,1)=MOD($O$3+4,7)+1,J23,""),M25+1)</f>
        <v>43224</v>
      </c>
      <c r="O25" s="90">
        <f>IF(N25="",IF(WEEKDAY(J23,1)=MOD($O$3+5,7)+1,J23,""),N25+1)</f>
        <v>43225</v>
      </c>
      <c r="P25" s="89">
        <f>IF(O25="",IF(WEEKDAY(J23,1)=MOD($O$3+6,7)+1,J23,""),O25+1)</f>
        <v>43226</v>
      </c>
      <c r="Q25" s="93"/>
      <c r="R25" s="92" t="str">
        <f>IF(WEEKDAY(R23,2)=$O$3,R23,"")</f>
        <v/>
      </c>
      <c r="S25" s="91" t="str">
        <f>IF(R25="",IF(WEEKDAY(R23,1)=MOD($O$3+1,7)+1,R23,""),R25+1)</f>
        <v/>
      </c>
      <c r="T25" s="91" t="str">
        <f>IF(S25="",IF(WEEKDAY(R23,1)=MOD($O$3+2,7)+1,R23,""),S25+1)</f>
        <v/>
      </c>
      <c r="U25" s="91" t="str">
        <f>IF(T25="",IF(WEEKDAY(R23,1)=MOD($O$3+3,7)+1,R23,""),T25+1)</f>
        <v/>
      </c>
      <c r="V25" s="91">
        <f>IF(U25="",IF(WEEKDAY(R23,1)=MOD($O$3+4,7)+1,R23,""),U25+1)</f>
        <v>43252</v>
      </c>
      <c r="W25" s="90">
        <f>IF(V25="",IF(WEEKDAY(R23,1)=MOD($O$3+5,7)+1,R23,""),V25+1)</f>
        <v>43253</v>
      </c>
      <c r="X25" s="89">
        <f>IF(W25="",IF(WEEKDAY(R23,1)=MOD($O$3+6,7)+1,R23,""),W25+1)</f>
        <v>43254</v>
      </c>
    </row>
    <row r="26" spans="1:24" s="83" customFormat="1" ht="45.95" customHeight="1" x14ac:dyDescent="0.2">
      <c r="B26" s="96" t="str">
        <f>IF(B25="","",IF(ngay(TEXT(B25,"d"),TEXT(B25,"m"),TEXT(B25,"yyyy"),7)=1,ngay(TEXT(B25,"d"),TEXT(B25,"m"),TEXT(B25,"yyyy"),7)&amp;"/"&amp;thang(TEXT(B25,"d"),TEXT(B25,"m"),TEXT(B25,"yyyy"),7),ngay(TEXT(B25,"d"),TEXT(B25,"m"),TEXT(B25,"yyyy"),7)))</f>
        <v/>
      </c>
      <c r="C26" s="95" t="str">
        <f>IF(C25="","",IF(ngay(TEXT(C25,"d"),TEXT(C25,"m"),TEXT(C25,"yyyy"),7)=1,ngay(TEXT(C25,"d"),TEXT(C25,"m"),TEXT(C25,"yyyy"),7)&amp;"/"&amp;thang(TEXT(C25,"d"),TEXT(C25,"m"),TEXT(C25,"yyyy"),7),ngay(TEXT(C25,"d"),TEXT(C25,"m"),TEXT(C25,"yyyy"),7)))</f>
        <v/>
      </c>
      <c r="D26" s="95" t="str">
        <f>IF(D25="","",IF(ngay(TEXT(D25,"d"),TEXT(D25,"m"),TEXT(D25,"yyyy"),7)=1,ngay(TEXT(D25,"d"),TEXT(D25,"m"),TEXT(D25,"yyyy"),7)&amp;"/"&amp;thang(TEXT(D25,"d"),TEXT(D25,"m"),TEXT(D25,"yyyy"),7),ngay(TEXT(D25,"d"),TEXT(D25,"m"),TEXT(D25,"yyyy"),7)))</f>
        <v/>
      </c>
      <c r="E26" s="95" t="str">
        <f>IF(E25="","",IF(ngay(TEXT(E25,"d"),TEXT(E25,"m"),TEXT(E25,"yyyy"),7)=1,ngay(TEXT(E25,"d"),TEXT(E25,"m"),TEXT(E25,"yyyy"),7)&amp;"/"&amp;thang(TEXT(E25,"d"),TEXT(E25,"m"),TEXT(E25,"yyyy"),7),ngay(TEXT(E25,"d"),TEXT(E25,"m"),TEXT(E25,"yyyy"),7)))</f>
        <v/>
      </c>
      <c r="F26" s="95" t="str">
        <f>IF(F25="","",IF(ngay(TEXT(F25,"d"),TEXT(F25,"m"),TEXT(F25,"yyyy"),7)=1,ngay(TEXT(F25,"d"),TEXT(F25,"m"),TEXT(F25,"yyyy"),7)&amp;"/"&amp;thang(TEXT(F25,"d"),TEXT(F25,"m"),TEXT(F25,"yyyy"),7),ngay(TEXT(F25,"d"),TEXT(F25,"m"),TEXT(F25,"yyyy"),7)))</f>
        <v/>
      </c>
      <c r="G26" s="95" t="str">
        <f>IF(G25="","",IF(ngay(TEXT(G25,"d"),TEXT(G25,"m"),TEXT(G25,"yyyy"),7)=1,ngay(TEXT(G25,"d"),TEXT(G25,"m"),TEXT(G25,"yyyy"),7)&amp;"/"&amp;thang(TEXT(G25,"d"),TEXT(G25,"m"),TEXT(G25,"yyyy"),7),ngay(TEXT(G25,"d"),TEXT(G25,"m"),TEXT(G25,"yyyy"),7)))</f>
        <v/>
      </c>
      <c r="H26" s="94">
        <f>IF(H25="","",IF(ngay(TEXT(H25,"d"),TEXT(H25,"m"),TEXT(H25,"yyyy"),7)=1,ngay(TEXT(H25,"d"),TEXT(H25,"m"),TEXT(H25,"yyyy"),7)&amp;"/"&amp;thang(TEXT(H25,"d"),TEXT(H25,"m"),TEXT(H25,"yyyy"),7),ngay(TEXT(H25,"d"),TEXT(H25,"m"),TEXT(H25,"yyyy"),7)))</f>
        <v>16</v>
      </c>
      <c r="I26" s="87"/>
      <c r="J26" s="96" t="str">
        <f>IF(J25="","",IF(ngay(TEXT(J25,"d"),TEXT(J25,"m"),TEXT(J25,"yyyy"),7)=1,ngay(TEXT(J25,"d"),TEXT(J25,"m"),TEXT(J25,"yyyy"),7)&amp;"/"&amp;thang(TEXT(J25,"d"),TEXT(J25,"m"),TEXT(J25,"yyyy"),7),ngay(TEXT(J25,"d"),TEXT(J25,"m"),TEXT(J25,"yyyy"),7)))</f>
        <v/>
      </c>
      <c r="K26" s="95">
        <f>IF(K25="","",IF(ngay(TEXT(K25,"d"),TEXT(K25,"m"),TEXT(K25,"yyyy"),7)=1,ngay(TEXT(K25,"d"),TEXT(K25,"m"),TEXT(K25,"yyyy"),7)&amp;"/"&amp;thang(TEXT(K25,"d"),TEXT(K25,"m"),TEXT(K25,"yyyy"),7),ngay(TEXT(K25,"d"),TEXT(K25,"m"),TEXT(K25,"yyyy"),7)))</f>
        <v>16</v>
      </c>
      <c r="L26" s="95">
        <f>IF(L25="","",IF(ngay(TEXT(L25,"d"),TEXT(L25,"m"),TEXT(L25,"yyyy"),7)=1,ngay(TEXT(L25,"d"),TEXT(L25,"m"),TEXT(L25,"yyyy"),7)&amp;"/"&amp;thang(TEXT(L25,"d"),TEXT(L25,"m"),TEXT(L25,"yyyy"),7),ngay(TEXT(L25,"d"),TEXT(L25,"m"),TEXT(L25,"yyyy"),7)))</f>
        <v>17</v>
      </c>
      <c r="M26" s="95">
        <f>IF(M25="","",IF(ngay(TEXT(M25,"d"),TEXT(M25,"m"),TEXT(M25,"yyyy"),7)=1,ngay(TEXT(M25,"d"),TEXT(M25,"m"),TEXT(M25,"yyyy"),7)&amp;"/"&amp;thang(TEXT(M25,"d"),TEXT(M25,"m"),TEXT(M25,"yyyy"),7),ngay(TEXT(M25,"d"),TEXT(M25,"m"),TEXT(M25,"yyyy"),7)))</f>
        <v>18</v>
      </c>
      <c r="N26" s="95">
        <f>IF(N25="","",IF(ngay(TEXT(N25,"d"),TEXT(N25,"m"),TEXT(N25,"yyyy"),7)=1,ngay(TEXT(N25,"d"),TEXT(N25,"m"),TEXT(N25,"yyyy"),7)&amp;"/"&amp;thang(TEXT(N25,"d"),TEXT(N25,"m"),TEXT(N25,"yyyy"),7),ngay(TEXT(N25,"d"),TEXT(N25,"m"),TEXT(N25,"yyyy"),7)))</f>
        <v>19</v>
      </c>
      <c r="O26" s="95">
        <f>IF(O25="","",IF(ngay(TEXT(O25,"d"),TEXT(O25,"m"),TEXT(O25,"yyyy"),7)=1,ngay(TEXT(O25,"d"),TEXT(O25,"m"),TEXT(O25,"yyyy"),7)&amp;"/"&amp;thang(TEXT(O25,"d"),TEXT(O25,"m"),TEXT(O25,"yyyy"),7),ngay(TEXT(O25,"d"),TEXT(O25,"m"),TEXT(O25,"yyyy"),7)))</f>
        <v>20</v>
      </c>
      <c r="P26" s="94">
        <f>IF(P25="","",IF(ngay(TEXT(P25,"d"),TEXT(P25,"m"),TEXT(P25,"yyyy"),7)=1,ngay(TEXT(P25,"d"),TEXT(P25,"m"),TEXT(P25,"yyyy"),7)&amp;"/"&amp;thang(TEXT(P25,"d"),TEXT(P25,"m"),TEXT(P25,"yyyy"),7),ngay(TEXT(P25,"d"),TEXT(P25,"m"),TEXT(P25,"yyyy"),7)))</f>
        <v>21</v>
      </c>
      <c r="Q26" s="87"/>
      <c r="R26" s="96" t="str">
        <f>IF(R25="","",IF(ngay(TEXT(R25,"d"),TEXT(R25,"m"),TEXT(R25,"yyyy"),7)=1,ngay(TEXT(R25,"d"),TEXT(R25,"m"),TEXT(R25,"yyyy"),7)&amp;"/"&amp;thang(TEXT(R25,"d"),TEXT(R25,"m"),TEXT(R25,"yyyy"),7),ngay(TEXT(R25,"d"),TEXT(R25,"m"),TEXT(R25,"yyyy"),7)))</f>
        <v/>
      </c>
      <c r="S26" s="95" t="str">
        <f>IF(S25="","",IF(ngay(TEXT(S25,"d"),TEXT(S25,"m"),TEXT(S25,"yyyy"),7)=1,ngay(TEXT(S25,"d"),TEXT(S25,"m"),TEXT(S25,"yyyy"),7)&amp;"/"&amp;thang(TEXT(S25,"d"),TEXT(S25,"m"),TEXT(S25,"yyyy"),7),ngay(TEXT(S25,"d"),TEXT(S25,"m"),TEXT(S25,"yyyy"),7)))</f>
        <v/>
      </c>
      <c r="T26" s="95" t="str">
        <f>IF(T25="","",IF(ngay(TEXT(T25,"d"),TEXT(T25,"m"),TEXT(T25,"yyyy"),7)=1,ngay(TEXT(T25,"d"),TEXT(T25,"m"),TEXT(T25,"yyyy"),7)&amp;"/"&amp;thang(TEXT(T25,"d"),TEXT(T25,"m"),TEXT(T25,"yyyy"),7),ngay(TEXT(T25,"d"),TEXT(T25,"m"),TEXT(T25,"yyyy"),7)))</f>
        <v/>
      </c>
      <c r="U26" s="95" t="str">
        <f>IF(U25="","",IF(ngay(TEXT(U25,"d"),TEXT(U25,"m"),TEXT(U25,"yyyy"),7)=1,ngay(TEXT(U25,"d"),TEXT(U25,"m"),TEXT(U25,"yyyy"),7)&amp;"/"&amp;thang(TEXT(U25,"d"),TEXT(U25,"m"),TEXT(U25,"yyyy"),7),ngay(TEXT(U25,"d"),TEXT(U25,"m"),TEXT(U25,"yyyy"),7)))</f>
        <v/>
      </c>
      <c r="V26" s="95">
        <f>IF(V25="","",IF(ngay(TEXT(V25,"d"),TEXT(V25,"m"),TEXT(V25,"yyyy"),7)=1,ngay(TEXT(V25,"d"),TEXT(V25,"m"),TEXT(V25,"yyyy"),7)&amp;"/"&amp;thang(TEXT(V25,"d"),TEXT(V25,"m"),TEXT(V25,"yyyy"),7),ngay(TEXT(V25,"d"),TEXT(V25,"m"),TEXT(V25,"yyyy"),7)))</f>
        <v>18</v>
      </c>
      <c r="W26" s="95">
        <f>IF(W25="","",IF(ngay(TEXT(W25,"d"),TEXT(W25,"m"),TEXT(W25,"yyyy"),7)=1,ngay(TEXT(W25,"d"),TEXT(W25,"m"),TEXT(W25,"yyyy"),7)&amp;"/"&amp;thang(TEXT(W25,"d"),TEXT(W25,"m"),TEXT(W25,"yyyy"),7),ngay(TEXT(W25,"d"),TEXT(W25,"m"),TEXT(W25,"yyyy"),7)))</f>
        <v>19</v>
      </c>
      <c r="X26" s="94">
        <f>IF(X25="","",IF(ngay(TEXT(X25,"d"),TEXT(X25,"m"),TEXT(X25,"yyyy"),7)=1,ngay(TEXT(X25,"d"),TEXT(X25,"m"),TEXT(X25,"yyyy"),7)&amp;"/"&amp;thang(TEXT(X25,"d"),TEXT(X25,"m"),TEXT(X25,"yyyy"),7),ngay(TEXT(X25,"d"),TEXT(X25,"m"),TEXT(X25,"yyyy"),7)))</f>
        <v>20</v>
      </c>
    </row>
    <row r="27" spans="1:24" s="88" customFormat="1" ht="45.95" customHeight="1" x14ac:dyDescent="0.3">
      <c r="B27" s="92">
        <f>IF(H25="","",IF(MONTH(H25+1)&lt;&gt;MONTH(H25),"",H25+1))</f>
        <v>43192</v>
      </c>
      <c r="C27" s="91">
        <f>IF(B27="","",IF(MONTH(B27+1)&lt;&gt;MONTH(B27),"",B27+1))</f>
        <v>43193</v>
      </c>
      <c r="D27" s="91">
        <f>IF(C27="","",IF(MONTH(C27+1)&lt;&gt;MONTH(C27),"",C27+1))</f>
        <v>43194</v>
      </c>
      <c r="E27" s="91">
        <f>IF(D27="","",IF(MONTH(D27+1)&lt;&gt;MONTH(D27),"",D27+1))</f>
        <v>43195</v>
      </c>
      <c r="F27" s="91">
        <f>IF(E27="","",IF(MONTH(E27+1)&lt;&gt;MONTH(E27),"",E27+1))</f>
        <v>43196</v>
      </c>
      <c r="G27" s="90">
        <f>IF(F27="","",IF(MONTH(F27+1)&lt;&gt;MONTH(F27),"",F27+1))</f>
        <v>43197</v>
      </c>
      <c r="H27" s="89">
        <f>IF(G27="","",IF(MONTH(G27+1)&lt;&gt;MONTH(G27),"",G27+1))</f>
        <v>43198</v>
      </c>
      <c r="I27" s="93"/>
      <c r="J27" s="92">
        <f>IF(P25="","",IF(MONTH(P25+1)&lt;&gt;MONTH(P25),"",P25+1))</f>
        <v>43227</v>
      </c>
      <c r="K27" s="91">
        <f>IF(J27="","",IF(MONTH(J27+1)&lt;&gt;MONTH(J27),"",J27+1))</f>
        <v>43228</v>
      </c>
      <c r="L27" s="91">
        <f>IF(K27="","",IF(MONTH(K27+1)&lt;&gt;MONTH(K27),"",K27+1))</f>
        <v>43229</v>
      </c>
      <c r="M27" s="91">
        <f>IF(L27="","",IF(MONTH(L27+1)&lt;&gt;MONTH(L27),"",L27+1))</f>
        <v>43230</v>
      </c>
      <c r="N27" s="91">
        <f>IF(M27="","",IF(MONTH(M27+1)&lt;&gt;MONTH(M27),"",M27+1))</f>
        <v>43231</v>
      </c>
      <c r="O27" s="90">
        <f>IF(N27="","",IF(MONTH(N27+1)&lt;&gt;MONTH(N27),"",N27+1))</f>
        <v>43232</v>
      </c>
      <c r="P27" s="89">
        <f>IF(O27="","",IF(MONTH(O27+1)&lt;&gt;MONTH(O27),"",O27+1))</f>
        <v>43233</v>
      </c>
      <c r="Q27" s="93"/>
      <c r="R27" s="92">
        <f>IF(X25="","",IF(MONTH(X25+1)&lt;&gt;MONTH(X25),"",X25+1))</f>
        <v>43255</v>
      </c>
      <c r="S27" s="91">
        <f>IF(R27="","",IF(MONTH(R27+1)&lt;&gt;MONTH(R27),"",R27+1))</f>
        <v>43256</v>
      </c>
      <c r="T27" s="91">
        <f>IF(S27="","",IF(MONTH(S27+1)&lt;&gt;MONTH(S27),"",S27+1))</f>
        <v>43257</v>
      </c>
      <c r="U27" s="91">
        <f>IF(T27="","",IF(MONTH(T27+1)&lt;&gt;MONTH(T27),"",T27+1))</f>
        <v>43258</v>
      </c>
      <c r="V27" s="91">
        <f>IF(U27="","",IF(MONTH(U27+1)&lt;&gt;MONTH(U27),"",U27+1))</f>
        <v>43259</v>
      </c>
      <c r="W27" s="90">
        <f>IF(V27="","",IF(MONTH(V27+1)&lt;&gt;MONTH(V27),"",V27+1))</f>
        <v>43260</v>
      </c>
      <c r="X27" s="89">
        <f>IF(W27="","",IF(MONTH(W27+1)&lt;&gt;MONTH(W27),"",W27+1))</f>
        <v>43261</v>
      </c>
    </row>
    <row r="28" spans="1:24" s="83" customFormat="1" ht="45.95" customHeight="1" x14ac:dyDescent="0.2">
      <c r="B28" s="96">
        <f>IF(B27="","",IF(ngay(TEXT(B27,"d"),TEXT(B27,"m"),TEXT(B27,"yyyy"),7)=1,ngay(TEXT(B27,"d"),TEXT(B27,"m"),TEXT(B27,"yyyy"),7)&amp;"/"&amp;thang(TEXT(B27,"d"),TEXT(B27,"m"),TEXT(B27,"yyyy"),7),ngay(TEXT(B27,"d"),TEXT(B27,"m"),TEXT(B27,"yyyy"),7)))</f>
        <v>17</v>
      </c>
      <c r="C28" s="95">
        <f>IF(C27="","",IF(ngay(TEXT(C27,"d"),TEXT(C27,"m"),TEXT(C27,"yyyy"),7)=1,ngay(TEXT(C27,"d"),TEXT(C27,"m"),TEXT(C27,"yyyy"),7)&amp;"/"&amp;thang(TEXT(C27,"d"),TEXT(C27,"m"),TEXT(C27,"yyyy"),7),ngay(TEXT(C27,"d"),TEXT(C27,"m"),TEXT(C27,"yyyy"),7)))</f>
        <v>18</v>
      </c>
      <c r="D28" s="95">
        <f>IF(D27="","",IF(ngay(TEXT(D27,"d"),TEXT(D27,"m"),TEXT(D27,"yyyy"),7)=1,ngay(TEXT(D27,"d"),TEXT(D27,"m"),TEXT(D27,"yyyy"),7)&amp;"/"&amp;thang(TEXT(D27,"d"),TEXT(D27,"m"),TEXT(D27,"yyyy"),7),ngay(TEXT(D27,"d"),TEXT(D27,"m"),TEXT(D27,"yyyy"),7)))</f>
        <v>19</v>
      </c>
      <c r="E28" s="95">
        <f>IF(E27="","",IF(ngay(TEXT(E27,"d"),TEXT(E27,"m"),TEXT(E27,"yyyy"),7)=1,ngay(TEXT(E27,"d"),TEXT(E27,"m"),TEXT(E27,"yyyy"),7)&amp;"/"&amp;thang(TEXT(E27,"d"),TEXT(E27,"m"),TEXT(E27,"yyyy"),7),ngay(TEXT(E27,"d"),TEXT(E27,"m"),TEXT(E27,"yyyy"),7)))</f>
        <v>20</v>
      </c>
      <c r="F28" s="95">
        <f>IF(F27="","",IF(ngay(TEXT(F27,"d"),TEXT(F27,"m"),TEXT(F27,"yyyy"),7)=1,ngay(TEXT(F27,"d"),TEXT(F27,"m"),TEXT(F27,"yyyy"),7)&amp;"/"&amp;thang(TEXT(F27,"d"),TEXT(F27,"m"),TEXT(F27,"yyyy"),7),ngay(TEXT(F27,"d"),TEXT(F27,"m"),TEXT(F27,"yyyy"),7)))</f>
        <v>21</v>
      </c>
      <c r="G28" s="95">
        <f>IF(G27="","",IF(ngay(TEXT(G27,"d"),TEXT(G27,"m"),TEXT(G27,"yyyy"),7)=1,ngay(TEXT(G27,"d"),TEXT(G27,"m"),TEXT(G27,"yyyy"),7)&amp;"/"&amp;thang(TEXT(G27,"d"),TEXT(G27,"m"),TEXT(G27,"yyyy"),7),ngay(TEXT(G27,"d"),TEXT(G27,"m"),TEXT(G27,"yyyy"),7)))</f>
        <v>22</v>
      </c>
      <c r="H28" s="94">
        <f>IF(H27="","",IF(ngay(TEXT(H27,"d"),TEXT(H27,"m"),TEXT(H27,"yyyy"),7)=1,ngay(TEXT(H27,"d"),TEXT(H27,"m"),TEXT(H27,"yyyy"),7)&amp;"/"&amp;thang(TEXT(H27,"d"),TEXT(H27,"m"),TEXT(H27,"yyyy"),7),ngay(TEXT(H27,"d"),TEXT(H27,"m"),TEXT(H27,"yyyy"),7)))</f>
        <v>23</v>
      </c>
      <c r="I28" s="87"/>
      <c r="J28" s="96">
        <f>IF(J27="","",IF(ngay(TEXT(J27,"d"),TEXT(J27,"m"),TEXT(J27,"yyyy"),7)=1,ngay(TEXT(J27,"d"),TEXT(J27,"m"),TEXT(J27,"yyyy"),7)&amp;"/"&amp;thang(TEXT(J27,"d"),TEXT(J27,"m"),TEXT(J27,"yyyy"),7),ngay(TEXT(J27,"d"),TEXT(J27,"m"),TEXT(J27,"yyyy"),7)))</f>
        <v>22</v>
      </c>
      <c r="K28" s="95">
        <f>IF(K27="","",IF(ngay(TEXT(K27,"d"),TEXT(K27,"m"),TEXT(K27,"yyyy"),7)=1,ngay(TEXT(K27,"d"),TEXT(K27,"m"),TEXT(K27,"yyyy"),7)&amp;"/"&amp;thang(TEXT(K27,"d"),TEXT(K27,"m"),TEXT(K27,"yyyy"),7),ngay(TEXT(K27,"d"),TEXT(K27,"m"),TEXT(K27,"yyyy"),7)))</f>
        <v>23</v>
      </c>
      <c r="L28" s="95">
        <f>IF(L27="","",IF(ngay(TEXT(L27,"d"),TEXT(L27,"m"),TEXT(L27,"yyyy"),7)=1,ngay(TEXT(L27,"d"),TEXT(L27,"m"),TEXT(L27,"yyyy"),7)&amp;"/"&amp;thang(TEXT(L27,"d"),TEXT(L27,"m"),TEXT(L27,"yyyy"),7),ngay(TEXT(L27,"d"),TEXT(L27,"m"),TEXT(L27,"yyyy"),7)))</f>
        <v>24</v>
      </c>
      <c r="M28" s="95">
        <f>IF(M27="","",IF(ngay(TEXT(M27,"d"),TEXT(M27,"m"),TEXT(M27,"yyyy"),7)=1,ngay(TEXT(M27,"d"),TEXT(M27,"m"),TEXT(M27,"yyyy"),7)&amp;"/"&amp;thang(TEXT(M27,"d"),TEXT(M27,"m"),TEXT(M27,"yyyy"),7),ngay(TEXT(M27,"d"),TEXT(M27,"m"),TEXT(M27,"yyyy"),7)))</f>
        <v>25</v>
      </c>
      <c r="N28" s="95">
        <f>IF(N27="","",IF(ngay(TEXT(N27,"d"),TEXT(N27,"m"),TEXT(N27,"yyyy"),7)=1,ngay(TEXT(N27,"d"),TEXT(N27,"m"),TEXT(N27,"yyyy"),7)&amp;"/"&amp;thang(TEXT(N27,"d"),TEXT(N27,"m"),TEXT(N27,"yyyy"),7),ngay(TEXT(N27,"d"),TEXT(N27,"m"),TEXT(N27,"yyyy"),7)))</f>
        <v>26</v>
      </c>
      <c r="O28" s="95">
        <f>IF(O27="","",IF(ngay(TEXT(O27,"d"),TEXT(O27,"m"),TEXT(O27,"yyyy"),7)=1,ngay(TEXT(O27,"d"),TEXT(O27,"m"),TEXT(O27,"yyyy"),7)&amp;"/"&amp;thang(TEXT(O27,"d"),TEXT(O27,"m"),TEXT(O27,"yyyy"),7),ngay(TEXT(O27,"d"),TEXT(O27,"m"),TEXT(O27,"yyyy"),7)))</f>
        <v>27</v>
      </c>
      <c r="P28" s="94">
        <f>IF(P27="","",IF(ngay(TEXT(P27,"d"),TEXT(P27,"m"),TEXT(P27,"yyyy"),7)=1,ngay(TEXT(P27,"d"),TEXT(P27,"m"),TEXT(P27,"yyyy"),7)&amp;"/"&amp;thang(TEXT(P27,"d"),TEXT(P27,"m"),TEXT(P27,"yyyy"),7),ngay(TEXT(P27,"d"),TEXT(P27,"m"),TEXT(P27,"yyyy"),7)))</f>
        <v>28</v>
      </c>
      <c r="Q28" s="87"/>
      <c r="R28" s="96">
        <f>IF(R27="","",IF(ngay(TEXT(R27,"d"),TEXT(R27,"m"),TEXT(R27,"yyyy"),7)=1,ngay(TEXT(R27,"d"),TEXT(R27,"m"),TEXT(R27,"yyyy"),7)&amp;"/"&amp;thang(TEXT(R27,"d"),TEXT(R27,"m"),TEXT(R27,"yyyy"),7),ngay(TEXT(R27,"d"),TEXT(R27,"m"),TEXT(R27,"yyyy"),7)))</f>
        <v>21</v>
      </c>
      <c r="S28" s="95">
        <f>IF(S27="","",IF(ngay(TEXT(S27,"d"),TEXT(S27,"m"),TEXT(S27,"yyyy"),7)=1,ngay(TEXT(S27,"d"),TEXT(S27,"m"),TEXT(S27,"yyyy"),7)&amp;"/"&amp;thang(TEXT(S27,"d"),TEXT(S27,"m"),TEXT(S27,"yyyy"),7),ngay(TEXT(S27,"d"),TEXT(S27,"m"),TEXT(S27,"yyyy"),7)))</f>
        <v>22</v>
      </c>
      <c r="T28" s="95">
        <f>IF(T27="","",IF(ngay(TEXT(T27,"d"),TEXT(T27,"m"),TEXT(T27,"yyyy"),7)=1,ngay(TEXT(T27,"d"),TEXT(T27,"m"),TEXT(T27,"yyyy"),7)&amp;"/"&amp;thang(TEXT(T27,"d"),TEXT(T27,"m"),TEXT(T27,"yyyy"),7),ngay(TEXT(T27,"d"),TEXT(T27,"m"),TEXT(T27,"yyyy"),7)))</f>
        <v>23</v>
      </c>
      <c r="U28" s="95">
        <f>IF(U27="","",IF(ngay(TEXT(U27,"d"),TEXT(U27,"m"),TEXT(U27,"yyyy"),7)=1,ngay(TEXT(U27,"d"),TEXT(U27,"m"),TEXT(U27,"yyyy"),7)&amp;"/"&amp;thang(TEXT(U27,"d"),TEXT(U27,"m"),TEXT(U27,"yyyy"),7),ngay(TEXT(U27,"d"),TEXT(U27,"m"),TEXT(U27,"yyyy"),7)))</f>
        <v>24</v>
      </c>
      <c r="V28" s="95">
        <f>IF(V27="","",IF(ngay(TEXT(V27,"d"),TEXT(V27,"m"),TEXT(V27,"yyyy"),7)=1,ngay(TEXT(V27,"d"),TEXT(V27,"m"),TEXT(V27,"yyyy"),7)&amp;"/"&amp;thang(TEXT(V27,"d"),TEXT(V27,"m"),TEXT(V27,"yyyy"),7),ngay(TEXT(V27,"d"),TEXT(V27,"m"),TEXT(V27,"yyyy"),7)))</f>
        <v>25</v>
      </c>
      <c r="W28" s="95">
        <f>IF(W27="","",IF(ngay(TEXT(W27,"d"),TEXT(W27,"m"),TEXT(W27,"yyyy"),7)=1,ngay(TEXT(W27,"d"),TEXT(W27,"m"),TEXT(W27,"yyyy"),7)&amp;"/"&amp;thang(TEXT(W27,"d"),TEXT(W27,"m"),TEXT(W27,"yyyy"),7),ngay(TEXT(W27,"d"),TEXT(W27,"m"),TEXT(W27,"yyyy"),7)))</f>
        <v>26</v>
      </c>
      <c r="X28" s="94">
        <f>IF(X27="","",IF(ngay(TEXT(X27,"d"),TEXT(X27,"m"),TEXT(X27,"yyyy"),7)=1,ngay(TEXT(X27,"d"),TEXT(X27,"m"),TEXT(X27,"yyyy"),7)&amp;"/"&amp;thang(TEXT(X27,"d"),TEXT(X27,"m"),TEXT(X27,"yyyy"),7),ngay(TEXT(X27,"d"),TEXT(X27,"m"),TEXT(X27,"yyyy"),7)))</f>
        <v>27</v>
      </c>
    </row>
    <row r="29" spans="1:24" s="88" customFormat="1" ht="45.95" customHeight="1" x14ac:dyDescent="0.3">
      <c r="B29" s="92">
        <f>IF(H27="","",IF(MONTH(H27+1)&lt;&gt;MONTH(H27),"",H27+1))</f>
        <v>43199</v>
      </c>
      <c r="C29" s="91">
        <f>IF(B29="","",IF(MONTH(B29+1)&lt;&gt;MONTH(B29),"",B29+1))</f>
        <v>43200</v>
      </c>
      <c r="D29" s="91">
        <f>IF(C29="","",IF(MONTH(C29+1)&lt;&gt;MONTH(C29),"",C29+1))</f>
        <v>43201</v>
      </c>
      <c r="E29" s="91">
        <f>IF(D29="","",IF(MONTH(D29+1)&lt;&gt;MONTH(D29),"",D29+1))</f>
        <v>43202</v>
      </c>
      <c r="F29" s="91">
        <f>IF(E29="","",IF(MONTH(E29+1)&lt;&gt;MONTH(E29),"",E29+1))</f>
        <v>43203</v>
      </c>
      <c r="G29" s="90">
        <f>IF(F29="","",IF(MONTH(F29+1)&lt;&gt;MONTH(F29),"",F29+1))</f>
        <v>43204</v>
      </c>
      <c r="H29" s="89">
        <f>IF(G29="","",IF(MONTH(G29+1)&lt;&gt;MONTH(G29),"",G29+1))</f>
        <v>43205</v>
      </c>
      <c r="I29" s="93"/>
      <c r="J29" s="92">
        <f>IF(P27="","",IF(MONTH(P27+1)&lt;&gt;MONTH(P27),"",P27+1))</f>
        <v>43234</v>
      </c>
      <c r="K29" s="91">
        <f>IF(J29="","",IF(MONTH(J29+1)&lt;&gt;MONTH(J29),"",J29+1))</f>
        <v>43235</v>
      </c>
      <c r="L29" s="91">
        <f>IF(K29="","",IF(MONTH(K29+1)&lt;&gt;MONTH(K29),"",K29+1))</f>
        <v>43236</v>
      </c>
      <c r="M29" s="91">
        <f>IF(L29="","",IF(MONTH(L29+1)&lt;&gt;MONTH(L29),"",L29+1))</f>
        <v>43237</v>
      </c>
      <c r="N29" s="91">
        <f>IF(M29="","",IF(MONTH(M29+1)&lt;&gt;MONTH(M29),"",M29+1))</f>
        <v>43238</v>
      </c>
      <c r="O29" s="90">
        <f>IF(N29="","",IF(MONTH(N29+1)&lt;&gt;MONTH(N29),"",N29+1))</f>
        <v>43239</v>
      </c>
      <c r="P29" s="89">
        <f>IF(O29="","",IF(MONTH(O29+1)&lt;&gt;MONTH(O29),"",O29+1))</f>
        <v>43240</v>
      </c>
      <c r="Q29" s="93"/>
      <c r="R29" s="92">
        <f>IF(X27="","",IF(MONTH(X27+1)&lt;&gt;MONTH(X27),"",X27+1))</f>
        <v>43262</v>
      </c>
      <c r="S29" s="91">
        <f>IF(R29="","",IF(MONTH(R29+1)&lt;&gt;MONTH(R29),"",R29+1))</f>
        <v>43263</v>
      </c>
      <c r="T29" s="91">
        <f>IF(S29="","",IF(MONTH(S29+1)&lt;&gt;MONTH(S29),"",S29+1))</f>
        <v>43264</v>
      </c>
      <c r="U29" s="91">
        <f>IF(T29="","",IF(MONTH(T29+1)&lt;&gt;MONTH(T29),"",T29+1))</f>
        <v>43265</v>
      </c>
      <c r="V29" s="91">
        <f>IF(U29="","",IF(MONTH(U29+1)&lt;&gt;MONTH(U29),"",U29+1))</f>
        <v>43266</v>
      </c>
      <c r="W29" s="90">
        <f>IF(V29="","",IF(MONTH(V29+1)&lt;&gt;MONTH(V29),"",V29+1))</f>
        <v>43267</v>
      </c>
      <c r="X29" s="89">
        <f>IF(W29="","",IF(MONTH(W29+1)&lt;&gt;MONTH(W29),"",W29+1))</f>
        <v>43268</v>
      </c>
    </row>
    <row r="30" spans="1:24" s="83" customFormat="1" ht="45.95" customHeight="1" x14ac:dyDescent="0.2">
      <c r="B30" s="96">
        <f>IF(B29="","",IF(ngay(TEXT(B29,"d"),TEXT(B29,"m"),TEXT(B29,"yyyy"),7)=1,ngay(TEXT(B29,"d"),TEXT(B29,"m"),TEXT(B29,"yyyy"),7)&amp;"/"&amp;thang(TEXT(B29,"d"),TEXT(B29,"m"),TEXT(B29,"yyyy"),7),ngay(TEXT(B29,"d"),TEXT(B29,"m"),TEXT(B29,"yyyy"),7)))</f>
        <v>24</v>
      </c>
      <c r="C30" s="95">
        <f>IF(C29="","",IF(ngay(TEXT(C29,"d"),TEXT(C29,"m"),TEXT(C29,"yyyy"),7)=1,ngay(TEXT(C29,"d"),TEXT(C29,"m"),TEXT(C29,"yyyy"),7)&amp;"/"&amp;thang(TEXT(C29,"d"),TEXT(C29,"m"),TEXT(C29,"yyyy"),7),ngay(TEXT(C29,"d"),TEXT(C29,"m"),TEXT(C29,"yyyy"),7)))</f>
        <v>25</v>
      </c>
      <c r="D30" s="95">
        <f>IF(D29="","",IF(ngay(TEXT(D29,"d"),TEXT(D29,"m"),TEXT(D29,"yyyy"),7)=1,ngay(TEXT(D29,"d"),TEXT(D29,"m"),TEXT(D29,"yyyy"),7)&amp;"/"&amp;thang(TEXT(D29,"d"),TEXT(D29,"m"),TEXT(D29,"yyyy"),7),ngay(TEXT(D29,"d"),TEXT(D29,"m"),TEXT(D29,"yyyy"),7)))</f>
        <v>26</v>
      </c>
      <c r="E30" s="95">
        <f>IF(E29="","",IF(ngay(TEXT(E29,"d"),TEXT(E29,"m"),TEXT(E29,"yyyy"),7)=1,ngay(TEXT(E29,"d"),TEXT(E29,"m"),TEXT(E29,"yyyy"),7)&amp;"/"&amp;thang(TEXT(E29,"d"),TEXT(E29,"m"),TEXT(E29,"yyyy"),7),ngay(TEXT(E29,"d"),TEXT(E29,"m"),TEXT(E29,"yyyy"),7)))</f>
        <v>27</v>
      </c>
      <c r="F30" s="95">
        <f>IF(F29="","",IF(ngay(TEXT(F29,"d"),TEXT(F29,"m"),TEXT(F29,"yyyy"),7)=1,ngay(TEXT(F29,"d"),TEXT(F29,"m"),TEXT(F29,"yyyy"),7)&amp;"/"&amp;thang(TEXT(F29,"d"),TEXT(F29,"m"),TEXT(F29,"yyyy"),7),ngay(TEXT(F29,"d"),TEXT(F29,"m"),TEXT(F29,"yyyy"),7)))</f>
        <v>28</v>
      </c>
      <c r="G30" s="95">
        <f>IF(G29="","",IF(ngay(TEXT(G29,"d"),TEXT(G29,"m"),TEXT(G29,"yyyy"),7)=1,ngay(TEXT(G29,"d"),TEXT(G29,"m"),TEXT(G29,"yyyy"),7)&amp;"/"&amp;thang(TEXT(G29,"d"),TEXT(G29,"m"),TEXT(G29,"yyyy"),7),ngay(TEXT(G29,"d"),TEXT(G29,"m"),TEXT(G29,"yyyy"),7)))</f>
        <v>29</v>
      </c>
      <c r="H30" s="94">
        <f>IF(H29="","",IF(ngay(TEXT(H29,"d"),TEXT(H29,"m"),TEXT(H29,"yyyy"),7)=1,ngay(TEXT(H29,"d"),TEXT(H29,"m"),TEXT(H29,"yyyy"),7)&amp;"/"&amp;thang(TEXT(H29,"d"),TEXT(H29,"m"),TEXT(H29,"yyyy"),7),ngay(TEXT(H29,"d"),TEXT(H29,"m"),TEXT(H29,"yyyy"),7)))</f>
        <v>30</v>
      </c>
      <c r="I30" s="87"/>
      <c r="J30" s="96">
        <f>IF(J29="","",IF(ngay(TEXT(J29,"d"),TEXT(J29,"m"),TEXT(J29,"yyyy"),7)=1,ngay(TEXT(J29,"d"),TEXT(J29,"m"),TEXT(J29,"yyyy"),7)&amp;"/"&amp;thang(TEXT(J29,"d"),TEXT(J29,"m"),TEXT(J29,"yyyy"),7),ngay(TEXT(J29,"d"),TEXT(J29,"m"),TEXT(J29,"yyyy"),7)))</f>
        <v>29</v>
      </c>
      <c r="K30" s="95" t="str">
        <f>IF(K29="","",IF(ngay(TEXT(K29,"d"),TEXT(K29,"m"),TEXT(K29,"yyyy"),7)=1,ngay(TEXT(K29,"d"),TEXT(K29,"m"),TEXT(K29,"yyyy"),7)&amp;"/"&amp;thang(TEXT(K29,"d"),TEXT(K29,"m"),TEXT(K29,"yyyy"),7),ngay(TEXT(K29,"d"),TEXT(K29,"m"),TEXT(K29,"yyyy"),7)))</f>
        <v>1/4</v>
      </c>
      <c r="L30" s="95">
        <f>IF(L29="","",IF(ngay(TEXT(L29,"d"),TEXT(L29,"m"),TEXT(L29,"yyyy"),7)=1,ngay(TEXT(L29,"d"),TEXT(L29,"m"),TEXT(L29,"yyyy"),7)&amp;"/"&amp;thang(TEXT(L29,"d"),TEXT(L29,"m"),TEXT(L29,"yyyy"),7),ngay(TEXT(L29,"d"),TEXT(L29,"m"),TEXT(L29,"yyyy"),7)))</f>
        <v>2</v>
      </c>
      <c r="M30" s="95">
        <f>IF(M29="","",IF(ngay(TEXT(M29,"d"),TEXT(M29,"m"),TEXT(M29,"yyyy"),7)=1,ngay(TEXT(M29,"d"),TEXT(M29,"m"),TEXT(M29,"yyyy"),7)&amp;"/"&amp;thang(TEXT(M29,"d"),TEXT(M29,"m"),TEXT(M29,"yyyy"),7),ngay(TEXT(M29,"d"),TEXT(M29,"m"),TEXT(M29,"yyyy"),7)))</f>
        <v>3</v>
      </c>
      <c r="N30" s="95">
        <f>IF(N29="","",IF(ngay(TEXT(N29,"d"),TEXT(N29,"m"),TEXT(N29,"yyyy"),7)=1,ngay(TEXT(N29,"d"),TEXT(N29,"m"),TEXT(N29,"yyyy"),7)&amp;"/"&amp;thang(TEXT(N29,"d"),TEXT(N29,"m"),TEXT(N29,"yyyy"),7),ngay(TEXT(N29,"d"),TEXT(N29,"m"),TEXT(N29,"yyyy"),7)))</f>
        <v>4</v>
      </c>
      <c r="O30" s="95">
        <f>IF(O29="","",IF(ngay(TEXT(O29,"d"),TEXT(O29,"m"),TEXT(O29,"yyyy"),7)=1,ngay(TEXT(O29,"d"),TEXT(O29,"m"),TEXT(O29,"yyyy"),7)&amp;"/"&amp;thang(TEXT(O29,"d"),TEXT(O29,"m"),TEXT(O29,"yyyy"),7),ngay(TEXT(O29,"d"),TEXT(O29,"m"),TEXT(O29,"yyyy"),7)))</f>
        <v>5</v>
      </c>
      <c r="P30" s="94">
        <f>IF(P29="","",IF(ngay(TEXT(P29,"d"),TEXT(P29,"m"),TEXT(P29,"yyyy"),7)=1,ngay(TEXT(P29,"d"),TEXT(P29,"m"),TEXT(P29,"yyyy"),7)&amp;"/"&amp;thang(TEXT(P29,"d"),TEXT(P29,"m"),TEXT(P29,"yyyy"),7),ngay(TEXT(P29,"d"),TEXT(P29,"m"),TEXT(P29,"yyyy"),7)))</f>
        <v>6</v>
      </c>
      <c r="Q30" s="87"/>
      <c r="R30" s="96">
        <f>IF(R29="","",IF(ngay(TEXT(R29,"d"),TEXT(R29,"m"),TEXT(R29,"yyyy"),7)=1,ngay(TEXT(R29,"d"),TEXT(R29,"m"),TEXT(R29,"yyyy"),7)&amp;"/"&amp;thang(TEXT(R29,"d"),TEXT(R29,"m"),TEXT(R29,"yyyy"),7),ngay(TEXT(R29,"d"),TEXT(R29,"m"),TEXT(R29,"yyyy"),7)))</f>
        <v>28</v>
      </c>
      <c r="S30" s="95">
        <f>IF(S29="","",IF(ngay(TEXT(S29,"d"),TEXT(S29,"m"),TEXT(S29,"yyyy"),7)=1,ngay(TEXT(S29,"d"),TEXT(S29,"m"),TEXT(S29,"yyyy"),7)&amp;"/"&amp;thang(TEXT(S29,"d"),TEXT(S29,"m"),TEXT(S29,"yyyy"),7),ngay(TEXT(S29,"d"),TEXT(S29,"m"),TEXT(S29,"yyyy"),7)))</f>
        <v>29</v>
      </c>
      <c r="T30" s="95">
        <f>IF(T29="","",IF(ngay(TEXT(T29,"d"),TEXT(T29,"m"),TEXT(T29,"yyyy"),7)=1,ngay(TEXT(T29,"d"),TEXT(T29,"m"),TEXT(T29,"yyyy"),7)&amp;"/"&amp;thang(TEXT(T29,"d"),TEXT(T29,"m"),TEXT(T29,"yyyy"),7),ngay(TEXT(T29,"d"),TEXT(T29,"m"),TEXT(T29,"yyyy"),7)))</f>
        <v>30</v>
      </c>
      <c r="U30" s="95" t="str">
        <f>IF(U29="","",IF(ngay(TEXT(U29,"d"),TEXT(U29,"m"),TEXT(U29,"yyyy"),7)=1,ngay(TEXT(U29,"d"),TEXT(U29,"m"),TEXT(U29,"yyyy"),7)&amp;"/"&amp;thang(TEXT(U29,"d"),TEXT(U29,"m"),TEXT(U29,"yyyy"),7),ngay(TEXT(U29,"d"),TEXT(U29,"m"),TEXT(U29,"yyyy"),7)))</f>
        <v>1/5</v>
      </c>
      <c r="V30" s="95">
        <f>IF(V29="","",IF(ngay(TEXT(V29,"d"),TEXT(V29,"m"),TEXT(V29,"yyyy"),7)=1,ngay(TEXT(V29,"d"),TEXT(V29,"m"),TEXT(V29,"yyyy"),7)&amp;"/"&amp;thang(TEXT(V29,"d"),TEXT(V29,"m"),TEXT(V29,"yyyy"),7),ngay(TEXT(V29,"d"),TEXT(V29,"m"),TEXT(V29,"yyyy"),7)))</f>
        <v>2</v>
      </c>
      <c r="W30" s="95">
        <f>IF(W29="","",IF(ngay(TEXT(W29,"d"),TEXT(W29,"m"),TEXT(W29,"yyyy"),7)=1,ngay(TEXT(W29,"d"),TEXT(W29,"m"),TEXT(W29,"yyyy"),7)&amp;"/"&amp;thang(TEXT(W29,"d"),TEXT(W29,"m"),TEXT(W29,"yyyy"),7),ngay(TEXT(W29,"d"),TEXT(W29,"m"),TEXT(W29,"yyyy"),7)))</f>
        <v>3</v>
      </c>
      <c r="X30" s="94">
        <f>IF(X29="","",IF(ngay(TEXT(X29,"d"),TEXT(X29,"m"),TEXT(X29,"yyyy"),7)=1,ngay(TEXT(X29,"d"),TEXT(X29,"m"),TEXT(X29,"yyyy"),7)&amp;"/"&amp;thang(TEXT(X29,"d"),TEXT(X29,"m"),TEXT(X29,"yyyy"),7),ngay(TEXT(X29,"d"),TEXT(X29,"m"),TEXT(X29,"yyyy"),7)))</f>
        <v>4</v>
      </c>
    </row>
    <row r="31" spans="1:24" s="88" customFormat="1" ht="45.95" customHeight="1" x14ac:dyDescent="0.3">
      <c r="B31" s="92">
        <f>IF(H29="","",IF(MONTH(H29+1)&lt;&gt;MONTH(H29),"",H29+1))</f>
        <v>43206</v>
      </c>
      <c r="C31" s="91">
        <f>IF(B31="","",IF(MONTH(B31+1)&lt;&gt;MONTH(B31),"",B31+1))</f>
        <v>43207</v>
      </c>
      <c r="D31" s="91">
        <f>IF(C31="","",IF(MONTH(C31+1)&lt;&gt;MONTH(C31),"",C31+1))</f>
        <v>43208</v>
      </c>
      <c r="E31" s="91">
        <f>IF(D31="","",IF(MONTH(D31+1)&lt;&gt;MONTH(D31),"",D31+1))</f>
        <v>43209</v>
      </c>
      <c r="F31" s="91">
        <f>IF(E31="","",IF(MONTH(E31+1)&lt;&gt;MONTH(E31),"",E31+1))</f>
        <v>43210</v>
      </c>
      <c r="G31" s="90">
        <f>IF(F31="","",IF(MONTH(F31+1)&lt;&gt;MONTH(F31),"",F31+1))</f>
        <v>43211</v>
      </c>
      <c r="H31" s="89">
        <f>IF(G31="","",IF(MONTH(G31+1)&lt;&gt;MONTH(G31),"",G31+1))</f>
        <v>43212</v>
      </c>
      <c r="I31" s="93"/>
      <c r="J31" s="92">
        <f>IF(P29="","",IF(MONTH(P29+1)&lt;&gt;MONTH(P29),"",P29+1))</f>
        <v>43241</v>
      </c>
      <c r="K31" s="91">
        <f>IF(J31="","",IF(MONTH(J31+1)&lt;&gt;MONTH(J31),"",J31+1))</f>
        <v>43242</v>
      </c>
      <c r="L31" s="91">
        <f>IF(K31="","",IF(MONTH(K31+1)&lt;&gt;MONTH(K31),"",K31+1))</f>
        <v>43243</v>
      </c>
      <c r="M31" s="91">
        <f>IF(L31="","",IF(MONTH(L31+1)&lt;&gt;MONTH(L31),"",L31+1))</f>
        <v>43244</v>
      </c>
      <c r="N31" s="91">
        <f>IF(M31="","",IF(MONTH(M31+1)&lt;&gt;MONTH(M31),"",M31+1))</f>
        <v>43245</v>
      </c>
      <c r="O31" s="90">
        <f>IF(N31="","",IF(MONTH(N31+1)&lt;&gt;MONTH(N31),"",N31+1))</f>
        <v>43246</v>
      </c>
      <c r="P31" s="89">
        <f>IF(O31="","",IF(MONTH(O31+1)&lt;&gt;MONTH(O31),"",O31+1))</f>
        <v>43247</v>
      </c>
      <c r="Q31" s="93"/>
      <c r="R31" s="92">
        <f>IF(X29="","",IF(MONTH(X29+1)&lt;&gt;MONTH(X29),"",X29+1))</f>
        <v>43269</v>
      </c>
      <c r="S31" s="91">
        <f>IF(R31="","",IF(MONTH(R31+1)&lt;&gt;MONTH(R31),"",R31+1))</f>
        <v>43270</v>
      </c>
      <c r="T31" s="91">
        <f>IF(S31="","",IF(MONTH(S31+1)&lt;&gt;MONTH(S31),"",S31+1))</f>
        <v>43271</v>
      </c>
      <c r="U31" s="91">
        <f>IF(T31="","",IF(MONTH(T31+1)&lt;&gt;MONTH(T31),"",T31+1))</f>
        <v>43272</v>
      </c>
      <c r="V31" s="91">
        <f>IF(U31="","",IF(MONTH(U31+1)&lt;&gt;MONTH(U31),"",U31+1))</f>
        <v>43273</v>
      </c>
      <c r="W31" s="90">
        <f>IF(V31="","",IF(MONTH(V31+1)&lt;&gt;MONTH(V31),"",V31+1))</f>
        <v>43274</v>
      </c>
      <c r="X31" s="89">
        <f>IF(W31="","",IF(MONTH(W31+1)&lt;&gt;MONTH(W31),"",W31+1))</f>
        <v>43275</v>
      </c>
    </row>
    <row r="32" spans="1:24" s="83" customFormat="1" ht="45.95" customHeight="1" x14ac:dyDescent="0.2">
      <c r="B32" s="96" t="str">
        <f>IF(B31="","",IF(ngay(TEXT(B31,"d"),TEXT(B31,"m"),TEXT(B31,"yyyy"),7)=1,ngay(TEXT(B31,"d"),TEXT(B31,"m"),TEXT(B31,"yyyy"),7)&amp;"/"&amp;thang(TEXT(B31,"d"),TEXT(B31,"m"),TEXT(B31,"yyyy"),7),ngay(TEXT(B31,"d"),TEXT(B31,"m"),TEXT(B31,"yyyy"),7)))</f>
        <v>1/3</v>
      </c>
      <c r="C32" s="95">
        <f>IF(C31="","",IF(ngay(TEXT(C31,"d"),TEXT(C31,"m"),TEXT(C31,"yyyy"),7)=1,ngay(TEXT(C31,"d"),TEXT(C31,"m"),TEXT(C31,"yyyy"),7)&amp;"/"&amp;thang(TEXT(C31,"d"),TEXT(C31,"m"),TEXT(C31,"yyyy"),7),ngay(TEXT(C31,"d"),TEXT(C31,"m"),TEXT(C31,"yyyy"),7)))</f>
        <v>2</v>
      </c>
      <c r="D32" s="95">
        <f>IF(D31="","",IF(ngay(TEXT(D31,"d"),TEXT(D31,"m"),TEXT(D31,"yyyy"),7)=1,ngay(TEXT(D31,"d"),TEXT(D31,"m"),TEXT(D31,"yyyy"),7)&amp;"/"&amp;thang(TEXT(D31,"d"),TEXT(D31,"m"),TEXT(D31,"yyyy"),7),ngay(TEXT(D31,"d"),TEXT(D31,"m"),TEXT(D31,"yyyy"),7)))</f>
        <v>3</v>
      </c>
      <c r="E32" s="95">
        <f>IF(E31="","",IF(ngay(TEXT(E31,"d"),TEXT(E31,"m"),TEXT(E31,"yyyy"),7)=1,ngay(TEXT(E31,"d"),TEXT(E31,"m"),TEXT(E31,"yyyy"),7)&amp;"/"&amp;thang(TEXT(E31,"d"),TEXT(E31,"m"),TEXT(E31,"yyyy"),7),ngay(TEXT(E31,"d"),TEXT(E31,"m"),TEXT(E31,"yyyy"),7)))</f>
        <v>4</v>
      </c>
      <c r="F32" s="95">
        <f>IF(F31="","",IF(ngay(TEXT(F31,"d"),TEXT(F31,"m"),TEXT(F31,"yyyy"),7)=1,ngay(TEXT(F31,"d"),TEXT(F31,"m"),TEXT(F31,"yyyy"),7)&amp;"/"&amp;thang(TEXT(F31,"d"),TEXT(F31,"m"),TEXT(F31,"yyyy"),7),ngay(TEXT(F31,"d"),TEXT(F31,"m"),TEXT(F31,"yyyy"),7)))</f>
        <v>5</v>
      </c>
      <c r="G32" s="95">
        <f>IF(G31="","",IF(ngay(TEXT(G31,"d"),TEXT(G31,"m"),TEXT(G31,"yyyy"),7)=1,ngay(TEXT(G31,"d"),TEXT(G31,"m"),TEXT(G31,"yyyy"),7)&amp;"/"&amp;thang(TEXT(G31,"d"),TEXT(G31,"m"),TEXT(G31,"yyyy"),7),ngay(TEXT(G31,"d"),TEXT(G31,"m"),TEXT(G31,"yyyy"),7)))</f>
        <v>6</v>
      </c>
      <c r="H32" s="94">
        <f>IF(H31="","",IF(ngay(TEXT(H31,"d"),TEXT(H31,"m"),TEXT(H31,"yyyy"),7)=1,ngay(TEXT(H31,"d"),TEXT(H31,"m"),TEXT(H31,"yyyy"),7)&amp;"/"&amp;thang(TEXT(H31,"d"),TEXT(H31,"m"),TEXT(H31,"yyyy"),7),ngay(TEXT(H31,"d"),TEXT(H31,"m"),TEXT(H31,"yyyy"),7)))</f>
        <v>7</v>
      </c>
      <c r="I32" s="87"/>
      <c r="J32" s="96">
        <f>IF(J31="","",IF(ngay(TEXT(J31,"d"),TEXT(J31,"m"),TEXT(J31,"yyyy"),7)=1,ngay(TEXT(J31,"d"),TEXT(J31,"m"),TEXT(J31,"yyyy"),7)&amp;"/"&amp;thang(TEXT(J31,"d"),TEXT(J31,"m"),TEXT(J31,"yyyy"),7),ngay(TEXT(J31,"d"),TEXT(J31,"m"),TEXT(J31,"yyyy"),7)))</f>
        <v>7</v>
      </c>
      <c r="K32" s="95">
        <f>IF(K31="","",IF(ngay(TEXT(K31,"d"),TEXT(K31,"m"),TEXT(K31,"yyyy"),7)=1,ngay(TEXT(K31,"d"),TEXT(K31,"m"),TEXT(K31,"yyyy"),7)&amp;"/"&amp;thang(TEXT(K31,"d"),TEXT(K31,"m"),TEXT(K31,"yyyy"),7),ngay(TEXT(K31,"d"),TEXT(K31,"m"),TEXT(K31,"yyyy"),7)))</f>
        <v>8</v>
      </c>
      <c r="L32" s="95">
        <f>IF(L31="","",IF(ngay(TEXT(L31,"d"),TEXT(L31,"m"),TEXT(L31,"yyyy"),7)=1,ngay(TEXT(L31,"d"),TEXT(L31,"m"),TEXT(L31,"yyyy"),7)&amp;"/"&amp;thang(TEXT(L31,"d"),TEXT(L31,"m"),TEXT(L31,"yyyy"),7),ngay(TEXT(L31,"d"),TEXT(L31,"m"),TEXT(L31,"yyyy"),7)))</f>
        <v>9</v>
      </c>
      <c r="M32" s="95">
        <f>IF(M31="","",IF(ngay(TEXT(M31,"d"),TEXT(M31,"m"),TEXT(M31,"yyyy"),7)=1,ngay(TEXT(M31,"d"),TEXT(M31,"m"),TEXT(M31,"yyyy"),7)&amp;"/"&amp;thang(TEXT(M31,"d"),TEXT(M31,"m"),TEXT(M31,"yyyy"),7),ngay(TEXT(M31,"d"),TEXT(M31,"m"),TEXT(M31,"yyyy"),7)))</f>
        <v>10</v>
      </c>
      <c r="N32" s="95">
        <f>IF(N31="","",IF(ngay(TEXT(N31,"d"),TEXT(N31,"m"),TEXT(N31,"yyyy"),7)=1,ngay(TEXT(N31,"d"),TEXT(N31,"m"),TEXT(N31,"yyyy"),7)&amp;"/"&amp;thang(TEXT(N31,"d"),TEXT(N31,"m"),TEXT(N31,"yyyy"),7),ngay(TEXT(N31,"d"),TEXT(N31,"m"),TEXT(N31,"yyyy"),7)))</f>
        <v>11</v>
      </c>
      <c r="O32" s="95">
        <f>IF(O31="","",IF(ngay(TEXT(O31,"d"),TEXT(O31,"m"),TEXT(O31,"yyyy"),7)=1,ngay(TEXT(O31,"d"),TEXT(O31,"m"),TEXT(O31,"yyyy"),7)&amp;"/"&amp;thang(TEXT(O31,"d"),TEXT(O31,"m"),TEXT(O31,"yyyy"),7),ngay(TEXT(O31,"d"),TEXT(O31,"m"),TEXT(O31,"yyyy"),7)))</f>
        <v>12</v>
      </c>
      <c r="P32" s="94">
        <f>IF(P31="","",IF(ngay(TEXT(P31,"d"),TEXT(P31,"m"),TEXT(P31,"yyyy"),7)=1,ngay(TEXT(P31,"d"),TEXT(P31,"m"),TEXT(P31,"yyyy"),7)&amp;"/"&amp;thang(TEXT(P31,"d"),TEXT(P31,"m"),TEXT(P31,"yyyy"),7),ngay(TEXT(P31,"d"),TEXT(P31,"m"),TEXT(P31,"yyyy"),7)))</f>
        <v>13</v>
      </c>
      <c r="Q32" s="87"/>
      <c r="R32" s="96">
        <f>IF(R31="","",IF(ngay(TEXT(R31,"d"),TEXT(R31,"m"),TEXT(R31,"yyyy"),7)=1,ngay(TEXT(R31,"d"),TEXT(R31,"m"),TEXT(R31,"yyyy"),7)&amp;"/"&amp;thang(TEXT(R31,"d"),TEXT(R31,"m"),TEXT(R31,"yyyy"),7),ngay(TEXT(R31,"d"),TEXT(R31,"m"),TEXT(R31,"yyyy"),7)))</f>
        <v>5</v>
      </c>
      <c r="S32" s="95">
        <f>IF(S31="","",IF(ngay(TEXT(S31,"d"),TEXT(S31,"m"),TEXT(S31,"yyyy"),7)=1,ngay(TEXT(S31,"d"),TEXT(S31,"m"),TEXT(S31,"yyyy"),7)&amp;"/"&amp;thang(TEXT(S31,"d"),TEXT(S31,"m"),TEXT(S31,"yyyy"),7),ngay(TEXT(S31,"d"),TEXT(S31,"m"),TEXT(S31,"yyyy"),7)))</f>
        <v>6</v>
      </c>
      <c r="T32" s="95">
        <f>IF(T31="","",IF(ngay(TEXT(T31,"d"),TEXT(T31,"m"),TEXT(T31,"yyyy"),7)=1,ngay(TEXT(T31,"d"),TEXT(T31,"m"),TEXT(T31,"yyyy"),7)&amp;"/"&amp;thang(TEXT(T31,"d"),TEXT(T31,"m"),TEXT(T31,"yyyy"),7),ngay(TEXT(T31,"d"),TEXT(T31,"m"),TEXT(T31,"yyyy"),7)))</f>
        <v>7</v>
      </c>
      <c r="U32" s="95">
        <f>IF(U31="","",IF(ngay(TEXT(U31,"d"),TEXT(U31,"m"),TEXT(U31,"yyyy"),7)=1,ngay(TEXT(U31,"d"),TEXT(U31,"m"),TEXT(U31,"yyyy"),7)&amp;"/"&amp;thang(TEXT(U31,"d"),TEXT(U31,"m"),TEXT(U31,"yyyy"),7),ngay(TEXT(U31,"d"),TEXT(U31,"m"),TEXT(U31,"yyyy"),7)))</f>
        <v>8</v>
      </c>
      <c r="V32" s="95">
        <f>IF(V31="","",IF(ngay(TEXT(V31,"d"),TEXT(V31,"m"),TEXT(V31,"yyyy"),7)=1,ngay(TEXT(V31,"d"),TEXT(V31,"m"),TEXT(V31,"yyyy"),7)&amp;"/"&amp;thang(TEXT(V31,"d"),TEXT(V31,"m"),TEXT(V31,"yyyy"),7),ngay(TEXT(V31,"d"),TEXT(V31,"m"),TEXT(V31,"yyyy"),7)))</f>
        <v>9</v>
      </c>
      <c r="W32" s="95">
        <f>IF(W31="","",IF(ngay(TEXT(W31,"d"),TEXT(W31,"m"),TEXT(W31,"yyyy"),7)=1,ngay(TEXT(W31,"d"),TEXT(W31,"m"),TEXT(W31,"yyyy"),7)&amp;"/"&amp;thang(TEXT(W31,"d"),TEXT(W31,"m"),TEXT(W31,"yyyy"),7),ngay(TEXT(W31,"d"),TEXT(W31,"m"),TEXT(W31,"yyyy"),7)))</f>
        <v>10</v>
      </c>
      <c r="X32" s="94">
        <f>IF(X31="","",IF(ngay(TEXT(X31,"d"),TEXT(X31,"m"),TEXT(X31,"yyyy"),7)=1,ngay(TEXT(X31,"d"),TEXT(X31,"m"),TEXT(X31,"yyyy"),7)&amp;"/"&amp;thang(TEXT(X31,"d"),TEXT(X31,"m"),TEXT(X31,"yyyy"),7),ngay(TEXT(X31,"d"),TEXT(X31,"m"),TEXT(X31,"yyyy"),7)))</f>
        <v>11</v>
      </c>
    </row>
    <row r="33" spans="1:24" s="88" customFormat="1" ht="45.95" customHeight="1" x14ac:dyDescent="0.3">
      <c r="B33" s="92">
        <f>IF(H31="","",IF(MONTH(H31+1)&lt;&gt;MONTH(H31),"",H31+1))</f>
        <v>43213</v>
      </c>
      <c r="C33" s="91">
        <f>IF(B33="","",IF(MONTH(B33+1)&lt;&gt;MONTH(B33),"",B33+1))</f>
        <v>43214</v>
      </c>
      <c r="D33" s="91">
        <f>IF(C33="","",IF(MONTH(C33+1)&lt;&gt;MONTH(C33),"",C33+1))</f>
        <v>43215</v>
      </c>
      <c r="E33" s="91">
        <f>IF(D33="","",IF(MONTH(D33+1)&lt;&gt;MONTH(D33),"",D33+1))</f>
        <v>43216</v>
      </c>
      <c r="F33" s="91">
        <f>IF(E33="","",IF(MONTH(E33+1)&lt;&gt;MONTH(E33),"",E33+1))</f>
        <v>43217</v>
      </c>
      <c r="G33" s="90">
        <f>IF(F33="","",IF(MONTH(F33+1)&lt;&gt;MONTH(F33),"",F33+1))</f>
        <v>43218</v>
      </c>
      <c r="H33" s="89">
        <f>IF(G33="","",IF(MONTH(G33+1)&lt;&gt;MONTH(G33),"",G33+1))</f>
        <v>43219</v>
      </c>
      <c r="I33" s="93"/>
      <c r="J33" s="92">
        <f>IF(P31="","",IF(MONTH(P31+1)&lt;&gt;MONTH(P31),"",P31+1))</f>
        <v>43248</v>
      </c>
      <c r="K33" s="91">
        <f>IF(J33="","",IF(MONTH(J33+1)&lt;&gt;MONTH(J33),"",J33+1))</f>
        <v>43249</v>
      </c>
      <c r="L33" s="91">
        <f>IF(K33="","",IF(MONTH(K33+1)&lt;&gt;MONTH(K33),"",K33+1))</f>
        <v>43250</v>
      </c>
      <c r="M33" s="91">
        <f>IF(L33="","",IF(MONTH(L33+1)&lt;&gt;MONTH(L33),"",L33+1))</f>
        <v>43251</v>
      </c>
      <c r="N33" s="91" t="str">
        <f>IF(M33="","",IF(MONTH(M33+1)&lt;&gt;MONTH(M33),"",M33+1))</f>
        <v/>
      </c>
      <c r="O33" s="90" t="str">
        <f>IF(N33="","",IF(MONTH(N33+1)&lt;&gt;MONTH(N33),"",N33+1))</f>
        <v/>
      </c>
      <c r="P33" s="89" t="str">
        <f>IF(O33="","",IF(MONTH(O33+1)&lt;&gt;MONTH(O33),"",O33+1))</f>
        <v/>
      </c>
      <c r="Q33" s="93"/>
      <c r="R33" s="92">
        <f>IF(X31="","",IF(MONTH(X31+1)&lt;&gt;MONTH(X31),"",X31+1))</f>
        <v>43276</v>
      </c>
      <c r="S33" s="91">
        <f>IF(R33="","",IF(MONTH(R33+1)&lt;&gt;MONTH(R33),"",R33+1))</f>
        <v>43277</v>
      </c>
      <c r="T33" s="91">
        <f>IF(S33="","",IF(MONTH(S33+1)&lt;&gt;MONTH(S33),"",S33+1))</f>
        <v>43278</v>
      </c>
      <c r="U33" s="91">
        <f>IF(T33="","",IF(MONTH(T33+1)&lt;&gt;MONTH(T33),"",T33+1))</f>
        <v>43279</v>
      </c>
      <c r="V33" s="91">
        <f>IF(U33="","",IF(MONTH(U33+1)&lt;&gt;MONTH(U33),"",U33+1))</f>
        <v>43280</v>
      </c>
      <c r="W33" s="90">
        <f>IF(V33="","",IF(MONTH(V33+1)&lt;&gt;MONTH(V33),"",V33+1))</f>
        <v>43281</v>
      </c>
      <c r="X33" s="89" t="str">
        <f>IF(W33="","",IF(MONTH(W33+1)&lt;&gt;MONTH(W33),"",W33+1))</f>
        <v/>
      </c>
    </row>
    <row r="34" spans="1:24" s="83" customFormat="1" ht="45.95" customHeight="1" x14ac:dyDescent="0.2">
      <c r="B34" s="96">
        <f>IF(B33="","",IF(ngay(TEXT(B33,"d"),TEXT(B33,"m"),TEXT(B33,"yyyy"),7)=1,ngay(TEXT(B33,"d"),TEXT(B33,"m"),TEXT(B33,"yyyy"),7)&amp;"/"&amp;thang(TEXT(B33,"d"),TEXT(B33,"m"),TEXT(B33,"yyyy"),7),ngay(TEXT(B33,"d"),TEXT(B33,"m"),TEXT(B33,"yyyy"),7)))</f>
        <v>8</v>
      </c>
      <c r="C34" s="95">
        <f>IF(C33="","",IF(ngay(TEXT(C33,"d"),TEXT(C33,"m"),TEXT(C33,"yyyy"),7)=1,ngay(TEXT(C33,"d"),TEXT(C33,"m"),TEXT(C33,"yyyy"),7)&amp;"/"&amp;thang(TEXT(C33,"d"),TEXT(C33,"m"),TEXT(C33,"yyyy"),7),ngay(TEXT(C33,"d"),TEXT(C33,"m"),TEXT(C33,"yyyy"),7)))</f>
        <v>9</v>
      </c>
      <c r="D34" s="95">
        <f>IF(D33="","",IF(ngay(TEXT(D33,"d"),TEXT(D33,"m"),TEXT(D33,"yyyy"),7)=1,ngay(TEXT(D33,"d"),TEXT(D33,"m"),TEXT(D33,"yyyy"),7)&amp;"/"&amp;thang(TEXT(D33,"d"),TEXT(D33,"m"),TEXT(D33,"yyyy"),7),ngay(TEXT(D33,"d"),TEXT(D33,"m"),TEXT(D33,"yyyy"),7)))</f>
        <v>10</v>
      </c>
      <c r="E34" s="95">
        <f>IF(E33="","",IF(ngay(TEXT(E33,"d"),TEXT(E33,"m"),TEXT(E33,"yyyy"),7)=1,ngay(TEXT(E33,"d"),TEXT(E33,"m"),TEXT(E33,"yyyy"),7)&amp;"/"&amp;thang(TEXT(E33,"d"),TEXT(E33,"m"),TEXT(E33,"yyyy"),7),ngay(TEXT(E33,"d"),TEXT(E33,"m"),TEXT(E33,"yyyy"),7)))</f>
        <v>11</v>
      </c>
      <c r="F34" s="95">
        <f>IF(F33="","",IF(ngay(TEXT(F33,"d"),TEXT(F33,"m"),TEXT(F33,"yyyy"),7)=1,ngay(TEXT(F33,"d"),TEXT(F33,"m"),TEXT(F33,"yyyy"),7)&amp;"/"&amp;thang(TEXT(F33,"d"),TEXT(F33,"m"),TEXT(F33,"yyyy"),7),ngay(TEXT(F33,"d"),TEXT(F33,"m"),TEXT(F33,"yyyy"),7)))</f>
        <v>12</v>
      </c>
      <c r="G34" s="95">
        <f>IF(G33="","",IF(ngay(TEXT(G33,"d"),TEXT(G33,"m"),TEXT(G33,"yyyy"),7)=1,ngay(TEXT(G33,"d"),TEXT(G33,"m"),TEXT(G33,"yyyy"),7)&amp;"/"&amp;thang(TEXT(G33,"d"),TEXT(G33,"m"),TEXT(G33,"yyyy"),7),ngay(TEXT(G33,"d"),TEXT(G33,"m"),TEXT(G33,"yyyy"),7)))</f>
        <v>13</v>
      </c>
      <c r="H34" s="94">
        <f>IF(H33="","",IF(ngay(TEXT(H33,"d"),TEXT(H33,"m"),TEXT(H33,"yyyy"),7)=1,ngay(TEXT(H33,"d"),TEXT(H33,"m"),TEXT(H33,"yyyy"),7)&amp;"/"&amp;thang(TEXT(H33,"d"),TEXT(H33,"m"),TEXT(H33,"yyyy"),7),ngay(TEXT(H33,"d"),TEXT(H33,"m"),TEXT(H33,"yyyy"),7)))</f>
        <v>14</v>
      </c>
      <c r="I34" s="87"/>
      <c r="J34" s="96">
        <f>IF(J33="","",IF(ngay(TEXT(J33,"d"),TEXT(J33,"m"),TEXT(J33,"yyyy"),7)=1,ngay(TEXT(J33,"d"),TEXT(J33,"m"),TEXT(J33,"yyyy"),7)&amp;"/"&amp;thang(TEXT(J33,"d"),TEXT(J33,"m"),TEXT(J33,"yyyy"),7),ngay(TEXT(J33,"d"),TEXT(J33,"m"),TEXT(J33,"yyyy"),7)))</f>
        <v>14</v>
      </c>
      <c r="K34" s="95">
        <f>IF(K33="","",IF(ngay(TEXT(K33,"d"),TEXT(K33,"m"),TEXT(K33,"yyyy"),7)=1,ngay(TEXT(K33,"d"),TEXT(K33,"m"),TEXT(K33,"yyyy"),7)&amp;"/"&amp;thang(TEXT(K33,"d"),TEXT(K33,"m"),TEXT(K33,"yyyy"),7),ngay(TEXT(K33,"d"),TEXT(K33,"m"),TEXT(K33,"yyyy"),7)))</f>
        <v>15</v>
      </c>
      <c r="L34" s="95">
        <f>IF(L33="","",IF(ngay(TEXT(L33,"d"),TEXT(L33,"m"),TEXT(L33,"yyyy"),7)=1,ngay(TEXT(L33,"d"),TEXT(L33,"m"),TEXT(L33,"yyyy"),7)&amp;"/"&amp;thang(TEXT(L33,"d"),TEXT(L33,"m"),TEXT(L33,"yyyy"),7),ngay(TEXT(L33,"d"),TEXT(L33,"m"),TEXT(L33,"yyyy"),7)))</f>
        <v>16</v>
      </c>
      <c r="M34" s="95">
        <f>IF(M33="","",IF(ngay(TEXT(M33,"d"),TEXT(M33,"m"),TEXT(M33,"yyyy"),7)=1,ngay(TEXT(M33,"d"),TEXT(M33,"m"),TEXT(M33,"yyyy"),7)&amp;"/"&amp;thang(TEXT(M33,"d"),TEXT(M33,"m"),TEXT(M33,"yyyy"),7),ngay(TEXT(M33,"d"),TEXT(M33,"m"),TEXT(M33,"yyyy"),7)))</f>
        <v>17</v>
      </c>
      <c r="N34" s="95" t="str">
        <f>IF(N33="","",IF(ngay(TEXT(N33,"d"),TEXT(N33,"m"),TEXT(N33,"yyyy"),7)=1,ngay(TEXT(N33,"d"),TEXT(N33,"m"),TEXT(N33,"yyyy"),7)&amp;"/"&amp;thang(TEXT(N33,"d"),TEXT(N33,"m"),TEXT(N33,"yyyy"),7),ngay(TEXT(N33,"d"),TEXT(N33,"m"),TEXT(N33,"yyyy"),7)))</f>
        <v/>
      </c>
      <c r="O34" s="95" t="str">
        <f>IF(O33="","",IF(ngay(TEXT(O33,"d"),TEXT(O33,"m"),TEXT(O33,"yyyy"),7)=1,ngay(TEXT(O33,"d"),TEXT(O33,"m"),TEXT(O33,"yyyy"),7)&amp;"/"&amp;thang(TEXT(O33,"d"),TEXT(O33,"m"),TEXT(O33,"yyyy"),7),ngay(TEXT(O33,"d"),TEXT(O33,"m"),TEXT(O33,"yyyy"),7)))</f>
        <v/>
      </c>
      <c r="P34" s="94" t="str">
        <f>IF(P33="","",IF(ngay(TEXT(P33,"d"),TEXT(P33,"m"),TEXT(P33,"yyyy"),7)=1,ngay(TEXT(P33,"d"),TEXT(P33,"m"),TEXT(P33,"yyyy"),7)&amp;"/"&amp;thang(TEXT(P33,"d"),TEXT(P33,"m"),TEXT(P33,"yyyy"),7),ngay(TEXT(P33,"d"),TEXT(P33,"m"),TEXT(P33,"yyyy"),7)))</f>
        <v/>
      </c>
      <c r="Q34" s="87"/>
      <c r="R34" s="96">
        <f>IF(R33="","",IF(ngay(TEXT(R33,"d"),TEXT(R33,"m"),TEXT(R33,"yyyy"),7)=1,ngay(TEXT(R33,"d"),TEXT(R33,"m"),TEXT(R33,"yyyy"),7)&amp;"/"&amp;thang(TEXT(R33,"d"),TEXT(R33,"m"),TEXT(R33,"yyyy"),7),ngay(TEXT(R33,"d"),TEXT(R33,"m"),TEXT(R33,"yyyy"),7)))</f>
        <v>12</v>
      </c>
      <c r="S34" s="95">
        <f>IF(S33="","",IF(ngay(TEXT(S33,"d"),TEXT(S33,"m"),TEXT(S33,"yyyy"),7)=1,ngay(TEXT(S33,"d"),TEXT(S33,"m"),TEXT(S33,"yyyy"),7)&amp;"/"&amp;thang(TEXT(S33,"d"),TEXT(S33,"m"),TEXT(S33,"yyyy"),7),ngay(TEXT(S33,"d"),TEXT(S33,"m"),TEXT(S33,"yyyy"),7)))</f>
        <v>13</v>
      </c>
      <c r="T34" s="95">
        <f>IF(T33="","",IF(ngay(TEXT(T33,"d"),TEXT(T33,"m"),TEXT(T33,"yyyy"),7)=1,ngay(TEXT(T33,"d"),TEXT(T33,"m"),TEXT(T33,"yyyy"),7)&amp;"/"&amp;thang(TEXT(T33,"d"),TEXT(T33,"m"),TEXT(T33,"yyyy"),7),ngay(TEXT(T33,"d"),TEXT(T33,"m"),TEXT(T33,"yyyy"),7)))</f>
        <v>14</v>
      </c>
      <c r="U34" s="95">
        <f>IF(U33="","",IF(ngay(TEXT(U33,"d"),TEXT(U33,"m"),TEXT(U33,"yyyy"),7)=1,ngay(TEXT(U33,"d"),TEXT(U33,"m"),TEXT(U33,"yyyy"),7)&amp;"/"&amp;thang(TEXT(U33,"d"),TEXT(U33,"m"),TEXT(U33,"yyyy"),7),ngay(TEXT(U33,"d"),TEXT(U33,"m"),TEXT(U33,"yyyy"),7)))</f>
        <v>15</v>
      </c>
      <c r="V34" s="95">
        <f>IF(V33="","",IF(ngay(TEXT(V33,"d"),TEXT(V33,"m"),TEXT(V33,"yyyy"),7)=1,ngay(TEXT(V33,"d"),TEXT(V33,"m"),TEXT(V33,"yyyy"),7)&amp;"/"&amp;thang(TEXT(V33,"d"),TEXT(V33,"m"),TEXT(V33,"yyyy"),7),ngay(TEXT(V33,"d"),TEXT(V33,"m"),TEXT(V33,"yyyy"),7)))</f>
        <v>16</v>
      </c>
      <c r="W34" s="95">
        <f>IF(W33="","",IF(ngay(TEXT(W33,"d"),TEXT(W33,"m"),TEXT(W33,"yyyy"),7)=1,ngay(TEXT(W33,"d"),TEXT(W33,"m"),TEXT(W33,"yyyy"),7)&amp;"/"&amp;thang(TEXT(W33,"d"),TEXT(W33,"m"),TEXT(W33,"yyyy"),7),ngay(TEXT(W33,"d"),TEXT(W33,"m"),TEXT(W33,"yyyy"),7)))</f>
        <v>17</v>
      </c>
      <c r="X34" s="94" t="str">
        <f>IF(X33="","",IF(ngay(TEXT(X33,"d"),TEXT(X33,"m"),TEXT(X33,"yyyy"),7)=1,ngay(TEXT(X33,"d"),TEXT(X33,"m"),TEXT(X33,"yyyy"),7)&amp;"/"&amp;thang(TEXT(X33,"d"),TEXT(X33,"m"),TEXT(X33,"yyyy"),7),ngay(TEXT(X33,"d"),TEXT(X33,"m"),TEXT(X33,"yyyy"),7)))</f>
        <v/>
      </c>
    </row>
    <row r="35" spans="1:24" s="88" customFormat="1" ht="45.95" customHeight="1" x14ac:dyDescent="0.3">
      <c r="B35" s="111">
        <f>IF(H33="","",IF(MONTH(H33+1)&lt;&gt;MONTH(H33),"",H33+1))</f>
        <v>43220</v>
      </c>
      <c r="C35" s="91" t="str">
        <f>IF(B35="","",IF(MONTH(B35+1)&lt;&gt;MONTH(B35),"",B35+1))</f>
        <v/>
      </c>
      <c r="D35" s="91" t="str">
        <f>IF(C35="","",IF(MONTH(C35+1)&lt;&gt;MONTH(C35),"",C35+1))</f>
        <v/>
      </c>
      <c r="E35" s="91" t="str">
        <f>IF(D35="","",IF(MONTH(D35+1)&lt;&gt;MONTH(D35),"",D35+1))</f>
        <v/>
      </c>
      <c r="F35" s="91" t="str">
        <f>IF(E35="","",IF(MONTH(E35+1)&lt;&gt;MONTH(E35),"",E35+1))</f>
        <v/>
      </c>
      <c r="G35" s="90" t="str">
        <f>IF(F35="","",IF(MONTH(F35+1)&lt;&gt;MONTH(F35),"",F35+1))</f>
        <v/>
      </c>
      <c r="H35" s="89" t="str">
        <f>IF(G35="","",IF(MONTH(G35+1)&lt;&gt;MONTH(G35),"",G35+1))</f>
        <v/>
      </c>
      <c r="I35" s="93"/>
      <c r="J35" s="92" t="str">
        <f>IF(P33="","",IF(MONTH(P33+1)&lt;&gt;MONTH(P33),"",P33+1))</f>
        <v/>
      </c>
      <c r="K35" s="91" t="str">
        <f>IF(J35="","",IF(MONTH(J35+1)&lt;&gt;MONTH(J35),"",J35+1))</f>
        <v/>
      </c>
      <c r="L35" s="91" t="str">
        <f>IF(K35="","",IF(MONTH(K35+1)&lt;&gt;MONTH(K35),"",K35+1))</f>
        <v/>
      </c>
      <c r="M35" s="91" t="str">
        <f>IF(L35="","",IF(MONTH(L35+1)&lt;&gt;MONTH(L35),"",L35+1))</f>
        <v/>
      </c>
      <c r="N35" s="91" t="str">
        <f>IF(M35="","",IF(MONTH(M35+1)&lt;&gt;MONTH(M35),"",M35+1))</f>
        <v/>
      </c>
      <c r="O35" s="90" t="str">
        <f>IF(N35="","",IF(MONTH(N35+1)&lt;&gt;MONTH(N35),"",N35+1))</f>
        <v/>
      </c>
      <c r="P35" s="89" t="str">
        <f>IF(O35="","",IF(MONTH(O35+1)&lt;&gt;MONTH(O35),"",O35+1))</f>
        <v/>
      </c>
      <c r="Q35" s="93"/>
      <c r="R35" s="92" t="str">
        <f>IF(X33="","",IF(MONTH(X33+1)&lt;&gt;MONTH(X33),"",X33+1))</f>
        <v/>
      </c>
      <c r="S35" s="91" t="str">
        <f>IF(R35="","",IF(MONTH(R35+1)&lt;&gt;MONTH(R35),"",R35+1))</f>
        <v/>
      </c>
      <c r="T35" s="91" t="str">
        <f>IF(S35="","",IF(MONTH(S35+1)&lt;&gt;MONTH(S35),"",S35+1))</f>
        <v/>
      </c>
      <c r="U35" s="91" t="str">
        <f>IF(T35="","",IF(MONTH(T35+1)&lt;&gt;MONTH(T35),"",T35+1))</f>
        <v/>
      </c>
      <c r="V35" s="91" t="str">
        <f>IF(U35="","",IF(MONTH(U35+1)&lt;&gt;MONTH(U35),"",U35+1))</f>
        <v/>
      </c>
      <c r="W35" s="90" t="str">
        <f>IF(V35="","",IF(MONTH(V35+1)&lt;&gt;MONTH(V35),"",V35+1))</f>
        <v/>
      </c>
      <c r="X35" s="89" t="str">
        <f>IF(W35="","",IF(MONTH(W35+1)&lt;&gt;MONTH(W35),"",W35+1))</f>
        <v/>
      </c>
    </row>
    <row r="36" spans="1:24" s="83" customFormat="1" ht="45.95" customHeight="1" x14ac:dyDescent="0.2">
      <c r="B36" s="86">
        <f>IF(B35="","",IF(ngay(TEXT(B35,"d"),TEXT(B35,"m"),TEXT(B35,"yyyy"),7)=1,ngay(TEXT(B35,"d"),TEXT(B35,"m"),TEXT(B35,"yyyy"),7)&amp;"/"&amp;thang(TEXT(B35,"d"),TEXT(B35,"m"),TEXT(B35,"yyyy"),7),ngay(TEXT(B35,"d"),TEXT(B35,"m"),TEXT(B35,"yyyy"),7)))</f>
        <v>15</v>
      </c>
      <c r="C36" s="85" t="str">
        <f>IF(C35="","",IF(ngay(TEXT(C35,"d"),TEXT(C35,"m"),TEXT(C35,"yyyy"),7)=1,ngay(TEXT(C35,"d"),TEXT(C35,"m"),TEXT(C35,"yyyy"),7)&amp;"/"&amp;thang(TEXT(C35,"d"),TEXT(C35,"m"),TEXT(C35,"yyyy"),7),ngay(TEXT(C35,"d"),TEXT(C35,"m"),TEXT(C35,"yyyy"),7)))</f>
        <v/>
      </c>
      <c r="D36" s="85" t="str">
        <f>IF(D35="","",IF(ngay(TEXT(D35,"d"),TEXT(D35,"m"),TEXT(D35,"yyyy"),7)=1,ngay(TEXT(D35,"d"),TEXT(D35,"m"),TEXT(D35,"yyyy"),7)&amp;"/"&amp;thang(TEXT(D35,"d"),TEXT(D35,"m"),TEXT(D35,"yyyy"),7),ngay(TEXT(D35,"d"),TEXT(D35,"m"),TEXT(D35,"yyyy"),7)))</f>
        <v/>
      </c>
      <c r="E36" s="85" t="str">
        <f>IF(E35="","",IF(ngay(TEXT(E35,"d"),TEXT(E35,"m"),TEXT(E35,"yyyy"),7)=1,ngay(TEXT(E35,"d"),TEXT(E35,"m"),TEXT(E35,"yyyy"),7)&amp;"/"&amp;thang(TEXT(E35,"d"),TEXT(E35,"m"),TEXT(E35,"yyyy"),7),ngay(TEXT(E35,"d"),TEXT(E35,"m"),TEXT(E35,"yyyy"),7)))</f>
        <v/>
      </c>
      <c r="F36" s="85" t="str">
        <f>IF(F35="","",IF(ngay(TEXT(F35,"d"),TEXT(F35,"m"),TEXT(F35,"yyyy"),7)=1,ngay(TEXT(F35,"d"),TEXT(F35,"m"),TEXT(F35,"yyyy"),7)&amp;"/"&amp;thang(TEXT(F35,"d"),TEXT(F35,"m"),TEXT(F35,"yyyy"),7),ngay(TEXT(F35,"d"),TEXT(F35,"m"),TEXT(F35,"yyyy"),7)))</f>
        <v/>
      </c>
      <c r="G36" s="85" t="str">
        <f>IF(G35="","",IF(ngay(TEXT(G35,"d"),TEXT(G35,"m"),TEXT(G35,"yyyy"),7)=1,ngay(TEXT(G35,"d"),TEXT(G35,"m"),TEXT(G35,"yyyy"),7)&amp;"/"&amp;thang(TEXT(G35,"d"),TEXT(G35,"m"),TEXT(G35,"yyyy"),7),ngay(TEXT(G35,"d"),TEXT(G35,"m"),TEXT(G35,"yyyy"),7)))</f>
        <v/>
      </c>
      <c r="H36" s="84" t="str">
        <f>IF(H35="","",IF(ngay(TEXT(H35,"d"),TEXT(H35,"m"),TEXT(H35,"yyyy"),7)=1,ngay(TEXT(H35,"d"),TEXT(H35,"m"),TEXT(H35,"yyyy"),7)&amp;"/"&amp;thang(TEXT(H35,"d"),TEXT(H35,"m"),TEXT(H35,"yyyy"),7),ngay(TEXT(H35,"d"),TEXT(H35,"m"),TEXT(H35,"yyyy"),7)))</f>
        <v/>
      </c>
      <c r="I36" s="87"/>
      <c r="J36" s="86" t="str">
        <f>IF(J35="","",IF(ngay(TEXT(J35,"d"),TEXT(J35,"m"),TEXT(J35,"yyyy"),7)=1,ngay(TEXT(J35,"d"),TEXT(J35,"m"),TEXT(J35,"yyyy"),7)&amp;"/"&amp;thang(TEXT(J35,"d"),TEXT(J35,"m"),TEXT(J35,"yyyy"),7),ngay(TEXT(J35,"d"),TEXT(J35,"m"),TEXT(J35,"yyyy"),7)))</f>
        <v/>
      </c>
      <c r="K36" s="85" t="str">
        <f>IF(K35="","",IF(ngay(TEXT(K35,"d"),TEXT(K35,"m"),TEXT(K35,"yyyy"),7)=1,ngay(TEXT(K35,"d"),TEXT(K35,"m"),TEXT(K35,"yyyy"),7)&amp;"/"&amp;thang(TEXT(K35,"d"),TEXT(K35,"m"),TEXT(K35,"yyyy"),7),ngay(TEXT(K35,"d"),TEXT(K35,"m"),TEXT(K35,"yyyy"),7)))</f>
        <v/>
      </c>
      <c r="L36" s="85" t="str">
        <f>IF(L35="","",IF(ngay(TEXT(L35,"d"),TEXT(L35,"m"),TEXT(L35,"yyyy"),7)=1,ngay(TEXT(L35,"d"),TEXT(L35,"m"),TEXT(L35,"yyyy"),7)&amp;"/"&amp;thang(TEXT(L35,"d"),TEXT(L35,"m"),TEXT(L35,"yyyy"),7),ngay(TEXT(L35,"d"),TEXT(L35,"m"),TEXT(L35,"yyyy"),7)))</f>
        <v/>
      </c>
      <c r="M36" s="85" t="str">
        <f>IF(M35="","",IF(ngay(TEXT(M35,"d"),TEXT(M35,"m"),TEXT(M35,"yyyy"),7)=1,ngay(TEXT(M35,"d"),TEXT(M35,"m"),TEXT(M35,"yyyy"),7)&amp;"/"&amp;thang(TEXT(M35,"d"),TEXT(M35,"m"),TEXT(M35,"yyyy"),7),ngay(TEXT(M35,"d"),TEXT(M35,"m"),TEXT(M35,"yyyy"),7)))</f>
        <v/>
      </c>
      <c r="N36" s="85" t="str">
        <f>IF(N35="","",IF(ngay(TEXT(N35,"d"),TEXT(N35,"m"),TEXT(N35,"yyyy"),7)=1,ngay(TEXT(N35,"d"),TEXT(N35,"m"),TEXT(N35,"yyyy"),7)&amp;"/"&amp;thang(TEXT(N35,"d"),TEXT(N35,"m"),TEXT(N35,"yyyy"),7),ngay(TEXT(N35,"d"),TEXT(N35,"m"),TEXT(N35,"yyyy"),7)))</f>
        <v/>
      </c>
      <c r="O36" s="85" t="str">
        <f>IF(O35="","",IF(ngay(TEXT(O35,"d"),TEXT(O35,"m"),TEXT(O35,"yyyy"),7)=1,ngay(TEXT(O35,"d"),TEXT(O35,"m"),TEXT(O35,"yyyy"),7)&amp;"/"&amp;thang(TEXT(O35,"d"),TEXT(O35,"m"),TEXT(O35,"yyyy"),7),ngay(TEXT(O35,"d"),TEXT(O35,"m"),TEXT(O35,"yyyy"),7)))</f>
        <v/>
      </c>
      <c r="P36" s="84" t="str">
        <f>IF(P35="","",IF(ngay(TEXT(P35,"d"),TEXT(P35,"m"),TEXT(P35,"yyyy"),7)=1,ngay(TEXT(P35,"d"),TEXT(P35,"m"),TEXT(P35,"yyyy"),7)&amp;"/"&amp;thang(TEXT(P35,"d"),TEXT(P35,"m"),TEXT(P35,"yyyy"),7),ngay(TEXT(P35,"d"),TEXT(P35,"m"),TEXT(P35,"yyyy"),7)))</f>
        <v/>
      </c>
      <c r="Q36" s="87"/>
      <c r="R36" s="86" t="str">
        <f>IF(R35="","",IF(ngay(TEXT(R35,"d"),TEXT(R35,"m"),TEXT(R35,"yyyy"),7)=1,ngay(TEXT(R35,"d"),TEXT(R35,"m"),TEXT(R35,"yyyy"),7)&amp;"/"&amp;thang(TEXT(R35,"d"),TEXT(R35,"m"),TEXT(R35,"yyyy"),7),ngay(TEXT(R35,"d"),TEXT(R35,"m"),TEXT(R35,"yyyy"),7)))</f>
        <v/>
      </c>
      <c r="S36" s="85" t="str">
        <f>IF(S35="","",IF(ngay(TEXT(S35,"d"),TEXT(S35,"m"),TEXT(S35,"yyyy"),7)=1,ngay(TEXT(S35,"d"),TEXT(S35,"m"),TEXT(S35,"yyyy"),7)&amp;"/"&amp;thang(TEXT(S35,"d"),TEXT(S35,"m"),TEXT(S35,"yyyy"),7),ngay(TEXT(S35,"d"),TEXT(S35,"m"),TEXT(S35,"yyyy"),7)))</f>
        <v/>
      </c>
      <c r="T36" s="85" t="str">
        <f>IF(T35="","",IF(ngay(TEXT(T35,"d"),TEXT(T35,"m"),TEXT(T35,"yyyy"),7)=1,ngay(TEXT(T35,"d"),TEXT(T35,"m"),TEXT(T35,"yyyy"),7)&amp;"/"&amp;thang(TEXT(T35,"d"),TEXT(T35,"m"),TEXT(T35,"yyyy"),7),ngay(TEXT(T35,"d"),TEXT(T35,"m"),TEXT(T35,"yyyy"),7)))</f>
        <v/>
      </c>
      <c r="U36" s="85" t="str">
        <f>IF(U35="","",IF(ngay(TEXT(U35,"d"),TEXT(U35,"m"),TEXT(U35,"yyyy"),7)=1,ngay(TEXT(U35,"d"),TEXT(U35,"m"),TEXT(U35,"yyyy"),7)&amp;"/"&amp;thang(TEXT(U35,"d"),TEXT(U35,"m"),TEXT(U35,"yyyy"),7),ngay(TEXT(U35,"d"),TEXT(U35,"m"),TEXT(U35,"yyyy"),7)))</f>
        <v/>
      </c>
      <c r="V36" s="85" t="str">
        <f>IF(V35="","",IF(ngay(TEXT(V35,"d"),TEXT(V35,"m"),TEXT(V35,"yyyy"),7)=1,ngay(TEXT(V35,"d"),TEXT(V35,"m"),TEXT(V35,"yyyy"),7)&amp;"/"&amp;thang(TEXT(V35,"d"),TEXT(V35,"m"),TEXT(V35,"yyyy"),7),ngay(TEXT(V35,"d"),TEXT(V35,"m"),TEXT(V35,"yyyy"),7)))</f>
        <v/>
      </c>
      <c r="W36" s="85" t="str">
        <f>IF(W35="","",IF(ngay(TEXT(W35,"d"),TEXT(W35,"m"),TEXT(W35,"yyyy"),7)=1,ngay(TEXT(W35,"d"),TEXT(W35,"m"),TEXT(W35,"yyyy"),7)&amp;"/"&amp;thang(TEXT(W35,"d"),TEXT(W35,"m"),TEXT(W35,"yyyy"),7),ngay(TEXT(W35,"d"),TEXT(W35,"m"),TEXT(W35,"yyyy"),7)))</f>
        <v/>
      </c>
      <c r="X36" s="84" t="str">
        <f>IF(X35="","",IF(ngay(TEXT(X35,"d"),TEXT(X35,"m"),TEXT(X35,"yyyy"),7)=1,ngay(TEXT(X35,"d"),TEXT(X35,"m"),TEXT(X35,"yyyy"),7)&amp;"/"&amp;thang(TEXT(X35,"d"),TEXT(X35,"m"),TEXT(X35,"yyyy"),7),ngay(TEXT(X35,"d"),TEXT(X35,"m"),TEXT(X35,"yyyy"),7)))</f>
        <v/>
      </c>
    </row>
    <row r="37" spans="1:24" ht="18" customHeight="1" x14ac:dyDescent="0.25">
      <c r="A37" s="103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</row>
    <row r="38" spans="1:24" s="103" customFormat="1" ht="20.25" x14ac:dyDescent="0.3">
      <c r="A38" s="110"/>
      <c r="B38" s="109">
        <f>DATE(YEAR(R23+42),MONTH(R23+42),1)</f>
        <v>43282</v>
      </c>
      <c r="C38" s="108"/>
      <c r="D38" s="108"/>
      <c r="E38" s="108"/>
      <c r="F38" s="108"/>
      <c r="G38" s="108"/>
      <c r="H38" s="107"/>
      <c r="I38" s="102"/>
      <c r="J38" s="106">
        <f>DATE(YEAR(B38+42),MONTH(B38+42),1)</f>
        <v>43313</v>
      </c>
      <c r="K38" s="105"/>
      <c r="L38" s="105"/>
      <c r="M38" s="105"/>
      <c r="N38" s="105"/>
      <c r="O38" s="105"/>
      <c r="P38" s="104"/>
      <c r="Q38" s="102"/>
      <c r="R38" s="106">
        <f>DATE(YEAR(J38+42),MONTH(J38+42),1)</f>
        <v>43344</v>
      </c>
      <c r="S38" s="105"/>
      <c r="T38" s="105"/>
      <c r="U38" s="105"/>
      <c r="V38" s="105"/>
      <c r="W38" s="105"/>
      <c r="X38" s="104"/>
    </row>
    <row r="39" spans="1:24" s="97" customFormat="1" ht="18" customHeight="1" x14ac:dyDescent="0.25">
      <c r="A39" s="103"/>
      <c r="B39" s="100" t="str">
        <f>CHOOSE(1+MOD($O$3+1-2,7),"Mon","Tue","Wed","Thu","Fri","Sat","Sun")</f>
        <v>Mon</v>
      </c>
      <c r="C39" s="99" t="str">
        <f>CHOOSE(1+MOD($O$3+2-2,7),"Mon","Tue","Wed","Thu","Fri","Sat","Sun")</f>
        <v>Tue</v>
      </c>
      <c r="D39" s="99" t="str">
        <f>CHOOSE(1+MOD($O$3+3-2,7),"Mon","Tue","Wed","Thu","Fri","Sat","Sun")</f>
        <v>Wed</v>
      </c>
      <c r="E39" s="99" t="str">
        <f>CHOOSE(1+MOD($O$3+4-2,7),"Mon","Tue","Wed","Thu","Fri","Sat","Sun")</f>
        <v>Thu</v>
      </c>
      <c r="F39" s="99" t="str">
        <f>CHOOSE(1+MOD($O$3+5-2,7),"Mon","Tue","Wed","Thu","Fri","Sat","Sun")</f>
        <v>Fri</v>
      </c>
      <c r="G39" s="99" t="str">
        <f>CHOOSE(1+MOD($O$3+6-2,7),"Mon","Tue","Wed","Thu","Fri","Sat","Sun")</f>
        <v>Sat</v>
      </c>
      <c r="H39" s="98" t="str">
        <f>CHOOSE(1+MOD($O$3+7-2,7),"Mon","Tue","Wed","Thu","Fri","Sat","Sun")</f>
        <v>Sun</v>
      </c>
      <c r="I39" s="102"/>
      <c r="J39" s="100" t="str">
        <f>CHOOSE(1+MOD($O$3+1-2,7),"Mon","Tue","Wed","Thu","Fri","Sat","Sun")</f>
        <v>Mon</v>
      </c>
      <c r="K39" s="99" t="str">
        <f>CHOOSE(1+MOD($O$3+2-2,7),"Mon","Tue","Wed","Thu","Fri","Sat","Sun")</f>
        <v>Tue</v>
      </c>
      <c r="L39" s="99" t="str">
        <f>CHOOSE(1+MOD($O$3+3-2,7),"Mon","Tue","Wed","Thu","Fri","Sat","Sun")</f>
        <v>Wed</v>
      </c>
      <c r="M39" s="99" t="str">
        <f>CHOOSE(1+MOD($O$3+4-2,7),"Mon","Tue","Wed","Thu","Fri","Sat","Sun")</f>
        <v>Thu</v>
      </c>
      <c r="N39" s="99" t="str">
        <f>CHOOSE(1+MOD($O$3+5-2,7),"Mon","Tue","Wed","Thu","Fri","Sat","Sun")</f>
        <v>Fri</v>
      </c>
      <c r="O39" s="99" t="str">
        <f>CHOOSE(1+MOD($O$3+6-2,7),"Mon","Tue","Wed","Thu","Fri","Sat","Sun")</f>
        <v>Sat</v>
      </c>
      <c r="P39" s="98" t="str">
        <f>CHOOSE(1+MOD($O$3+7-2,7),"Mon","Tue","Wed","Thu","Fri","Sat","Sun")</f>
        <v>Sun</v>
      </c>
      <c r="Q39" s="101"/>
      <c r="R39" s="100" t="str">
        <f>CHOOSE(1+MOD($O$3+1-2,7),"Mon","Tue","Wed","Thu","Fri","Sat","Sun")</f>
        <v>Mon</v>
      </c>
      <c r="S39" s="99" t="str">
        <f>CHOOSE(1+MOD($O$3+2-2,7),"Mon","Tue","Wed","Thu","Fri","Sat","Sun")</f>
        <v>Tue</v>
      </c>
      <c r="T39" s="99" t="str">
        <f>CHOOSE(1+MOD($O$3+3-2,7),"Mon","Tue","Wed","Thu","Fri","Sat","Sun")</f>
        <v>Wed</v>
      </c>
      <c r="U39" s="99" t="str">
        <f>CHOOSE(1+MOD($O$3+4-2,7),"Mon","Tue","Wed","Thu","Fri","Sat","Sun")</f>
        <v>Thu</v>
      </c>
      <c r="V39" s="99" t="str">
        <f>CHOOSE(1+MOD($O$3+5-2,7),"Mon","Tue","Wed","Thu","Fri","Sat","Sun")</f>
        <v>Fri</v>
      </c>
      <c r="W39" s="99" t="str">
        <f>CHOOSE(1+MOD($O$3+6-2,7),"Mon","Tue","Wed","Thu","Fri","Sat","Sun")</f>
        <v>Sat</v>
      </c>
      <c r="X39" s="98" t="str">
        <f>CHOOSE(1+MOD($O$3+7-2,7),"Mon","Tue","Wed","Thu","Fri","Sat","Sun")</f>
        <v>Sun</v>
      </c>
    </row>
    <row r="40" spans="1:24" s="88" customFormat="1" ht="45.95" customHeight="1" x14ac:dyDescent="0.3">
      <c r="B40" s="92" t="str">
        <f>IF(WEEKDAY(B38,2)=$O$3,B38,"")</f>
        <v/>
      </c>
      <c r="C40" s="91" t="str">
        <f>IF(B40="",IF(WEEKDAY(B38,1)=MOD($O$3+1,7)+1,B38,""),B40+1)</f>
        <v/>
      </c>
      <c r="D40" s="91" t="str">
        <f>IF(C40="",IF(WEEKDAY(B38,1)=MOD($O$3+2,7)+1,B38,""),C40+1)</f>
        <v/>
      </c>
      <c r="E40" s="91" t="str">
        <f>IF(D40="",IF(WEEKDAY(B38,1)=MOD($O$3+3,7)+1,B38,""),D40+1)</f>
        <v/>
      </c>
      <c r="F40" s="91" t="str">
        <f>IF(E40="",IF(WEEKDAY(B38,1)=MOD($O$3+4,7)+1,B38,""),E40+1)</f>
        <v/>
      </c>
      <c r="G40" s="90" t="str">
        <f>IF(F40="",IF(WEEKDAY(B38,1)=MOD($O$3+5,7)+1,B38,""),F40+1)</f>
        <v/>
      </c>
      <c r="H40" s="89">
        <f>IF(G40="",IF(WEEKDAY(B38,1)=MOD($O$3+6,7)+1,B38,""),G40+1)</f>
        <v>43282</v>
      </c>
      <c r="I40" s="93"/>
      <c r="J40" s="92" t="str">
        <f>IF(WEEKDAY(J38,2)=$O$3,J38,"")</f>
        <v/>
      </c>
      <c r="K40" s="91" t="str">
        <f>IF(J40="",IF(WEEKDAY(J38,1)=MOD($O$3+1,7)+1,J38,""),J40+1)</f>
        <v/>
      </c>
      <c r="L40" s="91">
        <f>IF(K40="",IF(WEEKDAY(J38,1)=MOD($O$3+2,7)+1,J38,""),K40+1)</f>
        <v>43313</v>
      </c>
      <c r="M40" s="91">
        <f>IF(L40="",IF(WEEKDAY(J38,1)=MOD($O$3+3,7)+1,J38,""),L40+1)</f>
        <v>43314</v>
      </c>
      <c r="N40" s="91">
        <f>IF(M40="",IF(WEEKDAY(J38,1)=MOD($O$3+4,7)+1,J38,""),M40+1)</f>
        <v>43315</v>
      </c>
      <c r="O40" s="90">
        <f>IF(N40="",IF(WEEKDAY(J38,1)=MOD($O$3+5,7)+1,J38,""),N40+1)</f>
        <v>43316</v>
      </c>
      <c r="P40" s="89">
        <f>IF(O40="",IF(WEEKDAY(J38,1)=MOD($O$3+6,7)+1,J38,""),O40+1)</f>
        <v>43317</v>
      </c>
      <c r="Q40" s="93"/>
      <c r="R40" s="92" t="str">
        <f>IF(WEEKDAY(R38,2)=$O$3,R38,"")</f>
        <v/>
      </c>
      <c r="S40" s="91" t="str">
        <f>IF(R40="",IF(WEEKDAY(R38,1)=MOD($O$3+1,7)+1,R38,""),R40+1)</f>
        <v/>
      </c>
      <c r="T40" s="91" t="str">
        <f>IF(S40="",IF(WEEKDAY(R38,1)=MOD($O$3+2,7)+1,R38,""),S40+1)</f>
        <v/>
      </c>
      <c r="U40" s="91" t="str">
        <f>IF(T40="",IF(WEEKDAY(R38,1)=MOD($O$3+3,7)+1,R38,""),T40+1)</f>
        <v/>
      </c>
      <c r="V40" s="91" t="str">
        <f>IF(U40="",IF(WEEKDAY(R38,1)=MOD($O$3+4,7)+1,R38,""),U40+1)</f>
        <v/>
      </c>
      <c r="W40" s="90">
        <f>IF(V40="",IF(WEEKDAY(R38,1)=MOD($O$3+5,7)+1,R38,""),V40+1)</f>
        <v>43344</v>
      </c>
      <c r="X40" s="89">
        <f>IF(W40="",IF(WEEKDAY(R38,1)=MOD($O$3+6,7)+1,R38,""),W40+1)</f>
        <v>43345</v>
      </c>
    </row>
    <row r="41" spans="1:24" s="83" customFormat="1" ht="45.95" customHeight="1" x14ac:dyDescent="0.2">
      <c r="B41" s="96" t="str">
        <f>IF(B40="","",IF(ngay(TEXT(B40,"d"),TEXT(B40,"m"),TEXT(B40,"yyyy"),7)=1,ngay(TEXT(B40,"d"),TEXT(B40,"m"),TEXT(B40,"yyyy"),7)&amp;"/"&amp;thang(TEXT(B40,"d"),TEXT(B40,"m"),TEXT(B40,"yyyy"),7),ngay(TEXT(B40,"d"),TEXT(B40,"m"),TEXT(B40,"yyyy"),7)))</f>
        <v/>
      </c>
      <c r="C41" s="95" t="str">
        <f>IF(C40="","",IF(ngay(TEXT(C40,"d"),TEXT(C40,"m"),TEXT(C40,"yyyy"),7)=1,ngay(TEXT(C40,"d"),TEXT(C40,"m"),TEXT(C40,"yyyy"),7)&amp;"/"&amp;thang(TEXT(C40,"d"),TEXT(C40,"m"),TEXT(C40,"yyyy"),7),ngay(TEXT(C40,"d"),TEXT(C40,"m"),TEXT(C40,"yyyy"),7)))</f>
        <v/>
      </c>
      <c r="D41" s="95" t="str">
        <f>IF(D40="","",IF(ngay(TEXT(D40,"d"),TEXT(D40,"m"),TEXT(D40,"yyyy"),7)=1,ngay(TEXT(D40,"d"),TEXT(D40,"m"),TEXT(D40,"yyyy"),7)&amp;"/"&amp;thang(TEXT(D40,"d"),TEXT(D40,"m"),TEXT(D40,"yyyy"),7),ngay(TEXT(D40,"d"),TEXT(D40,"m"),TEXT(D40,"yyyy"),7)))</f>
        <v/>
      </c>
      <c r="E41" s="95" t="str">
        <f>IF(E40="","",IF(ngay(TEXT(E40,"d"),TEXT(E40,"m"),TEXT(E40,"yyyy"),7)=1,ngay(TEXT(E40,"d"),TEXT(E40,"m"),TEXT(E40,"yyyy"),7)&amp;"/"&amp;thang(TEXT(E40,"d"),TEXT(E40,"m"),TEXT(E40,"yyyy"),7),ngay(TEXT(E40,"d"),TEXT(E40,"m"),TEXT(E40,"yyyy"),7)))</f>
        <v/>
      </c>
      <c r="F41" s="95" t="str">
        <f>IF(F40="","",IF(ngay(TEXT(F40,"d"),TEXT(F40,"m"),TEXT(F40,"yyyy"),7)=1,ngay(TEXT(F40,"d"),TEXT(F40,"m"),TEXT(F40,"yyyy"),7)&amp;"/"&amp;thang(TEXT(F40,"d"),TEXT(F40,"m"),TEXT(F40,"yyyy"),7),ngay(TEXT(F40,"d"),TEXT(F40,"m"),TEXT(F40,"yyyy"),7)))</f>
        <v/>
      </c>
      <c r="G41" s="95" t="str">
        <f>IF(G40="","",IF(ngay(TEXT(G40,"d"),TEXT(G40,"m"),TEXT(G40,"yyyy"),7)=1,ngay(TEXT(G40,"d"),TEXT(G40,"m"),TEXT(G40,"yyyy"),7)&amp;"/"&amp;thang(TEXT(G40,"d"),TEXT(G40,"m"),TEXT(G40,"yyyy"),7),ngay(TEXT(G40,"d"),TEXT(G40,"m"),TEXT(G40,"yyyy"),7)))</f>
        <v/>
      </c>
      <c r="H41" s="94">
        <f>IF(H40="","",IF(ngay(TEXT(H40,"d"),TEXT(H40,"m"),TEXT(H40,"yyyy"),7)=1,ngay(TEXT(H40,"d"),TEXT(H40,"m"),TEXT(H40,"yyyy"),7)&amp;"/"&amp;thang(TEXT(H40,"d"),TEXT(H40,"m"),TEXT(H40,"yyyy"),7),ngay(TEXT(H40,"d"),TEXT(H40,"m"),TEXT(H40,"yyyy"),7)))</f>
        <v>18</v>
      </c>
      <c r="I41" s="87"/>
      <c r="J41" s="96" t="str">
        <f>IF(J40="","",IF(ngay(TEXT(J40,"d"),TEXT(J40,"m"),TEXT(J40,"yyyy"),7)=1,ngay(TEXT(J40,"d"),TEXT(J40,"m"),TEXT(J40,"yyyy"),7)&amp;"/"&amp;thang(TEXT(J40,"d"),TEXT(J40,"m"),TEXT(J40,"yyyy"),7),ngay(TEXT(J40,"d"),TEXT(J40,"m"),TEXT(J40,"yyyy"),7)))</f>
        <v/>
      </c>
      <c r="K41" s="95" t="str">
        <f>IF(K40="","",IF(ngay(TEXT(K40,"d"),TEXT(K40,"m"),TEXT(K40,"yyyy"),7)=1,ngay(TEXT(K40,"d"),TEXT(K40,"m"),TEXT(K40,"yyyy"),7)&amp;"/"&amp;thang(TEXT(K40,"d"),TEXT(K40,"m"),TEXT(K40,"yyyy"),7),ngay(TEXT(K40,"d"),TEXT(K40,"m"),TEXT(K40,"yyyy"),7)))</f>
        <v/>
      </c>
      <c r="L41" s="95">
        <f>IF(L40="","",IF(ngay(TEXT(L40,"d"),TEXT(L40,"m"),TEXT(L40,"yyyy"),7)=1,ngay(TEXT(L40,"d"),TEXT(L40,"m"),TEXT(L40,"yyyy"),7)&amp;"/"&amp;thang(TEXT(L40,"d"),TEXT(L40,"m"),TEXT(L40,"yyyy"),7),ngay(TEXT(L40,"d"),TEXT(L40,"m"),TEXT(L40,"yyyy"),7)))</f>
        <v>20</v>
      </c>
      <c r="M41" s="95">
        <f>IF(M40="","",IF(ngay(TEXT(M40,"d"),TEXT(M40,"m"),TEXT(M40,"yyyy"),7)=1,ngay(TEXT(M40,"d"),TEXT(M40,"m"),TEXT(M40,"yyyy"),7)&amp;"/"&amp;thang(TEXT(M40,"d"),TEXT(M40,"m"),TEXT(M40,"yyyy"),7),ngay(TEXT(M40,"d"),TEXT(M40,"m"),TEXT(M40,"yyyy"),7)))</f>
        <v>21</v>
      </c>
      <c r="N41" s="95">
        <f>IF(N40="","",IF(ngay(TEXT(N40,"d"),TEXT(N40,"m"),TEXT(N40,"yyyy"),7)=1,ngay(TEXT(N40,"d"),TEXT(N40,"m"),TEXT(N40,"yyyy"),7)&amp;"/"&amp;thang(TEXT(N40,"d"),TEXT(N40,"m"),TEXT(N40,"yyyy"),7),ngay(TEXT(N40,"d"),TEXT(N40,"m"),TEXT(N40,"yyyy"),7)))</f>
        <v>22</v>
      </c>
      <c r="O41" s="95">
        <f>IF(O40="","",IF(ngay(TEXT(O40,"d"),TEXT(O40,"m"),TEXT(O40,"yyyy"),7)=1,ngay(TEXT(O40,"d"),TEXT(O40,"m"),TEXT(O40,"yyyy"),7)&amp;"/"&amp;thang(TEXT(O40,"d"),TEXT(O40,"m"),TEXT(O40,"yyyy"),7),ngay(TEXT(O40,"d"),TEXT(O40,"m"),TEXT(O40,"yyyy"),7)))</f>
        <v>23</v>
      </c>
      <c r="P41" s="94">
        <f>IF(P40="","",IF(ngay(TEXT(P40,"d"),TEXT(P40,"m"),TEXT(P40,"yyyy"),7)=1,ngay(TEXT(P40,"d"),TEXT(P40,"m"),TEXT(P40,"yyyy"),7)&amp;"/"&amp;thang(TEXT(P40,"d"),TEXT(P40,"m"),TEXT(P40,"yyyy"),7),ngay(TEXT(P40,"d"),TEXT(P40,"m"),TEXT(P40,"yyyy"),7)))</f>
        <v>24</v>
      </c>
      <c r="Q41" s="87"/>
      <c r="R41" s="96" t="str">
        <f>IF(R40="","",IF(ngay(TEXT(R40,"d"),TEXT(R40,"m"),TEXT(R40,"yyyy"),7)=1,ngay(TEXT(R40,"d"),TEXT(R40,"m"),TEXT(R40,"yyyy"),7)&amp;"/"&amp;thang(TEXT(R40,"d"),TEXT(R40,"m"),TEXT(R40,"yyyy"),7),ngay(TEXT(R40,"d"),TEXT(R40,"m"),TEXT(R40,"yyyy"),7)))</f>
        <v/>
      </c>
      <c r="S41" s="95" t="str">
        <f>IF(S40="","",IF(ngay(TEXT(S40,"d"),TEXT(S40,"m"),TEXT(S40,"yyyy"),7)=1,ngay(TEXT(S40,"d"),TEXT(S40,"m"),TEXT(S40,"yyyy"),7)&amp;"/"&amp;thang(TEXT(S40,"d"),TEXT(S40,"m"),TEXT(S40,"yyyy"),7),ngay(TEXT(S40,"d"),TEXT(S40,"m"),TEXT(S40,"yyyy"),7)))</f>
        <v/>
      </c>
      <c r="T41" s="95" t="str">
        <f>IF(T40="","",IF(ngay(TEXT(T40,"d"),TEXT(T40,"m"),TEXT(T40,"yyyy"),7)=1,ngay(TEXT(T40,"d"),TEXT(T40,"m"),TEXT(T40,"yyyy"),7)&amp;"/"&amp;thang(TEXT(T40,"d"),TEXT(T40,"m"),TEXT(T40,"yyyy"),7),ngay(TEXT(T40,"d"),TEXT(T40,"m"),TEXT(T40,"yyyy"),7)))</f>
        <v/>
      </c>
      <c r="U41" s="95" t="str">
        <f>IF(U40="","",IF(ngay(TEXT(U40,"d"),TEXT(U40,"m"),TEXT(U40,"yyyy"),7)=1,ngay(TEXT(U40,"d"),TEXT(U40,"m"),TEXT(U40,"yyyy"),7)&amp;"/"&amp;thang(TEXT(U40,"d"),TEXT(U40,"m"),TEXT(U40,"yyyy"),7),ngay(TEXT(U40,"d"),TEXT(U40,"m"),TEXT(U40,"yyyy"),7)))</f>
        <v/>
      </c>
      <c r="V41" s="95" t="str">
        <f>IF(V40="","",IF(ngay(TEXT(V40,"d"),TEXT(V40,"m"),TEXT(V40,"yyyy"),7)=1,ngay(TEXT(V40,"d"),TEXT(V40,"m"),TEXT(V40,"yyyy"),7)&amp;"/"&amp;thang(TEXT(V40,"d"),TEXT(V40,"m"),TEXT(V40,"yyyy"),7),ngay(TEXT(V40,"d"),TEXT(V40,"m"),TEXT(V40,"yyyy"),7)))</f>
        <v/>
      </c>
      <c r="W41" s="95">
        <f>IF(W40="","",IF(ngay(TEXT(W40,"d"),TEXT(W40,"m"),TEXT(W40,"yyyy"),7)=1,ngay(TEXT(W40,"d"),TEXT(W40,"m"),TEXT(W40,"yyyy"),7)&amp;"/"&amp;thang(TEXT(W40,"d"),TEXT(W40,"m"),TEXT(W40,"yyyy"),7),ngay(TEXT(W40,"d"),TEXT(W40,"m"),TEXT(W40,"yyyy"),7)))</f>
        <v>22</v>
      </c>
      <c r="X41" s="94">
        <f>IF(X40="","",IF(ngay(TEXT(X40,"d"),TEXT(X40,"m"),TEXT(X40,"yyyy"),7)=1,ngay(TEXT(X40,"d"),TEXT(X40,"m"),TEXT(X40,"yyyy"),7)&amp;"/"&amp;thang(TEXT(X40,"d"),TEXT(X40,"m"),TEXT(X40,"yyyy"),7),ngay(TEXT(X40,"d"),TEXT(X40,"m"),TEXT(X40,"yyyy"),7)))</f>
        <v>23</v>
      </c>
    </row>
    <row r="42" spans="1:24" s="88" customFormat="1" ht="45.95" customHeight="1" x14ac:dyDescent="0.3">
      <c r="B42" s="92">
        <f>IF(H40="","",IF(MONTH(H40+1)&lt;&gt;MONTH(H40),"",H40+1))</f>
        <v>43283</v>
      </c>
      <c r="C42" s="91">
        <f>IF(B42="","",IF(MONTH(B42+1)&lt;&gt;MONTH(B42),"",B42+1))</f>
        <v>43284</v>
      </c>
      <c r="D42" s="91">
        <f>IF(C42="","",IF(MONTH(C42+1)&lt;&gt;MONTH(C42),"",C42+1))</f>
        <v>43285</v>
      </c>
      <c r="E42" s="91">
        <f>IF(D42="","",IF(MONTH(D42+1)&lt;&gt;MONTH(D42),"",D42+1))</f>
        <v>43286</v>
      </c>
      <c r="F42" s="91">
        <f>IF(E42="","",IF(MONTH(E42+1)&lt;&gt;MONTH(E42),"",E42+1))</f>
        <v>43287</v>
      </c>
      <c r="G42" s="90">
        <f>IF(F42="","",IF(MONTH(F42+1)&lt;&gt;MONTH(F42),"",F42+1))</f>
        <v>43288</v>
      </c>
      <c r="H42" s="89">
        <f>IF(G42="","",IF(MONTH(G42+1)&lt;&gt;MONTH(G42),"",G42+1))</f>
        <v>43289</v>
      </c>
      <c r="I42" s="93"/>
      <c r="J42" s="92">
        <f>IF(P40="","",IF(MONTH(P40+1)&lt;&gt;MONTH(P40),"",P40+1))</f>
        <v>43318</v>
      </c>
      <c r="K42" s="91">
        <f>IF(J42="","",IF(MONTH(J42+1)&lt;&gt;MONTH(J42),"",J42+1))</f>
        <v>43319</v>
      </c>
      <c r="L42" s="91">
        <f>IF(K42="","",IF(MONTH(K42+1)&lt;&gt;MONTH(K42),"",K42+1))</f>
        <v>43320</v>
      </c>
      <c r="M42" s="91">
        <f>IF(L42="","",IF(MONTH(L42+1)&lt;&gt;MONTH(L42),"",L42+1))</f>
        <v>43321</v>
      </c>
      <c r="N42" s="91">
        <f>IF(M42="","",IF(MONTH(M42+1)&lt;&gt;MONTH(M42),"",M42+1))</f>
        <v>43322</v>
      </c>
      <c r="O42" s="90">
        <f>IF(N42="","",IF(MONTH(N42+1)&lt;&gt;MONTH(N42),"",N42+1))</f>
        <v>43323</v>
      </c>
      <c r="P42" s="89">
        <f>IF(O42="","",IF(MONTH(O42+1)&lt;&gt;MONTH(O42),"",O42+1))</f>
        <v>43324</v>
      </c>
      <c r="Q42" s="93"/>
      <c r="R42" s="92">
        <f>IF(X40="","",IF(MONTH(X40+1)&lt;&gt;MONTH(X40),"",X40+1))</f>
        <v>43346</v>
      </c>
      <c r="S42" s="91">
        <f>IF(R42="","",IF(MONTH(R42+1)&lt;&gt;MONTH(R42),"",R42+1))</f>
        <v>43347</v>
      </c>
      <c r="T42" s="91">
        <f>IF(S42="","",IF(MONTH(S42+1)&lt;&gt;MONTH(S42),"",S42+1))</f>
        <v>43348</v>
      </c>
      <c r="U42" s="91">
        <f>IF(T42="","",IF(MONTH(T42+1)&lt;&gt;MONTH(T42),"",T42+1))</f>
        <v>43349</v>
      </c>
      <c r="V42" s="91">
        <f>IF(U42="","",IF(MONTH(U42+1)&lt;&gt;MONTH(U42),"",U42+1))</f>
        <v>43350</v>
      </c>
      <c r="W42" s="90">
        <f>IF(V42="","",IF(MONTH(V42+1)&lt;&gt;MONTH(V42),"",V42+1))</f>
        <v>43351</v>
      </c>
      <c r="X42" s="89">
        <f>IF(W42="","",IF(MONTH(W42+1)&lt;&gt;MONTH(W42),"",W42+1))</f>
        <v>43352</v>
      </c>
    </row>
    <row r="43" spans="1:24" s="83" customFormat="1" ht="45.95" customHeight="1" x14ac:dyDescent="0.2">
      <c r="B43" s="96">
        <f>IF(B42="","",IF(ngay(TEXT(B42,"d"),TEXT(B42,"m"),TEXT(B42,"yyyy"),7)=1,ngay(TEXT(B42,"d"),TEXT(B42,"m"),TEXT(B42,"yyyy"),7)&amp;"/"&amp;thang(TEXT(B42,"d"),TEXT(B42,"m"),TEXT(B42,"yyyy"),7),ngay(TEXT(B42,"d"),TEXT(B42,"m"),TEXT(B42,"yyyy"),7)))</f>
        <v>19</v>
      </c>
      <c r="C43" s="95">
        <f>IF(C42="","",IF(ngay(TEXT(C42,"d"),TEXT(C42,"m"),TEXT(C42,"yyyy"),7)=1,ngay(TEXT(C42,"d"),TEXT(C42,"m"),TEXT(C42,"yyyy"),7)&amp;"/"&amp;thang(TEXT(C42,"d"),TEXT(C42,"m"),TEXT(C42,"yyyy"),7),ngay(TEXT(C42,"d"),TEXT(C42,"m"),TEXT(C42,"yyyy"),7)))</f>
        <v>20</v>
      </c>
      <c r="D43" s="95">
        <f>IF(D42="","",IF(ngay(TEXT(D42,"d"),TEXT(D42,"m"),TEXT(D42,"yyyy"),7)=1,ngay(TEXT(D42,"d"),TEXT(D42,"m"),TEXT(D42,"yyyy"),7)&amp;"/"&amp;thang(TEXT(D42,"d"),TEXT(D42,"m"),TEXT(D42,"yyyy"),7),ngay(TEXT(D42,"d"),TEXT(D42,"m"),TEXT(D42,"yyyy"),7)))</f>
        <v>21</v>
      </c>
      <c r="E43" s="95">
        <f>IF(E42="","",IF(ngay(TEXT(E42,"d"),TEXT(E42,"m"),TEXT(E42,"yyyy"),7)=1,ngay(TEXT(E42,"d"),TEXT(E42,"m"),TEXT(E42,"yyyy"),7)&amp;"/"&amp;thang(TEXT(E42,"d"),TEXT(E42,"m"),TEXT(E42,"yyyy"),7),ngay(TEXT(E42,"d"),TEXT(E42,"m"),TEXT(E42,"yyyy"),7)))</f>
        <v>22</v>
      </c>
      <c r="F43" s="95">
        <f>IF(F42="","",IF(ngay(TEXT(F42,"d"),TEXT(F42,"m"),TEXT(F42,"yyyy"),7)=1,ngay(TEXT(F42,"d"),TEXT(F42,"m"),TEXT(F42,"yyyy"),7)&amp;"/"&amp;thang(TEXT(F42,"d"),TEXT(F42,"m"),TEXT(F42,"yyyy"),7),ngay(TEXT(F42,"d"),TEXT(F42,"m"),TEXT(F42,"yyyy"),7)))</f>
        <v>23</v>
      </c>
      <c r="G43" s="95">
        <f>IF(G42="","",IF(ngay(TEXT(G42,"d"),TEXT(G42,"m"),TEXT(G42,"yyyy"),7)=1,ngay(TEXT(G42,"d"),TEXT(G42,"m"),TEXT(G42,"yyyy"),7)&amp;"/"&amp;thang(TEXT(G42,"d"),TEXT(G42,"m"),TEXT(G42,"yyyy"),7),ngay(TEXT(G42,"d"),TEXT(G42,"m"),TEXT(G42,"yyyy"),7)))</f>
        <v>24</v>
      </c>
      <c r="H43" s="94">
        <f>IF(H42="","",IF(ngay(TEXT(H42,"d"),TEXT(H42,"m"),TEXT(H42,"yyyy"),7)=1,ngay(TEXT(H42,"d"),TEXT(H42,"m"),TEXT(H42,"yyyy"),7)&amp;"/"&amp;thang(TEXT(H42,"d"),TEXT(H42,"m"),TEXT(H42,"yyyy"),7),ngay(TEXT(H42,"d"),TEXT(H42,"m"),TEXT(H42,"yyyy"),7)))</f>
        <v>25</v>
      </c>
      <c r="I43" s="87"/>
      <c r="J43" s="96">
        <f>IF(J42="","",IF(ngay(TEXT(J42,"d"),TEXT(J42,"m"),TEXT(J42,"yyyy"),7)=1,ngay(TEXT(J42,"d"),TEXT(J42,"m"),TEXT(J42,"yyyy"),7)&amp;"/"&amp;thang(TEXT(J42,"d"),TEXT(J42,"m"),TEXT(J42,"yyyy"),7),ngay(TEXT(J42,"d"),TEXT(J42,"m"),TEXT(J42,"yyyy"),7)))</f>
        <v>25</v>
      </c>
      <c r="K43" s="95">
        <f>IF(K42="","",IF(ngay(TEXT(K42,"d"),TEXT(K42,"m"),TEXT(K42,"yyyy"),7)=1,ngay(TEXT(K42,"d"),TEXT(K42,"m"),TEXT(K42,"yyyy"),7)&amp;"/"&amp;thang(TEXT(K42,"d"),TEXT(K42,"m"),TEXT(K42,"yyyy"),7),ngay(TEXT(K42,"d"),TEXT(K42,"m"),TEXT(K42,"yyyy"),7)))</f>
        <v>26</v>
      </c>
      <c r="L43" s="95">
        <f>IF(L42="","",IF(ngay(TEXT(L42,"d"),TEXT(L42,"m"),TEXT(L42,"yyyy"),7)=1,ngay(TEXT(L42,"d"),TEXT(L42,"m"),TEXT(L42,"yyyy"),7)&amp;"/"&amp;thang(TEXT(L42,"d"),TEXT(L42,"m"),TEXT(L42,"yyyy"),7),ngay(TEXT(L42,"d"),TEXT(L42,"m"),TEXT(L42,"yyyy"),7)))</f>
        <v>27</v>
      </c>
      <c r="M43" s="95">
        <f>IF(M42="","",IF(ngay(TEXT(M42,"d"),TEXT(M42,"m"),TEXT(M42,"yyyy"),7)=1,ngay(TEXT(M42,"d"),TEXT(M42,"m"),TEXT(M42,"yyyy"),7)&amp;"/"&amp;thang(TEXT(M42,"d"),TEXT(M42,"m"),TEXT(M42,"yyyy"),7),ngay(TEXT(M42,"d"),TEXT(M42,"m"),TEXT(M42,"yyyy"),7)))</f>
        <v>28</v>
      </c>
      <c r="N43" s="95">
        <f>IF(N42="","",IF(ngay(TEXT(N42,"d"),TEXT(N42,"m"),TEXT(N42,"yyyy"),7)=1,ngay(TEXT(N42,"d"),TEXT(N42,"m"),TEXT(N42,"yyyy"),7)&amp;"/"&amp;thang(TEXT(N42,"d"),TEXT(N42,"m"),TEXT(N42,"yyyy"),7),ngay(TEXT(N42,"d"),TEXT(N42,"m"),TEXT(N42,"yyyy"),7)))</f>
        <v>29</v>
      </c>
      <c r="O43" s="95" t="str">
        <f>IF(O42="","",IF(ngay(TEXT(O42,"d"),TEXT(O42,"m"),TEXT(O42,"yyyy"),7)=1,ngay(TEXT(O42,"d"),TEXT(O42,"m"),TEXT(O42,"yyyy"),7)&amp;"/"&amp;thang(TEXT(O42,"d"),TEXT(O42,"m"),TEXT(O42,"yyyy"),7),ngay(TEXT(O42,"d"),TEXT(O42,"m"),TEXT(O42,"yyyy"),7)))</f>
        <v>1/7</v>
      </c>
      <c r="P43" s="94">
        <f>IF(P42="","",IF(ngay(TEXT(P42,"d"),TEXT(P42,"m"),TEXT(P42,"yyyy"),7)=1,ngay(TEXT(P42,"d"),TEXT(P42,"m"),TEXT(P42,"yyyy"),7)&amp;"/"&amp;thang(TEXT(P42,"d"),TEXT(P42,"m"),TEXT(P42,"yyyy"),7),ngay(TEXT(P42,"d"),TEXT(P42,"m"),TEXT(P42,"yyyy"),7)))</f>
        <v>2</v>
      </c>
      <c r="Q43" s="87"/>
      <c r="R43" s="96">
        <f>IF(R42="","",IF(ngay(TEXT(R42,"d"),TEXT(R42,"m"),TEXT(R42,"yyyy"),7)=1,ngay(TEXT(R42,"d"),TEXT(R42,"m"),TEXT(R42,"yyyy"),7)&amp;"/"&amp;thang(TEXT(R42,"d"),TEXT(R42,"m"),TEXT(R42,"yyyy"),7),ngay(TEXT(R42,"d"),TEXT(R42,"m"),TEXT(R42,"yyyy"),7)))</f>
        <v>24</v>
      </c>
      <c r="S43" s="95">
        <f>IF(S42="","",IF(ngay(TEXT(S42,"d"),TEXT(S42,"m"),TEXT(S42,"yyyy"),7)=1,ngay(TEXT(S42,"d"),TEXT(S42,"m"),TEXT(S42,"yyyy"),7)&amp;"/"&amp;thang(TEXT(S42,"d"),TEXT(S42,"m"),TEXT(S42,"yyyy"),7),ngay(TEXT(S42,"d"),TEXT(S42,"m"),TEXT(S42,"yyyy"),7)))</f>
        <v>25</v>
      </c>
      <c r="T43" s="95">
        <f>IF(T42="","",IF(ngay(TEXT(T42,"d"),TEXT(T42,"m"),TEXT(T42,"yyyy"),7)=1,ngay(TEXT(T42,"d"),TEXT(T42,"m"),TEXT(T42,"yyyy"),7)&amp;"/"&amp;thang(TEXT(T42,"d"),TEXT(T42,"m"),TEXT(T42,"yyyy"),7),ngay(TEXT(T42,"d"),TEXT(T42,"m"),TEXT(T42,"yyyy"),7)))</f>
        <v>26</v>
      </c>
      <c r="U43" s="95">
        <f>IF(U42="","",IF(ngay(TEXT(U42,"d"),TEXT(U42,"m"),TEXT(U42,"yyyy"),7)=1,ngay(TEXT(U42,"d"),TEXT(U42,"m"),TEXT(U42,"yyyy"),7)&amp;"/"&amp;thang(TEXT(U42,"d"),TEXT(U42,"m"),TEXT(U42,"yyyy"),7),ngay(TEXT(U42,"d"),TEXT(U42,"m"),TEXT(U42,"yyyy"),7)))</f>
        <v>27</v>
      </c>
      <c r="V43" s="95">
        <f>IF(V42="","",IF(ngay(TEXT(V42,"d"),TEXT(V42,"m"),TEXT(V42,"yyyy"),7)=1,ngay(TEXT(V42,"d"),TEXT(V42,"m"),TEXT(V42,"yyyy"),7)&amp;"/"&amp;thang(TEXT(V42,"d"),TEXT(V42,"m"),TEXT(V42,"yyyy"),7),ngay(TEXT(V42,"d"),TEXT(V42,"m"),TEXT(V42,"yyyy"),7)))</f>
        <v>28</v>
      </c>
      <c r="W43" s="95">
        <f>IF(W42="","",IF(ngay(TEXT(W42,"d"),TEXT(W42,"m"),TEXT(W42,"yyyy"),7)=1,ngay(TEXT(W42,"d"),TEXT(W42,"m"),TEXT(W42,"yyyy"),7)&amp;"/"&amp;thang(TEXT(W42,"d"),TEXT(W42,"m"),TEXT(W42,"yyyy"),7),ngay(TEXT(W42,"d"),TEXT(W42,"m"),TEXT(W42,"yyyy"),7)))</f>
        <v>29</v>
      </c>
      <c r="X43" s="94">
        <f>IF(X42="","",IF(ngay(TEXT(X42,"d"),TEXT(X42,"m"),TEXT(X42,"yyyy"),7)=1,ngay(TEXT(X42,"d"),TEXT(X42,"m"),TEXT(X42,"yyyy"),7)&amp;"/"&amp;thang(TEXT(X42,"d"),TEXT(X42,"m"),TEXT(X42,"yyyy"),7),ngay(TEXT(X42,"d"),TEXT(X42,"m"),TEXT(X42,"yyyy"),7)))</f>
        <v>30</v>
      </c>
    </row>
    <row r="44" spans="1:24" s="88" customFormat="1" ht="45.95" customHeight="1" x14ac:dyDescent="0.3">
      <c r="B44" s="92">
        <f>IF(H42="","",IF(MONTH(H42+1)&lt;&gt;MONTH(H42),"",H42+1))</f>
        <v>43290</v>
      </c>
      <c r="C44" s="91">
        <f>IF(B44="","",IF(MONTH(B44+1)&lt;&gt;MONTH(B44),"",B44+1))</f>
        <v>43291</v>
      </c>
      <c r="D44" s="91">
        <f>IF(C44="","",IF(MONTH(C44+1)&lt;&gt;MONTH(C44),"",C44+1))</f>
        <v>43292</v>
      </c>
      <c r="E44" s="91">
        <f>IF(D44="","",IF(MONTH(D44+1)&lt;&gt;MONTH(D44),"",D44+1))</f>
        <v>43293</v>
      </c>
      <c r="F44" s="91">
        <f>IF(E44="","",IF(MONTH(E44+1)&lt;&gt;MONTH(E44),"",E44+1))</f>
        <v>43294</v>
      </c>
      <c r="G44" s="90">
        <f>IF(F44="","",IF(MONTH(F44+1)&lt;&gt;MONTH(F44),"",F44+1))</f>
        <v>43295</v>
      </c>
      <c r="H44" s="89">
        <f>IF(G44="","",IF(MONTH(G44+1)&lt;&gt;MONTH(G44),"",G44+1))</f>
        <v>43296</v>
      </c>
      <c r="I44" s="93"/>
      <c r="J44" s="92">
        <f>IF(P42="","",IF(MONTH(P42+1)&lt;&gt;MONTH(P42),"",P42+1))</f>
        <v>43325</v>
      </c>
      <c r="K44" s="91">
        <f>IF(J44="","",IF(MONTH(J44+1)&lt;&gt;MONTH(J44),"",J44+1))</f>
        <v>43326</v>
      </c>
      <c r="L44" s="91">
        <f>IF(K44="","",IF(MONTH(K44+1)&lt;&gt;MONTH(K44),"",K44+1))</f>
        <v>43327</v>
      </c>
      <c r="M44" s="91">
        <f>IF(L44="","",IF(MONTH(L44+1)&lt;&gt;MONTH(L44),"",L44+1))</f>
        <v>43328</v>
      </c>
      <c r="N44" s="91">
        <f>IF(M44="","",IF(MONTH(M44+1)&lt;&gt;MONTH(M44),"",M44+1))</f>
        <v>43329</v>
      </c>
      <c r="O44" s="90">
        <f>IF(N44="","",IF(MONTH(N44+1)&lt;&gt;MONTH(N44),"",N44+1))</f>
        <v>43330</v>
      </c>
      <c r="P44" s="89">
        <f>IF(O44="","",IF(MONTH(O44+1)&lt;&gt;MONTH(O44),"",O44+1))</f>
        <v>43331</v>
      </c>
      <c r="Q44" s="93"/>
      <c r="R44" s="92">
        <f>IF(X42="","",IF(MONTH(X42+1)&lt;&gt;MONTH(X42),"",X42+1))</f>
        <v>43353</v>
      </c>
      <c r="S44" s="91">
        <f>IF(R44="","",IF(MONTH(R44+1)&lt;&gt;MONTH(R44),"",R44+1))</f>
        <v>43354</v>
      </c>
      <c r="T44" s="91">
        <f>IF(S44="","",IF(MONTH(S44+1)&lt;&gt;MONTH(S44),"",S44+1))</f>
        <v>43355</v>
      </c>
      <c r="U44" s="91">
        <f>IF(T44="","",IF(MONTH(T44+1)&lt;&gt;MONTH(T44),"",T44+1))</f>
        <v>43356</v>
      </c>
      <c r="V44" s="91">
        <f>IF(U44="","",IF(MONTH(U44+1)&lt;&gt;MONTH(U44),"",U44+1))</f>
        <v>43357</v>
      </c>
      <c r="W44" s="90">
        <f>IF(V44="","",IF(MONTH(V44+1)&lt;&gt;MONTH(V44),"",V44+1))</f>
        <v>43358</v>
      </c>
      <c r="X44" s="89">
        <f>IF(W44="","",IF(MONTH(W44+1)&lt;&gt;MONTH(W44),"",W44+1))</f>
        <v>43359</v>
      </c>
    </row>
    <row r="45" spans="1:24" s="83" customFormat="1" ht="45.95" customHeight="1" x14ac:dyDescent="0.2">
      <c r="B45" s="96">
        <f>IF(B44="","",IF(ngay(TEXT(B44,"d"),TEXT(B44,"m"),TEXT(B44,"yyyy"),7)=1,ngay(TEXT(B44,"d"),TEXT(B44,"m"),TEXT(B44,"yyyy"),7)&amp;"/"&amp;thang(TEXT(B44,"d"),TEXT(B44,"m"),TEXT(B44,"yyyy"),7),ngay(TEXT(B44,"d"),TEXT(B44,"m"),TEXT(B44,"yyyy"),7)))</f>
        <v>26</v>
      </c>
      <c r="C45" s="95">
        <f>IF(C44="","",IF(ngay(TEXT(C44,"d"),TEXT(C44,"m"),TEXT(C44,"yyyy"),7)=1,ngay(TEXT(C44,"d"),TEXT(C44,"m"),TEXT(C44,"yyyy"),7)&amp;"/"&amp;thang(TEXT(C44,"d"),TEXT(C44,"m"),TEXT(C44,"yyyy"),7),ngay(TEXT(C44,"d"),TEXT(C44,"m"),TEXT(C44,"yyyy"),7)))</f>
        <v>27</v>
      </c>
      <c r="D45" s="95">
        <f>IF(D44="","",IF(ngay(TEXT(D44,"d"),TEXT(D44,"m"),TEXT(D44,"yyyy"),7)=1,ngay(TEXT(D44,"d"),TEXT(D44,"m"),TEXT(D44,"yyyy"),7)&amp;"/"&amp;thang(TEXT(D44,"d"),TEXT(D44,"m"),TEXT(D44,"yyyy"),7),ngay(TEXT(D44,"d"),TEXT(D44,"m"),TEXT(D44,"yyyy"),7)))</f>
        <v>28</v>
      </c>
      <c r="E45" s="95">
        <f>IF(E44="","",IF(ngay(TEXT(E44,"d"),TEXT(E44,"m"),TEXT(E44,"yyyy"),7)=1,ngay(TEXT(E44,"d"),TEXT(E44,"m"),TEXT(E44,"yyyy"),7)&amp;"/"&amp;thang(TEXT(E44,"d"),TEXT(E44,"m"),TEXT(E44,"yyyy"),7),ngay(TEXT(E44,"d"),TEXT(E44,"m"),TEXT(E44,"yyyy"),7)))</f>
        <v>29</v>
      </c>
      <c r="F45" s="95" t="str">
        <f>IF(F44="","",IF(ngay(TEXT(F44,"d"),TEXT(F44,"m"),TEXT(F44,"yyyy"),7)=1,ngay(TEXT(F44,"d"),TEXT(F44,"m"),TEXT(F44,"yyyy"),7)&amp;"/"&amp;thang(TEXT(F44,"d"),TEXT(F44,"m"),TEXT(F44,"yyyy"),7),ngay(TEXT(F44,"d"),TEXT(F44,"m"),TEXT(F44,"yyyy"),7)))</f>
        <v>1/6</v>
      </c>
      <c r="G45" s="95">
        <f>IF(G44="","",IF(ngay(TEXT(G44,"d"),TEXT(G44,"m"),TEXT(G44,"yyyy"),7)=1,ngay(TEXT(G44,"d"),TEXT(G44,"m"),TEXT(G44,"yyyy"),7)&amp;"/"&amp;thang(TEXT(G44,"d"),TEXT(G44,"m"),TEXT(G44,"yyyy"),7),ngay(TEXT(G44,"d"),TEXT(G44,"m"),TEXT(G44,"yyyy"),7)))</f>
        <v>2</v>
      </c>
      <c r="H45" s="94">
        <f>IF(H44="","",IF(ngay(TEXT(H44,"d"),TEXT(H44,"m"),TEXT(H44,"yyyy"),7)=1,ngay(TEXT(H44,"d"),TEXT(H44,"m"),TEXT(H44,"yyyy"),7)&amp;"/"&amp;thang(TEXT(H44,"d"),TEXT(H44,"m"),TEXT(H44,"yyyy"),7),ngay(TEXT(H44,"d"),TEXT(H44,"m"),TEXT(H44,"yyyy"),7)))</f>
        <v>3</v>
      </c>
      <c r="I45" s="87"/>
      <c r="J45" s="96">
        <f>IF(J44="","",IF(ngay(TEXT(J44,"d"),TEXT(J44,"m"),TEXT(J44,"yyyy"),7)=1,ngay(TEXT(J44,"d"),TEXT(J44,"m"),TEXT(J44,"yyyy"),7)&amp;"/"&amp;thang(TEXT(J44,"d"),TEXT(J44,"m"),TEXT(J44,"yyyy"),7),ngay(TEXT(J44,"d"),TEXT(J44,"m"),TEXT(J44,"yyyy"),7)))</f>
        <v>3</v>
      </c>
      <c r="K45" s="95">
        <f>IF(K44="","",IF(ngay(TEXT(K44,"d"),TEXT(K44,"m"),TEXT(K44,"yyyy"),7)=1,ngay(TEXT(K44,"d"),TEXT(K44,"m"),TEXT(K44,"yyyy"),7)&amp;"/"&amp;thang(TEXT(K44,"d"),TEXT(K44,"m"),TEXT(K44,"yyyy"),7),ngay(TEXT(K44,"d"),TEXT(K44,"m"),TEXT(K44,"yyyy"),7)))</f>
        <v>4</v>
      </c>
      <c r="L45" s="95">
        <f>IF(L44="","",IF(ngay(TEXT(L44,"d"),TEXT(L44,"m"),TEXT(L44,"yyyy"),7)=1,ngay(TEXT(L44,"d"),TEXT(L44,"m"),TEXT(L44,"yyyy"),7)&amp;"/"&amp;thang(TEXT(L44,"d"),TEXT(L44,"m"),TEXT(L44,"yyyy"),7),ngay(TEXT(L44,"d"),TEXT(L44,"m"),TEXT(L44,"yyyy"),7)))</f>
        <v>5</v>
      </c>
      <c r="M45" s="95">
        <f>IF(M44="","",IF(ngay(TEXT(M44,"d"),TEXT(M44,"m"),TEXT(M44,"yyyy"),7)=1,ngay(TEXT(M44,"d"),TEXT(M44,"m"),TEXT(M44,"yyyy"),7)&amp;"/"&amp;thang(TEXT(M44,"d"),TEXT(M44,"m"),TEXT(M44,"yyyy"),7),ngay(TEXT(M44,"d"),TEXT(M44,"m"),TEXT(M44,"yyyy"),7)))</f>
        <v>6</v>
      </c>
      <c r="N45" s="95">
        <f>IF(N44="","",IF(ngay(TEXT(N44,"d"),TEXT(N44,"m"),TEXT(N44,"yyyy"),7)=1,ngay(TEXT(N44,"d"),TEXT(N44,"m"),TEXT(N44,"yyyy"),7)&amp;"/"&amp;thang(TEXT(N44,"d"),TEXT(N44,"m"),TEXT(N44,"yyyy"),7),ngay(TEXT(N44,"d"),TEXT(N44,"m"),TEXT(N44,"yyyy"),7)))</f>
        <v>7</v>
      </c>
      <c r="O45" s="95">
        <f>IF(O44="","",IF(ngay(TEXT(O44,"d"),TEXT(O44,"m"),TEXT(O44,"yyyy"),7)=1,ngay(TEXT(O44,"d"),TEXT(O44,"m"),TEXT(O44,"yyyy"),7)&amp;"/"&amp;thang(TEXT(O44,"d"),TEXT(O44,"m"),TEXT(O44,"yyyy"),7),ngay(TEXT(O44,"d"),TEXT(O44,"m"),TEXT(O44,"yyyy"),7)))</f>
        <v>8</v>
      </c>
      <c r="P45" s="94">
        <f>IF(P44="","",IF(ngay(TEXT(P44,"d"),TEXT(P44,"m"),TEXT(P44,"yyyy"),7)=1,ngay(TEXT(P44,"d"),TEXT(P44,"m"),TEXT(P44,"yyyy"),7)&amp;"/"&amp;thang(TEXT(P44,"d"),TEXT(P44,"m"),TEXT(P44,"yyyy"),7),ngay(TEXT(P44,"d"),TEXT(P44,"m"),TEXT(P44,"yyyy"),7)))</f>
        <v>9</v>
      </c>
      <c r="Q45" s="87"/>
      <c r="R45" s="96" t="str">
        <f>IF(R44="","",IF(ngay(TEXT(R44,"d"),TEXT(R44,"m"),TEXT(R44,"yyyy"),7)=1,ngay(TEXT(R44,"d"),TEXT(R44,"m"),TEXT(R44,"yyyy"),7)&amp;"/"&amp;thang(TEXT(R44,"d"),TEXT(R44,"m"),TEXT(R44,"yyyy"),7),ngay(TEXT(R44,"d"),TEXT(R44,"m"),TEXT(R44,"yyyy"),7)))</f>
        <v>1/8</v>
      </c>
      <c r="S45" s="95">
        <f>IF(S44="","",IF(ngay(TEXT(S44,"d"),TEXT(S44,"m"),TEXT(S44,"yyyy"),7)=1,ngay(TEXT(S44,"d"),TEXT(S44,"m"),TEXT(S44,"yyyy"),7)&amp;"/"&amp;thang(TEXT(S44,"d"),TEXT(S44,"m"),TEXT(S44,"yyyy"),7),ngay(TEXT(S44,"d"),TEXT(S44,"m"),TEXT(S44,"yyyy"),7)))</f>
        <v>2</v>
      </c>
      <c r="T45" s="95">
        <f>IF(T44="","",IF(ngay(TEXT(T44,"d"),TEXT(T44,"m"),TEXT(T44,"yyyy"),7)=1,ngay(TEXT(T44,"d"),TEXT(T44,"m"),TEXT(T44,"yyyy"),7)&amp;"/"&amp;thang(TEXT(T44,"d"),TEXT(T44,"m"),TEXT(T44,"yyyy"),7),ngay(TEXT(T44,"d"),TEXT(T44,"m"),TEXT(T44,"yyyy"),7)))</f>
        <v>3</v>
      </c>
      <c r="U45" s="95">
        <f>IF(U44="","",IF(ngay(TEXT(U44,"d"),TEXT(U44,"m"),TEXT(U44,"yyyy"),7)=1,ngay(TEXT(U44,"d"),TEXT(U44,"m"),TEXT(U44,"yyyy"),7)&amp;"/"&amp;thang(TEXT(U44,"d"),TEXT(U44,"m"),TEXT(U44,"yyyy"),7),ngay(TEXT(U44,"d"),TEXT(U44,"m"),TEXT(U44,"yyyy"),7)))</f>
        <v>4</v>
      </c>
      <c r="V45" s="95">
        <f>IF(V44="","",IF(ngay(TEXT(V44,"d"),TEXT(V44,"m"),TEXT(V44,"yyyy"),7)=1,ngay(TEXT(V44,"d"),TEXT(V44,"m"),TEXT(V44,"yyyy"),7)&amp;"/"&amp;thang(TEXT(V44,"d"),TEXT(V44,"m"),TEXT(V44,"yyyy"),7),ngay(TEXT(V44,"d"),TEXT(V44,"m"),TEXT(V44,"yyyy"),7)))</f>
        <v>5</v>
      </c>
      <c r="W45" s="95">
        <f>IF(W44="","",IF(ngay(TEXT(W44,"d"),TEXT(W44,"m"),TEXT(W44,"yyyy"),7)=1,ngay(TEXT(W44,"d"),TEXT(W44,"m"),TEXT(W44,"yyyy"),7)&amp;"/"&amp;thang(TEXT(W44,"d"),TEXT(W44,"m"),TEXT(W44,"yyyy"),7),ngay(TEXT(W44,"d"),TEXT(W44,"m"),TEXT(W44,"yyyy"),7)))</f>
        <v>6</v>
      </c>
      <c r="X45" s="94">
        <f>IF(X44="","",IF(ngay(TEXT(X44,"d"),TEXT(X44,"m"),TEXT(X44,"yyyy"),7)=1,ngay(TEXT(X44,"d"),TEXT(X44,"m"),TEXT(X44,"yyyy"),7)&amp;"/"&amp;thang(TEXT(X44,"d"),TEXT(X44,"m"),TEXT(X44,"yyyy"),7),ngay(TEXT(X44,"d"),TEXT(X44,"m"),TEXT(X44,"yyyy"),7)))</f>
        <v>7</v>
      </c>
    </row>
    <row r="46" spans="1:24" s="88" customFormat="1" ht="45.95" customHeight="1" x14ac:dyDescent="0.3">
      <c r="B46" s="92">
        <f>IF(H44="","",IF(MONTH(H44+1)&lt;&gt;MONTH(H44),"",H44+1))</f>
        <v>43297</v>
      </c>
      <c r="C46" s="91">
        <f>IF(B46="","",IF(MONTH(B46+1)&lt;&gt;MONTH(B46),"",B46+1))</f>
        <v>43298</v>
      </c>
      <c r="D46" s="91">
        <f>IF(C46="","",IF(MONTH(C46+1)&lt;&gt;MONTH(C46),"",C46+1))</f>
        <v>43299</v>
      </c>
      <c r="E46" s="91">
        <f>IF(D46="","",IF(MONTH(D46+1)&lt;&gt;MONTH(D46),"",D46+1))</f>
        <v>43300</v>
      </c>
      <c r="F46" s="91">
        <f>IF(E46="","",IF(MONTH(E46+1)&lt;&gt;MONTH(E46),"",E46+1))</f>
        <v>43301</v>
      </c>
      <c r="G46" s="90">
        <f>IF(F46="","",IF(MONTH(F46+1)&lt;&gt;MONTH(F46),"",F46+1))</f>
        <v>43302</v>
      </c>
      <c r="H46" s="89">
        <f>IF(G46="","",IF(MONTH(G46+1)&lt;&gt;MONTH(G46),"",G46+1))</f>
        <v>43303</v>
      </c>
      <c r="I46" s="93"/>
      <c r="J46" s="92">
        <f>IF(P44="","",IF(MONTH(P44+1)&lt;&gt;MONTH(P44),"",P44+1))</f>
        <v>43332</v>
      </c>
      <c r="K46" s="91">
        <f>IF(J46="","",IF(MONTH(J46+1)&lt;&gt;MONTH(J46),"",J46+1))</f>
        <v>43333</v>
      </c>
      <c r="L46" s="91">
        <f>IF(K46="","",IF(MONTH(K46+1)&lt;&gt;MONTH(K46),"",K46+1))</f>
        <v>43334</v>
      </c>
      <c r="M46" s="91">
        <f>IF(L46="","",IF(MONTH(L46+1)&lt;&gt;MONTH(L46),"",L46+1))</f>
        <v>43335</v>
      </c>
      <c r="N46" s="91">
        <f>IF(M46="","",IF(MONTH(M46+1)&lt;&gt;MONTH(M46),"",M46+1))</f>
        <v>43336</v>
      </c>
      <c r="O46" s="90">
        <f>IF(N46="","",IF(MONTH(N46+1)&lt;&gt;MONTH(N46),"",N46+1))</f>
        <v>43337</v>
      </c>
      <c r="P46" s="89">
        <f>IF(O46="","",IF(MONTH(O46+1)&lt;&gt;MONTH(O46),"",O46+1))</f>
        <v>43338</v>
      </c>
      <c r="Q46" s="93"/>
      <c r="R46" s="92">
        <f>IF(X44="","",IF(MONTH(X44+1)&lt;&gt;MONTH(X44),"",X44+1))</f>
        <v>43360</v>
      </c>
      <c r="S46" s="91">
        <f>IF(R46="","",IF(MONTH(R46+1)&lt;&gt;MONTH(R46),"",R46+1))</f>
        <v>43361</v>
      </c>
      <c r="T46" s="91">
        <f>IF(S46="","",IF(MONTH(S46+1)&lt;&gt;MONTH(S46),"",S46+1))</f>
        <v>43362</v>
      </c>
      <c r="U46" s="91">
        <f>IF(T46="","",IF(MONTH(T46+1)&lt;&gt;MONTH(T46),"",T46+1))</f>
        <v>43363</v>
      </c>
      <c r="V46" s="91">
        <f>IF(U46="","",IF(MONTH(U46+1)&lt;&gt;MONTH(U46),"",U46+1))</f>
        <v>43364</v>
      </c>
      <c r="W46" s="90">
        <f>IF(V46="","",IF(MONTH(V46+1)&lt;&gt;MONTH(V46),"",V46+1))</f>
        <v>43365</v>
      </c>
      <c r="X46" s="89">
        <f>IF(W46="","",IF(MONTH(W46+1)&lt;&gt;MONTH(W46),"",W46+1))</f>
        <v>43366</v>
      </c>
    </row>
    <row r="47" spans="1:24" s="83" customFormat="1" ht="45.95" customHeight="1" x14ac:dyDescent="0.2">
      <c r="B47" s="96">
        <f>IF(B46="","",IF(ngay(TEXT(B46,"d"),TEXT(B46,"m"),TEXT(B46,"yyyy"),7)=1,ngay(TEXT(B46,"d"),TEXT(B46,"m"),TEXT(B46,"yyyy"),7)&amp;"/"&amp;thang(TEXT(B46,"d"),TEXT(B46,"m"),TEXT(B46,"yyyy"),7),ngay(TEXT(B46,"d"),TEXT(B46,"m"),TEXT(B46,"yyyy"),7)))</f>
        <v>4</v>
      </c>
      <c r="C47" s="95">
        <f>IF(C46="","",IF(ngay(TEXT(C46,"d"),TEXT(C46,"m"),TEXT(C46,"yyyy"),7)=1,ngay(TEXT(C46,"d"),TEXT(C46,"m"),TEXT(C46,"yyyy"),7)&amp;"/"&amp;thang(TEXT(C46,"d"),TEXT(C46,"m"),TEXT(C46,"yyyy"),7),ngay(TEXT(C46,"d"),TEXT(C46,"m"),TEXT(C46,"yyyy"),7)))</f>
        <v>5</v>
      </c>
      <c r="D47" s="95">
        <f>IF(D46="","",IF(ngay(TEXT(D46,"d"),TEXT(D46,"m"),TEXT(D46,"yyyy"),7)=1,ngay(TEXT(D46,"d"),TEXT(D46,"m"),TEXT(D46,"yyyy"),7)&amp;"/"&amp;thang(TEXT(D46,"d"),TEXT(D46,"m"),TEXT(D46,"yyyy"),7),ngay(TEXT(D46,"d"),TEXT(D46,"m"),TEXT(D46,"yyyy"),7)))</f>
        <v>6</v>
      </c>
      <c r="E47" s="95">
        <f>IF(E46="","",IF(ngay(TEXT(E46,"d"),TEXT(E46,"m"),TEXT(E46,"yyyy"),7)=1,ngay(TEXT(E46,"d"),TEXT(E46,"m"),TEXT(E46,"yyyy"),7)&amp;"/"&amp;thang(TEXT(E46,"d"),TEXT(E46,"m"),TEXT(E46,"yyyy"),7),ngay(TEXT(E46,"d"),TEXT(E46,"m"),TEXT(E46,"yyyy"),7)))</f>
        <v>7</v>
      </c>
      <c r="F47" s="95">
        <f>IF(F46="","",IF(ngay(TEXT(F46,"d"),TEXT(F46,"m"),TEXT(F46,"yyyy"),7)=1,ngay(TEXT(F46,"d"),TEXT(F46,"m"),TEXT(F46,"yyyy"),7)&amp;"/"&amp;thang(TEXT(F46,"d"),TEXT(F46,"m"),TEXT(F46,"yyyy"),7),ngay(TEXT(F46,"d"),TEXT(F46,"m"),TEXT(F46,"yyyy"),7)))</f>
        <v>8</v>
      </c>
      <c r="G47" s="95">
        <f>IF(G46="","",IF(ngay(TEXT(G46,"d"),TEXT(G46,"m"),TEXT(G46,"yyyy"),7)=1,ngay(TEXT(G46,"d"),TEXT(G46,"m"),TEXT(G46,"yyyy"),7)&amp;"/"&amp;thang(TEXT(G46,"d"),TEXT(G46,"m"),TEXT(G46,"yyyy"),7),ngay(TEXT(G46,"d"),TEXT(G46,"m"),TEXT(G46,"yyyy"),7)))</f>
        <v>9</v>
      </c>
      <c r="H47" s="94">
        <f>IF(H46="","",IF(ngay(TEXT(H46,"d"),TEXT(H46,"m"),TEXT(H46,"yyyy"),7)=1,ngay(TEXT(H46,"d"),TEXT(H46,"m"),TEXT(H46,"yyyy"),7)&amp;"/"&amp;thang(TEXT(H46,"d"),TEXT(H46,"m"),TEXT(H46,"yyyy"),7),ngay(TEXT(H46,"d"),TEXT(H46,"m"),TEXT(H46,"yyyy"),7)))</f>
        <v>10</v>
      </c>
      <c r="I47" s="87"/>
      <c r="J47" s="96">
        <f>IF(J46="","",IF(ngay(TEXT(J46,"d"),TEXT(J46,"m"),TEXT(J46,"yyyy"),7)=1,ngay(TEXT(J46,"d"),TEXT(J46,"m"),TEXT(J46,"yyyy"),7)&amp;"/"&amp;thang(TEXT(J46,"d"),TEXT(J46,"m"),TEXT(J46,"yyyy"),7),ngay(TEXT(J46,"d"),TEXT(J46,"m"),TEXT(J46,"yyyy"),7)))</f>
        <v>10</v>
      </c>
      <c r="K47" s="95">
        <f>IF(K46="","",IF(ngay(TEXT(K46,"d"),TEXT(K46,"m"),TEXT(K46,"yyyy"),7)=1,ngay(TEXT(K46,"d"),TEXT(K46,"m"),TEXT(K46,"yyyy"),7)&amp;"/"&amp;thang(TEXT(K46,"d"),TEXT(K46,"m"),TEXT(K46,"yyyy"),7),ngay(TEXT(K46,"d"),TEXT(K46,"m"),TEXT(K46,"yyyy"),7)))</f>
        <v>11</v>
      </c>
      <c r="L47" s="95">
        <f>IF(L46="","",IF(ngay(TEXT(L46,"d"),TEXT(L46,"m"),TEXT(L46,"yyyy"),7)=1,ngay(TEXT(L46,"d"),TEXT(L46,"m"),TEXT(L46,"yyyy"),7)&amp;"/"&amp;thang(TEXT(L46,"d"),TEXT(L46,"m"),TEXT(L46,"yyyy"),7),ngay(TEXT(L46,"d"),TEXT(L46,"m"),TEXT(L46,"yyyy"),7)))</f>
        <v>12</v>
      </c>
      <c r="M47" s="95">
        <f>IF(M46="","",IF(ngay(TEXT(M46,"d"),TEXT(M46,"m"),TEXT(M46,"yyyy"),7)=1,ngay(TEXT(M46,"d"),TEXT(M46,"m"),TEXT(M46,"yyyy"),7)&amp;"/"&amp;thang(TEXT(M46,"d"),TEXT(M46,"m"),TEXT(M46,"yyyy"),7),ngay(TEXT(M46,"d"),TEXT(M46,"m"),TEXT(M46,"yyyy"),7)))</f>
        <v>13</v>
      </c>
      <c r="N47" s="95">
        <f>IF(N46="","",IF(ngay(TEXT(N46,"d"),TEXT(N46,"m"),TEXT(N46,"yyyy"),7)=1,ngay(TEXT(N46,"d"),TEXT(N46,"m"),TEXT(N46,"yyyy"),7)&amp;"/"&amp;thang(TEXT(N46,"d"),TEXT(N46,"m"),TEXT(N46,"yyyy"),7),ngay(TEXT(N46,"d"),TEXT(N46,"m"),TEXT(N46,"yyyy"),7)))</f>
        <v>14</v>
      </c>
      <c r="O47" s="95">
        <f>IF(O46="","",IF(ngay(TEXT(O46,"d"),TEXT(O46,"m"),TEXT(O46,"yyyy"),7)=1,ngay(TEXT(O46,"d"),TEXT(O46,"m"),TEXT(O46,"yyyy"),7)&amp;"/"&amp;thang(TEXT(O46,"d"),TEXT(O46,"m"),TEXT(O46,"yyyy"),7),ngay(TEXT(O46,"d"),TEXT(O46,"m"),TEXT(O46,"yyyy"),7)))</f>
        <v>15</v>
      </c>
      <c r="P47" s="94">
        <f>IF(P46="","",IF(ngay(TEXT(P46,"d"),TEXT(P46,"m"),TEXT(P46,"yyyy"),7)=1,ngay(TEXT(P46,"d"),TEXT(P46,"m"),TEXT(P46,"yyyy"),7)&amp;"/"&amp;thang(TEXT(P46,"d"),TEXT(P46,"m"),TEXT(P46,"yyyy"),7),ngay(TEXT(P46,"d"),TEXT(P46,"m"),TEXT(P46,"yyyy"),7)))</f>
        <v>16</v>
      </c>
      <c r="Q47" s="87"/>
      <c r="R47" s="96">
        <f>IF(R46="","",IF(ngay(TEXT(R46,"d"),TEXT(R46,"m"),TEXT(R46,"yyyy"),7)=1,ngay(TEXT(R46,"d"),TEXT(R46,"m"),TEXT(R46,"yyyy"),7)&amp;"/"&amp;thang(TEXT(R46,"d"),TEXT(R46,"m"),TEXT(R46,"yyyy"),7),ngay(TEXT(R46,"d"),TEXT(R46,"m"),TEXT(R46,"yyyy"),7)))</f>
        <v>8</v>
      </c>
      <c r="S47" s="95">
        <f>IF(S46="","",IF(ngay(TEXT(S46,"d"),TEXT(S46,"m"),TEXT(S46,"yyyy"),7)=1,ngay(TEXT(S46,"d"),TEXT(S46,"m"),TEXT(S46,"yyyy"),7)&amp;"/"&amp;thang(TEXT(S46,"d"),TEXT(S46,"m"),TEXT(S46,"yyyy"),7),ngay(TEXT(S46,"d"),TEXT(S46,"m"),TEXT(S46,"yyyy"),7)))</f>
        <v>9</v>
      </c>
      <c r="T47" s="95">
        <f>IF(T46="","",IF(ngay(TEXT(T46,"d"),TEXT(T46,"m"),TEXT(T46,"yyyy"),7)=1,ngay(TEXT(T46,"d"),TEXT(T46,"m"),TEXT(T46,"yyyy"),7)&amp;"/"&amp;thang(TEXT(T46,"d"),TEXT(T46,"m"),TEXT(T46,"yyyy"),7),ngay(TEXT(T46,"d"),TEXT(T46,"m"),TEXT(T46,"yyyy"),7)))</f>
        <v>10</v>
      </c>
      <c r="U47" s="95">
        <f>IF(U46="","",IF(ngay(TEXT(U46,"d"),TEXT(U46,"m"),TEXT(U46,"yyyy"),7)=1,ngay(TEXT(U46,"d"),TEXT(U46,"m"),TEXT(U46,"yyyy"),7)&amp;"/"&amp;thang(TEXT(U46,"d"),TEXT(U46,"m"),TEXT(U46,"yyyy"),7),ngay(TEXT(U46,"d"),TEXT(U46,"m"),TEXT(U46,"yyyy"),7)))</f>
        <v>11</v>
      </c>
      <c r="V47" s="95">
        <f>IF(V46="","",IF(ngay(TEXT(V46,"d"),TEXT(V46,"m"),TEXT(V46,"yyyy"),7)=1,ngay(TEXT(V46,"d"),TEXT(V46,"m"),TEXT(V46,"yyyy"),7)&amp;"/"&amp;thang(TEXT(V46,"d"),TEXT(V46,"m"),TEXT(V46,"yyyy"),7),ngay(TEXT(V46,"d"),TEXT(V46,"m"),TEXT(V46,"yyyy"),7)))</f>
        <v>12</v>
      </c>
      <c r="W47" s="95">
        <f>IF(W46="","",IF(ngay(TEXT(W46,"d"),TEXT(W46,"m"),TEXT(W46,"yyyy"),7)=1,ngay(TEXT(W46,"d"),TEXT(W46,"m"),TEXT(W46,"yyyy"),7)&amp;"/"&amp;thang(TEXT(W46,"d"),TEXT(W46,"m"),TEXT(W46,"yyyy"),7),ngay(TEXT(W46,"d"),TEXT(W46,"m"),TEXT(W46,"yyyy"),7)))</f>
        <v>13</v>
      </c>
      <c r="X47" s="94">
        <f>IF(X46="","",IF(ngay(TEXT(X46,"d"),TEXT(X46,"m"),TEXT(X46,"yyyy"),7)=1,ngay(TEXT(X46,"d"),TEXT(X46,"m"),TEXT(X46,"yyyy"),7)&amp;"/"&amp;thang(TEXT(X46,"d"),TEXT(X46,"m"),TEXT(X46,"yyyy"),7),ngay(TEXT(X46,"d"),TEXT(X46,"m"),TEXT(X46,"yyyy"),7)))</f>
        <v>14</v>
      </c>
    </row>
    <row r="48" spans="1:24" s="88" customFormat="1" ht="45.95" customHeight="1" x14ac:dyDescent="0.3">
      <c r="B48" s="92">
        <f>IF(H46="","",IF(MONTH(H46+1)&lt;&gt;MONTH(H46),"",H46+1))</f>
        <v>43304</v>
      </c>
      <c r="C48" s="91">
        <f>IF(B48="","",IF(MONTH(B48+1)&lt;&gt;MONTH(B48),"",B48+1))</f>
        <v>43305</v>
      </c>
      <c r="D48" s="91">
        <f>IF(C48="","",IF(MONTH(C48+1)&lt;&gt;MONTH(C48),"",C48+1))</f>
        <v>43306</v>
      </c>
      <c r="E48" s="91">
        <f>IF(D48="","",IF(MONTH(D48+1)&lt;&gt;MONTH(D48),"",D48+1))</f>
        <v>43307</v>
      </c>
      <c r="F48" s="91">
        <f>IF(E48="","",IF(MONTH(E48+1)&lt;&gt;MONTH(E48),"",E48+1))</f>
        <v>43308</v>
      </c>
      <c r="G48" s="90">
        <f>IF(F48="","",IF(MONTH(F48+1)&lt;&gt;MONTH(F48),"",F48+1))</f>
        <v>43309</v>
      </c>
      <c r="H48" s="89">
        <f>IF(G48="","",IF(MONTH(G48+1)&lt;&gt;MONTH(G48),"",G48+1))</f>
        <v>43310</v>
      </c>
      <c r="I48" s="93"/>
      <c r="J48" s="92">
        <f>IF(P46="","",IF(MONTH(P46+1)&lt;&gt;MONTH(P46),"",P46+1))</f>
        <v>43339</v>
      </c>
      <c r="K48" s="91">
        <f>IF(J48="","",IF(MONTH(J48+1)&lt;&gt;MONTH(J48),"",J48+1))</f>
        <v>43340</v>
      </c>
      <c r="L48" s="91">
        <f>IF(K48="","",IF(MONTH(K48+1)&lt;&gt;MONTH(K48),"",K48+1))</f>
        <v>43341</v>
      </c>
      <c r="M48" s="91">
        <f>IF(L48="","",IF(MONTH(L48+1)&lt;&gt;MONTH(L48),"",L48+1))</f>
        <v>43342</v>
      </c>
      <c r="N48" s="91">
        <f>IF(M48="","",IF(MONTH(M48+1)&lt;&gt;MONTH(M48),"",M48+1))</f>
        <v>43343</v>
      </c>
      <c r="O48" s="90" t="str">
        <f>IF(N48="","",IF(MONTH(N48+1)&lt;&gt;MONTH(N48),"",N48+1))</f>
        <v/>
      </c>
      <c r="P48" s="89" t="str">
        <f>IF(O48="","",IF(MONTH(O48+1)&lt;&gt;MONTH(O48),"",O48+1))</f>
        <v/>
      </c>
      <c r="Q48" s="93"/>
      <c r="R48" s="92">
        <f>IF(X46="","",IF(MONTH(X46+1)&lt;&gt;MONTH(X46),"",X46+1))</f>
        <v>43367</v>
      </c>
      <c r="S48" s="91">
        <f>IF(R48="","",IF(MONTH(R48+1)&lt;&gt;MONTH(R48),"",R48+1))</f>
        <v>43368</v>
      </c>
      <c r="T48" s="91">
        <f>IF(S48="","",IF(MONTH(S48+1)&lt;&gt;MONTH(S48),"",S48+1))</f>
        <v>43369</v>
      </c>
      <c r="U48" s="91">
        <f>IF(T48="","",IF(MONTH(T48+1)&lt;&gt;MONTH(T48),"",T48+1))</f>
        <v>43370</v>
      </c>
      <c r="V48" s="91">
        <f>IF(U48="","",IF(MONTH(U48+1)&lt;&gt;MONTH(U48),"",U48+1))</f>
        <v>43371</v>
      </c>
      <c r="W48" s="90">
        <f>IF(V48="","",IF(MONTH(V48+1)&lt;&gt;MONTH(V48),"",V48+1))</f>
        <v>43372</v>
      </c>
      <c r="X48" s="89">
        <f>IF(W48="","",IF(MONTH(W48+1)&lt;&gt;MONTH(W48),"",W48+1))</f>
        <v>43373</v>
      </c>
    </row>
    <row r="49" spans="1:24" s="83" customFormat="1" ht="45.95" customHeight="1" x14ac:dyDescent="0.2">
      <c r="B49" s="96">
        <f>IF(B48="","",IF(ngay(TEXT(B48,"d"),TEXT(B48,"m"),TEXT(B48,"yyyy"),7)=1,ngay(TEXT(B48,"d"),TEXT(B48,"m"),TEXT(B48,"yyyy"),7)&amp;"/"&amp;thang(TEXT(B48,"d"),TEXT(B48,"m"),TEXT(B48,"yyyy"),7),ngay(TEXT(B48,"d"),TEXT(B48,"m"),TEXT(B48,"yyyy"),7)))</f>
        <v>11</v>
      </c>
      <c r="C49" s="95">
        <f>IF(C48="","",IF(ngay(TEXT(C48,"d"),TEXT(C48,"m"),TEXT(C48,"yyyy"),7)=1,ngay(TEXT(C48,"d"),TEXT(C48,"m"),TEXT(C48,"yyyy"),7)&amp;"/"&amp;thang(TEXT(C48,"d"),TEXT(C48,"m"),TEXT(C48,"yyyy"),7),ngay(TEXT(C48,"d"),TEXT(C48,"m"),TEXT(C48,"yyyy"),7)))</f>
        <v>12</v>
      </c>
      <c r="D49" s="95">
        <f>IF(D48="","",IF(ngay(TEXT(D48,"d"),TEXT(D48,"m"),TEXT(D48,"yyyy"),7)=1,ngay(TEXT(D48,"d"),TEXT(D48,"m"),TEXT(D48,"yyyy"),7)&amp;"/"&amp;thang(TEXT(D48,"d"),TEXT(D48,"m"),TEXT(D48,"yyyy"),7),ngay(TEXT(D48,"d"),TEXT(D48,"m"),TEXT(D48,"yyyy"),7)))</f>
        <v>13</v>
      </c>
      <c r="E49" s="95">
        <f>IF(E48="","",IF(ngay(TEXT(E48,"d"),TEXT(E48,"m"),TEXT(E48,"yyyy"),7)=1,ngay(TEXT(E48,"d"),TEXT(E48,"m"),TEXT(E48,"yyyy"),7)&amp;"/"&amp;thang(TEXT(E48,"d"),TEXT(E48,"m"),TEXT(E48,"yyyy"),7),ngay(TEXT(E48,"d"),TEXT(E48,"m"),TEXT(E48,"yyyy"),7)))</f>
        <v>14</v>
      </c>
      <c r="F49" s="95">
        <f>IF(F48="","",IF(ngay(TEXT(F48,"d"),TEXT(F48,"m"),TEXT(F48,"yyyy"),7)=1,ngay(TEXT(F48,"d"),TEXT(F48,"m"),TEXT(F48,"yyyy"),7)&amp;"/"&amp;thang(TEXT(F48,"d"),TEXT(F48,"m"),TEXT(F48,"yyyy"),7),ngay(TEXT(F48,"d"),TEXT(F48,"m"),TEXT(F48,"yyyy"),7)))</f>
        <v>15</v>
      </c>
      <c r="G49" s="95">
        <f>IF(G48="","",IF(ngay(TEXT(G48,"d"),TEXT(G48,"m"),TEXT(G48,"yyyy"),7)=1,ngay(TEXT(G48,"d"),TEXT(G48,"m"),TEXT(G48,"yyyy"),7)&amp;"/"&amp;thang(TEXT(G48,"d"),TEXT(G48,"m"),TEXT(G48,"yyyy"),7),ngay(TEXT(G48,"d"),TEXT(G48,"m"),TEXT(G48,"yyyy"),7)))</f>
        <v>16</v>
      </c>
      <c r="H49" s="94">
        <f>IF(H48="","",IF(ngay(TEXT(H48,"d"),TEXT(H48,"m"),TEXT(H48,"yyyy"),7)=1,ngay(TEXT(H48,"d"),TEXT(H48,"m"),TEXT(H48,"yyyy"),7)&amp;"/"&amp;thang(TEXT(H48,"d"),TEXT(H48,"m"),TEXT(H48,"yyyy"),7),ngay(TEXT(H48,"d"),TEXT(H48,"m"),TEXT(H48,"yyyy"),7)))</f>
        <v>17</v>
      </c>
      <c r="I49" s="87"/>
      <c r="J49" s="96">
        <f>IF(J48="","",IF(ngay(TEXT(J48,"d"),TEXT(J48,"m"),TEXT(J48,"yyyy"),7)=1,ngay(TEXT(J48,"d"),TEXT(J48,"m"),TEXT(J48,"yyyy"),7)&amp;"/"&amp;thang(TEXT(J48,"d"),TEXT(J48,"m"),TEXT(J48,"yyyy"),7),ngay(TEXT(J48,"d"),TEXT(J48,"m"),TEXT(J48,"yyyy"),7)))</f>
        <v>17</v>
      </c>
      <c r="K49" s="95">
        <f>IF(K48="","",IF(ngay(TEXT(K48,"d"),TEXT(K48,"m"),TEXT(K48,"yyyy"),7)=1,ngay(TEXT(K48,"d"),TEXT(K48,"m"),TEXT(K48,"yyyy"),7)&amp;"/"&amp;thang(TEXT(K48,"d"),TEXT(K48,"m"),TEXT(K48,"yyyy"),7),ngay(TEXT(K48,"d"),TEXT(K48,"m"),TEXT(K48,"yyyy"),7)))</f>
        <v>18</v>
      </c>
      <c r="L49" s="95">
        <f>IF(L48="","",IF(ngay(TEXT(L48,"d"),TEXT(L48,"m"),TEXT(L48,"yyyy"),7)=1,ngay(TEXT(L48,"d"),TEXT(L48,"m"),TEXT(L48,"yyyy"),7)&amp;"/"&amp;thang(TEXT(L48,"d"),TEXT(L48,"m"),TEXT(L48,"yyyy"),7),ngay(TEXT(L48,"d"),TEXT(L48,"m"),TEXT(L48,"yyyy"),7)))</f>
        <v>19</v>
      </c>
      <c r="M49" s="95">
        <f>IF(M48="","",IF(ngay(TEXT(M48,"d"),TEXT(M48,"m"),TEXT(M48,"yyyy"),7)=1,ngay(TEXT(M48,"d"),TEXT(M48,"m"),TEXT(M48,"yyyy"),7)&amp;"/"&amp;thang(TEXT(M48,"d"),TEXT(M48,"m"),TEXT(M48,"yyyy"),7),ngay(TEXT(M48,"d"),TEXT(M48,"m"),TEXT(M48,"yyyy"),7)))</f>
        <v>20</v>
      </c>
      <c r="N49" s="95">
        <f>IF(N48="","",IF(ngay(TEXT(N48,"d"),TEXT(N48,"m"),TEXT(N48,"yyyy"),7)=1,ngay(TEXT(N48,"d"),TEXT(N48,"m"),TEXT(N48,"yyyy"),7)&amp;"/"&amp;thang(TEXT(N48,"d"),TEXT(N48,"m"),TEXT(N48,"yyyy"),7),ngay(TEXT(N48,"d"),TEXT(N48,"m"),TEXT(N48,"yyyy"),7)))</f>
        <v>21</v>
      </c>
      <c r="O49" s="95" t="str">
        <f>IF(O48="","",IF(ngay(TEXT(O48,"d"),TEXT(O48,"m"),TEXT(O48,"yyyy"),7)=1,ngay(TEXT(O48,"d"),TEXT(O48,"m"),TEXT(O48,"yyyy"),7)&amp;"/"&amp;thang(TEXT(O48,"d"),TEXT(O48,"m"),TEXT(O48,"yyyy"),7),ngay(TEXT(O48,"d"),TEXT(O48,"m"),TEXT(O48,"yyyy"),7)))</f>
        <v/>
      </c>
      <c r="P49" s="94" t="str">
        <f>IF(P48="","",IF(ngay(TEXT(P48,"d"),TEXT(P48,"m"),TEXT(P48,"yyyy"),7)=1,ngay(TEXT(P48,"d"),TEXT(P48,"m"),TEXT(P48,"yyyy"),7)&amp;"/"&amp;thang(TEXT(P48,"d"),TEXT(P48,"m"),TEXT(P48,"yyyy"),7),ngay(TEXT(P48,"d"),TEXT(P48,"m"),TEXT(P48,"yyyy"),7)))</f>
        <v/>
      </c>
      <c r="Q49" s="87"/>
      <c r="R49" s="96">
        <f>IF(R48="","",IF(ngay(TEXT(R48,"d"),TEXT(R48,"m"),TEXT(R48,"yyyy"),7)=1,ngay(TEXT(R48,"d"),TEXT(R48,"m"),TEXT(R48,"yyyy"),7)&amp;"/"&amp;thang(TEXT(R48,"d"),TEXT(R48,"m"),TEXT(R48,"yyyy"),7),ngay(TEXT(R48,"d"),TEXT(R48,"m"),TEXT(R48,"yyyy"),7)))</f>
        <v>15</v>
      </c>
      <c r="S49" s="95">
        <f>IF(S48="","",IF(ngay(TEXT(S48,"d"),TEXT(S48,"m"),TEXT(S48,"yyyy"),7)=1,ngay(TEXT(S48,"d"),TEXT(S48,"m"),TEXT(S48,"yyyy"),7)&amp;"/"&amp;thang(TEXT(S48,"d"),TEXT(S48,"m"),TEXT(S48,"yyyy"),7),ngay(TEXT(S48,"d"),TEXT(S48,"m"),TEXT(S48,"yyyy"),7)))</f>
        <v>16</v>
      </c>
      <c r="T49" s="95">
        <f>IF(T48="","",IF(ngay(TEXT(T48,"d"),TEXT(T48,"m"),TEXT(T48,"yyyy"),7)=1,ngay(TEXT(T48,"d"),TEXT(T48,"m"),TEXT(T48,"yyyy"),7)&amp;"/"&amp;thang(TEXT(T48,"d"),TEXT(T48,"m"),TEXT(T48,"yyyy"),7),ngay(TEXT(T48,"d"),TEXT(T48,"m"),TEXT(T48,"yyyy"),7)))</f>
        <v>17</v>
      </c>
      <c r="U49" s="95">
        <f>IF(U48="","",IF(ngay(TEXT(U48,"d"),TEXT(U48,"m"),TEXT(U48,"yyyy"),7)=1,ngay(TEXT(U48,"d"),TEXT(U48,"m"),TEXT(U48,"yyyy"),7)&amp;"/"&amp;thang(TEXT(U48,"d"),TEXT(U48,"m"),TEXT(U48,"yyyy"),7),ngay(TEXT(U48,"d"),TEXT(U48,"m"),TEXT(U48,"yyyy"),7)))</f>
        <v>18</v>
      </c>
      <c r="V49" s="95">
        <f>IF(V48="","",IF(ngay(TEXT(V48,"d"),TEXT(V48,"m"),TEXT(V48,"yyyy"),7)=1,ngay(TEXT(V48,"d"),TEXT(V48,"m"),TEXT(V48,"yyyy"),7)&amp;"/"&amp;thang(TEXT(V48,"d"),TEXT(V48,"m"),TEXT(V48,"yyyy"),7),ngay(TEXT(V48,"d"),TEXT(V48,"m"),TEXT(V48,"yyyy"),7)))</f>
        <v>19</v>
      </c>
      <c r="W49" s="95">
        <f>IF(W48="","",IF(ngay(TEXT(W48,"d"),TEXT(W48,"m"),TEXT(W48,"yyyy"),7)=1,ngay(TEXT(W48,"d"),TEXT(W48,"m"),TEXT(W48,"yyyy"),7)&amp;"/"&amp;thang(TEXT(W48,"d"),TEXT(W48,"m"),TEXT(W48,"yyyy"),7),ngay(TEXT(W48,"d"),TEXT(W48,"m"),TEXT(W48,"yyyy"),7)))</f>
        <v>20</v>
      </c>
      <c r="X49" s="94">
        <f>IF(X48="","",IF(ngay(TEXT(X48,"d"),TEXT(X48,"m"),TEXT(X48,"yyyy"),7)=1,ngay(TEXT(X48,"d"),TEXT(X48,"m"),TEXT(X48,"yyyy"),7)&amp;"/"&amp;thang(TEXT(X48,"d"),TEXT(X48,"m"),TEXT(X48,"yyyy"),7),ngay(TEXT(X48,"d"),TEXT(X48,"m"),TEXT(X48,"yyyy"),7)))</f>
        <v>21</v>
      </c>
    </row>
    <row r="50" spans="1:24" s="88" customFormat="1" ht="45.95" customHeight="1" x14ac:dyDescent="0.3">
      <c r="B50" s="92">
        <f>IF(H48="","",IF(MONTH(H48+1)&lt;&gt;MONTH(H48),"",H48+1))</f>
        <v>43311</v>
      </c>
      <c r="C50" s="91">
        <f>IF(B50="","",IF(MONTH(B50+1)&lt;&gt;MONTH(B50),"",B50+1))</f>
        <v>43312</v>
      </c>
      <c r="D50" s="91" t="str">
        <f>IF(C50="","",IF(MONTH(C50+1)&lt;&gt;MONTH(C50),"",C50+1))</f>
        <v/>
      </c>
      <c r="E50" s="91" t="str">
        <f>IF(D50="","",IF(MONTH(D50+1)&lt;&gt;MONTH(D50),"",D50+1))</f>
        <v/>
      </c>
      <c r="F50" s="91" t="str">
        <f>IF(E50="","",IF(MONTH(E50+1)&lt;&gt;MONTH(E50),"",E50+1))</f>
        <v/>
      </c>
      <c r="G50" s="90" t="str">
        <f>IF(F50="","",IF(MONTH(F50+1)&lt;&gt;MONTH(F50),"",F50+1))</f>
        <v/>
      </c>
      <c r="H50" s="89" t="str">
        <f>IF(G50="","",IF(MONTH(G50+1)&lt;&gt;MONTH(G50),"",G50+1))</f>
        <v/>
      </c>
      <c r="I50" s="93"/>
      <c r="J50" s="92" t="str">
        <f>IF(P48="","",IF(MONTH(P48+1)&lt;&gt;MONTH(P48),"",P48+1))</f>
        <v/>
      </c>
      <c r="K50" s="91" t="str">
        <f>IF(J50="","",IF(MONTH(J50+1)&lt;&gt;MONTH(J50),"",J50+1))</f>
        <v/>
      </c>
      <c r="L50" s="91" t="str">
        <f>IF(K50="","",IF(MONTH(K50+1)&lt;&gt;MONTH(K50),"",K50+1))</f>
        <v/>
      </c>
      <c r="M50" s="91" t="str">
        <f>IF(L50="","",IF(MONTH(L50+1)&lt;&gt;MONTH(L50),"",L50+1))</f>
        <v/>
      </c>
      <c r="N50" s="91" t="str">
        <f>IF(M50="","",IF(MONTH(M50+1)&lt;&gt;MONTH(M50),"",M50+1))</f>
        <v/>
      </c>
      <c r="O50" s="90" t="str">
        <f>IF(N50="","",IF(MONTH(N50+1)&lt;&gt;MONTH(N50),"",N50+1))</f>
        <v/>
      </c>
      <c r="P50" s="89" t="str">
        <f>IF(O50="","",IF(MONTH(O50+1)&lt;&gt;MONTH(O50),"",O50+1))</f>
        <v/>
      </c>
      <c r="Q50" s="93"/>
      <c r="R50" s="92" t="str">
        <f>IF(X48="","",IF(MONTH(X48+1)&lt;&gt;MONTH(X48),"",X48+1))</f>
        <v/>
      </c>
      <c r="S50" s="91" t="str">
        <f>IF(R50="","",IF(MONTH(R50+1)&lt;&gt;MONTH(R50),"",R50+1))</f>
        <v/>
      </c>
      <c r="T50" s="91" t="str">
        <f>IF(S50="","",IF(MONTH(S50+1)&lt;&gt;MONTH(S50),"",S50+1))</f>
        <v/>
      </c>
      <c r="U50" s="91" t="str">
        <f>IF(T50="","",IF(MONTH(T50+1)&lt;&gt;MONTH(T50),"",T50+1))</f>
        <v/>
      </c>
      <c r="V50" s="91" t="str">
        <f>IF(U50="","",IF(MONTH(U50+1)&lt;&gt;MONTH(U50),"",U50+1))</f>
        <v/>
      </c>
      <c r="W50" s="90" t="str">
        <f>IF(V50="","",IF(MONTH(V50+1)&lt;&gt;MONTH(V50),"",V50+1))</f>
        <v/>
      </c>
      <c r="X50" s="89" t="str">
        <f>IF(W50="","",IF(MONTH(W50+1)&lt;&gt;MONTH(W50),"",W50+1))</f>
        <v/>
      </c>
    </row>
    <row r="51" spans="1:24" s="83" customFormat="1" ht="45.95" customHeight="1" x14ac:dyDescent="0.2">
      <c r="B51" s="86">
        <f>IF(B50="","",IF(ngay(TEXT(B50,"d"),TEXT(B50,"m"),TEXT(B50,"yyyy"),7)=1,ngay(TEXT(B50,"d"),TEXT(B50,"m"),TEXT(B50,"yyyy"),7)&amp;"/"&amp;thang(TEXT(B50,"d"),TEXT(B50,"m"),TEXT(B50,"yyyy"),7),ngay(TEXT(B50,"d"),TEXT(B50,"m"),TEXT(B50,"yyyy"),7)))</f>
        <v>18</v>
      </c>
      <c r="C51" s="85">
        <f>IF(C50="","",IF(ngay(TEXT(C50,"d"),TEXT(C50,"m"),TEXT(C50,"yyyy"),7)=1,ngay(TEXT(C50,"d"),TEXT(C50,"m"),TEXT(C50,"yyyy"),7)&amp;"/"&amp;thang(TEXT(C50,"d"),TEXT(C50,"m"),TEXT(C50,"yyyy"),7),ngay(TEXT(C50,"d"),TEXT(C50,"m"),TEXT(C50,"yyyy"),7)))</f>
        <v>19</v>
      </c>
      <c r="D51" s="85" t="str">
        <f>IF(D50="","",IF(ngay(TEXT(D50,"d"),TEXT(D50,"m"),TEXT(D50,"yyyy"),7)=1,ngay(TEXT(D50,"d"),TEXT(D50,"m"),TEXT(D50,"yyyy"),7)&amp;"/"&amp;thang(TEXT(D50,"d"),TEXT(D50,"m"),TEXT(D50,"yyyy"),7),ngay(TEXT(D50,"d"),TEXT(D50,"m"),TEXT(D50,"yyyy"),7)))</f>
        <v/>
      </c>
      <c r="E51" s="85" t="str">
        <f>IF(E50="","",IF(ngay(TEXT(E50,"d"),TEXT(E50,"m"),TEXT(E50,"yyyy"),7)=1,ngay(TEXT(E50,"d"),TEXT(E50,"m"),TEXT(E50,"yyyy"),7)&amp;"/"&amp;thang(TEXT(E50,"d"),TEXT(E50,"m"),TEXT(E50,"yyyy"),7),ngay(TEXT(E50,"d"),TEXT(E50,"m"),TEXT(E50,"yyyy"),7)))</f>
        <v/>
      </c>
      <c r="F51" s="85" t="str">
        <f>IF(F50="","",IF(ngay(TEXT(F50,"d"),TEXT(F50,"m"),TEXT(F50,"yyyy"),7)=1,ngay(TEXT(F50,"d"),TEXT(F50,"m"),TEXT(F50,"yyyy"),7)&amp;"/"&amp;thang(TEXT(F50,"d"),TEXT(F50,"m"),TEXT(F50,"yyyy"),7),ngay(TEXT(F50,"d"),TEXT(F50,"m"),TEXT(F50,"yyyy"),7)))</f>
        <v/>
      </c>
      <c r="G51" s="85" t="str">
        <f>IF(G50="","",IF(ngay(TEXT(G50,"d"),TEXT(G50,"m"),TEXT(G50,"yyyy"),7)=1,ngay(TEXT(G50,"d"),TEXT(G50,"m"),TEXT(G50,"yyyy"),7)&amp;"/"&amp;thang(TEXT(G50,"d"),TEXT(G50,"m"),TEXT(G50,"yyyy"),7),ngay(TEXT(G50,"d"),TEXT(G50,"m"),TEXT(G50,"yyyy"),7)))</f>
        <v/>
      </c>
      <c r="H51" s="84" t="str">
        <f>IF(H50="","",IF(ngay(TEXT(H50,"d"),TEXT(H50,"m"),TEXT(H50,"yyyy"),7)=1,ngay(TEXT(H50,"d"),TEXT(H50,"m"),TEXT(H50,"yyyy"),7)&amp;"/"&amp;thang(TEXT(H50,"d"),TEXT(H50,"m"),TEXT(H50,"yyyy"),7),ngay(TEXT(H50,"d"),TEXT(H50,"m"),TEXT(H50,"yyyy"),7)))</f>
        <v/>
      </c>
      <c r="I51" s="87"/>
      <c r="J51" s="86" t="str">
        <f>IF(J50="","",IF(ngay(TEXT(J50,"d"),TEXT(J50,"m"),TEXT(J50,"yyyy"),7)=1,ngay(TEXT(J50,"d"),TEXT(J50,"m"),TEXT(J50,"yyyy"),7)&amp;"/"&amp;thang(TEXT(J50,"d"),TEXT(J50,"m"),TEXT(J50,"yyyy"),7),ngay(TEXT(J50,"d"),TEXT(J50,"m"),TEXT(J50,"yyyy"),7)))</f>
        <v/>
      </c>
      <c r="K51" s="85" t="str">
        <f>IF(K50="","",IF(ngay(TEXT(K50,"d"),TEXT(K50,"m"),TEXT(K50,"yyyy"),7)=1,ngay(TEXT(K50,"d"),TEXT(K50,"m"),TEXT(K50,"yyyy"),7)&amp;"/"&amp;thang(TEXT(K50,"d"),TEXT(K50,"m"),TEXT(K50,"yyyy"),7),ngay(TEXT(K50,"d"),TEXT(K50,"m"),TEXT(K50,"yyyy"),7)))</f>
        <v/>
      </c>
      <c r="L51" s="85" t="str">
        <f>IF(L50="","",IF(ngay(TEXT(L50,"d"),TEXT(L50,"m"),TEXT(L50,"yyyy"),7)=1,ngay(TEXT(L50,"d"),TEXT(L50,"m"),TEXT(L50,"yyyy"),7)&amp;"/"&amp;thang(TEXT(L50,"d"),TEXT(L50,"m"),TEXT(L50,"yyyy"),7),ngay(TEXT(L50,"d"),TEXT(L50,"m"),TEXT(L50,"yyyy"),7)))</f>
        <v/>
      </c>
      <c r="M51" s="85" t="str">
        <f>IF(M50="","",IF(ngay(TEXT(M50,"d"),TEXT(M50,"m"),TEXT(M50,"yyyy"),7)=1,ngay(TEXT(M50,"d"),TEXT(M50,"m"),TEXT(M50,"yyyy"),7)&amp;"/"&amp;thang(TEXT(M50,"d"),TEXT(M50,"m"),TEXT(M50,"yyyy"),7),ngay(TEXT(M50,"d"),TEXT(M50,"m"),TEXT(M50,"yyyy"),7)))</f>
        <v/>
      </c>
      <c r="N51" s="85" t="str">
        <f>IF(N50="","",IF(ngay(TEXT(N50,"d"),TEXT(N50,"m"),TEXT(N50,"yyyy"),7)=1,ngay(TEXT(N50,"d"),TEXT(N50,"m"),TEXT(N50,"yyyy"),7)&amp;"/"&amp;thang(TEXT(N50,"d"),TEXT(N50,"m"),TEXT(N50,"yyyy"),7),ngay(TEXT(N50,"d"),TEXT(N50,"m"),TEXT(N50,"yyyy"),7)))</f>
        <v/>
      </c>
      <c r="O51" s="85" t="str">
        <f>IF(O50="","",IF(ngay(TEXT(O50,"d"),TEXT(O50,"m"),TEXT(O50,"yyyy"),7)=1,ngay(TEXT(O50,"d"),TEXT(O50,"m"),TEXT(O50,"yyyy"),7)&amp;"/"&amp;thang(TEXT(O50,"d"),TEXT(O50,"m"),TEXT(O50,"yyyy"),7),ngay(TEXT(O50,"d"),TEXT(O50,"m"),TEXT(O50,"yyyy"),7)))</f>
        <v/>
      </c>
      <c r="P51" s="84" t="str">
        <f>IF(P50="","",IF(ngay(TEXT(P50,"d"),TEXT(P50,"m"),TEXT(P50,"yyyy"),7)=1,ngay(TEXT(P50,"d"),TEXT(P50,"m"),TEXT(P50,"yyyy"),7)&amp;"/"&amp;thang(TEXT(P50,"d"),TEXT(P50,"m"),TEXT(P50,"yyyy"),7),ngay(TEXT(P50,"d"),TEXT(P50,"m"),TEXT(P50,"yyyy"),7)))</f>
        <v/>
      </c>
      <c r="Q51" s="87"/>
      <c r="R51" s="86" t="str">
        <f>IF(R50="","",IF(ngay(TEXT(R50,"d"),TEXT(R50,"m"),TEXT(R50,"yyyy"),7)=1,ngay(TEXT(R50,"d"),TEXT(R50,"m"),TEXT(R50,"yyyy"),7)&amp;"/"&amp;thang(TEXT(R50,"d"),TEXT(R50,"m"),TEXT(R50,"yyyy"),7),ngay(TEXT(R50,"d"),TEXT(R50,"m"),TEXT(R50,"yyyy"),7)))</f>
        <v/>
      </c>
      <c r="S51" s="85" t="str">
        <f>IF(S50="","",IF(ngay(TEXT(S50,"d"),TEXT(S50,"m"),TEXT(S50,"yyyy"),7)=1,ngay(TEXT(S50,"d"),TEXT(S50,"m"),TEXT(S50,"yyyy"),7)&amp;"/"&amp;thang(TEXT(S50,"d"),TEXT(S50,"m"),TEXT(S50,"yyyy"),7),ngay(TEXT(S50,"d"),TEXT(S50,"m"),TEXT(S50,"yyyy"),7)))</f>
        <v/>
      </c>
      <c r="T51" s="85" t="str">
        <f>IF(T50="","",IF(ngay(TEXT(T50,"d"),TEXT(T50,"m"),TEXT(T50,"yyyy"),7)=1,ngay(TEXT(T50,"d"),TEXT(T50,"m"),TEXT(T50,"yyyy"),7)&amp;"/"&amp;thang(TEXT(T50,"d"),TEXT(T50,"m"),TEXT(T50,"yyyy"),7),ngay(TEXT(T50,"d"),TEXT(T50,"m"),TEXT(T50,"yyyy"),7)))</f>
        <v/>
      </c>
      <c r="U51" s="85" t="str">
        <f>IF(U50="","",IF(ngay(TEXT(U50,"d"),TEXT(U50,"m"),TEXT(U50,"yyyy"),7)=1,ngay(TEXT(U50,"d"),TEXT(U50,"m"),TEXT(U50,"yyyy"),7)&amp;"/"&amp;thang(TEXT(U50,"d"),TEXT(U50,"m"),TEXT(U50,"yyyy"),7),ngay(TEXT(U50,"d"),TEXT(U50,"m"),TEXT(U50,"yyyy"),7)))</f>
        <v/>
      </c>
      <c r="V51" s="85" t="str">
        <f>IF(V50="","",IF(ngay(TEXT(V50,"d"),TEXT(V50,"m"),TEXT(V50,"yyyy"),7)=1,ngay(TEXT(V50,"d"),TEXT(V50,"m"),TEXT(V50,"yyyy"),7)&amp;"/"&amp;thang(TEXT(V50,"d"),TEXT(V50,"m"),TEXT(V50,"yyyy"),7),ngay(TEXT(V50,"d"),TEXT(V50,"m"),TEXT(V50,"yyyy"),7)))</f>
        <v/>
      </c>
      <c r="W51" s="85" t="str">
        <f>IF(W50="","",IF(ngay(TEXT(W50,"d"),TEXT(W50,"m"),TEXT(W50,"yyyy"),7)=1,ngay(TEXT(W50,"d"),TEXT(W50,"m"),TEXT(W50,"yyyy"),7)&amp;"/"&amp;thang(TEXT(W50,"d"),TEXT(W50,"m"),TEXT(W50,"yyyy"),7),ngay(TEXT(W50,"d"),TEXT(W50,"m"),TEXT(W50,"yyyy"),7)))</f>
        <v/>
      </c>
      <c r="X51" s="84" t="str">
        <f>IF(X50="","",IF(ngay(TEXT(X50,"d"),TEXT(X50,"m"),TEXT(X50,"yyyy"),7)=1,ngay(TEXT(X50,"d"),TEXT(X50,"m"),TEXT(X50,"yyyy"),7)&amp;"/"&amp;thang(TEXT(X50,"d"),TEXT(X50,"m"),TEXT(X50,"yyyy"),7),ngay(TEXT(X50,"d"),TEXT(X50,"m"),TEXT(X50,"yyyy"),7)))</f>
        <v/>
      </c>
    </row>
    <row r="52" spans="1:24" ht="12" customHeight="1" x14ac:dyDescent="0.25">
      <c r="A52" s="103"/>
      <c r="B52" s="102"/>
      <c r="C52" s="102"/>
      <c r="D52" s="102"/>
      <c r="E52" s="102"/>
      <c r="F52" s="102"/>
      <c r="G52" s="102"/>
      <c r="H52" s="102"/>
      <c r="I52" s="102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</row>
    <row r="53" spans="1:24" s="103" customFormat="1" ht="20.25" x14ac:dyDescent="0.3">
      <c r="A53" s="110"/>
      <c r="B53" s="109">
        <f>DATE(YEAR(R38+42),MONTH(R38+42),1)</f>
        <v>43374</v>
      </c>
      <c r="C53" s="108"/>
      <c r="D53" s="108"/>
      <c r="E53" s="108"/>
      <c r="F53" s="108"/>
      <c r="G53" s="108"/>
      <c r="H53" s="107"/>
      <c r="I53" s="102"/>
      <c r="J53" s="106">
        <f>DATE(YEAR(B53+42),MONTH(B53+42),1)</f>
        <v>43405</v>
      </c>
      <c r="K53" s="105"/>
      <c r="L53" s="105"/>
      <c r="M53" s="105"/>
      <c r="N53" s="105"/>
      <c r="O53" s="105"/>
      <c r="P53" s="104"/>
      <c r="Q53" s="102"/>
      <c r="R53" s="106">
        <f>DATE(YEAR(J53+42),MONTH(J53+42),1)</f>
        <v>43435</v>
      </c>
      <c r="S53" s="105"/>
      <c r="T53" s="105"/>
      <c r="U53" s="105"/>
      <c r="V53" s="105"/>
      <c r="W53" s="105"/>
      <c r="X53" s="104"/>
    </row>
    <row r="54" spans="1:24" s="97" customFormat="1" ht="18" customHeight="1" x14ac:dyDescent="0.25">
      <c r="A54" s="103"/>
      <c r="B54" s="100" t="str">
        <f>CHOOSE(1+MOD($O$3+1-2,7),"Mon","Tue","Wed","Thu","Fri","Sat","Sun")</f>
        <v>Mon</v>
      </c>
      <c r="C54" s="99" t="str">
        <f>CHOOSE(1+MOD($O$3+2-2,7),"Mon","Tue","Wed","Thu","Fri","Sat","Sun")</f>
        <v>Tue</v>
      </c>
      <c r="D54" s="99" t="str">
        <f>CHOOSE(1+MOD($O$3+3-2,7),"Mon","Tue","Wed","Thu","Fri","Sat","Sun")</f>
        <v>Wed</v>
      </c>
      <c r="E54" s="99" t="str">
        <f>CHOOSE(1+MOD($O$3+4-2,7),"Mon","Tue","Wed","Thu","Fri","Sat","Sun")</f>
        <v>Thu</v>
      </c>
      <c r="F54" s="99" t="str">
        <f>CHOOSE(1+MOD($O$3+5-2,7),"Mon","Tue","Wed","Thu","Fri","Sat","Sun")</f>
        <v>Fri</v>
      </c>
      <c r="G54" s="99" t="str">
        <f>CHOOSE(1+MOD($O$3+6-2,7),"Mon","Tue","Wed","Thu","Fri","Sat","Sun")</f>
        <v>Sat</v>
      </c>
      <c r="H54" s="98" t="str">
        <f>CHOOSE(1+MOD($O$3+7-2,7),"Mon","Tue","Wed","Thu","Fri","Sat","Sun")</f>
        <v>Sun</v>
      </c>
      <c r="I54" s="102"/>
      <c r="J54" s="100" t="str">
        <f>CHOOSE(1+MOD($O$3+1-2,7),"Mon","Tue","Wed","Thu","Fri","Sat","Sun")</f>
        <v>Mon</v>
      </c>
      <c r="K54" s="99" t="str">
        <f>CHOOSE(1+MOD($O$3+2-2,7),"Mon","Tue","Wed","Thu","Fri","Sat","Sun")</f>
        <v>Tue</v>
      </c>
      <c r="L54" s="99" t="str">
        <f>CHOOSE(1+MOD($O$3+3-2,7),"Mon","Tue","Wed","Thu","Fri","Sat","Sun")</f>
        <v>Wed</v>
      </c>
      <c r="M54" s="99" t="str">
        <f>CHOOSE(1+MOD($O$3+4-2,7),"Mon","Tue","Wed","Thu","Fri","Sat","Sun")</f>
        <v>Thu</v>
      </c>
      <c r="N54" s="99" t="str">
        <f>CHOOSE(1+MOD($O$3+5-2,7),"Mon","Tue","Wed","Thu","Fri","Sat","Sun")</f>
        <v>Fri</v>
      </c>
      <c r="O54" s="99" t="str">
        <f>CHOOSE(1+MOD($O$3+6-2,7),"Mon","Tue","Wed","Thu","Fri","Sat","Sun")</f>
        <v>Sat</v>
      </c>
      <c r="P54" s="98" t="str">
        <f>CHOOSE(1+MOD($O$3+7-2,7),"Mon","Tue","Wed","Thu","Fri","Sat","Sun")</f>
        <v>Sun</v>
      </c>
      <c r="Q54" s="101"/>
      <c r="R54" s="100" t="str">
        <f>CHOOSE(1+MOD($O$3+1-2,7),"Mon","Tue","Wed","Thu","Fri","Sat","Sun")</f>
        <v>Mon</v>
      </c>
      <c r="S54" s="99" t="str">
        <f>CHOOSE(1+MOD($O$3+2-2,7),"Mon","Tue","Wed","Thu","Fri","Sat","Sun")</f>
        <v>Tue</v>
      </c>
      <c r="T54" s="99" t="str">
        <f>CHOOSE(1+MOD($O$3+3-2,7),"Mon","Tue","Wed","Thu","Fri","Sat","Sun")</f>
        <v>Wed</v>
      </c>
      <c r="U54" s="99" t="str">
        <f>CHOOSE(1+MOD($O$3+4-2,7),"Mon","Tue","Wed","Thu","Fri","Sat","Sun")</f>
        <v>Thu</v>
      </c>
      <c r="V54" s="99" t="str">
        <f>CHOOSE(1+MOD($O$3+5-2,7),"Mon","Tue","Wed","Thu","Fri","Sat","Sun")</f>
        <v>Fri</v>
      </c>
      <c r="W54" s="99" t="str">
        <f>CHOOSE(1+MOD($O$3+6-2,7),"Mon","Tue","Wed","Thu","Fri","Sat","Sun")</f>
        <v>Sat</v>
      </c>
      <c r="X54" s="98" t="str">
        <f>CHOOSE(1+MOD($O$3+7-2,7),"Mon","Tue","Wed","Thu","Fri","Sat","Sun")</f>
        <v>Sun</v>
      </c>
    </row>
    <row r="55" spans="1:24" s="88" customFormat="1" ht="45.95" customHeight="1" x14ac:dyDescent="0.3">
      <c r="B55" s="92" t="str">
        <f>IF(WEEKDAY(B53,1)=$O$3,B53,"")</f>
        <v/>
      </c>
      <c r="C55" s="91">
        <f>IF(B55="",IF(WEEKDAY(B53,1)=MOD($O$3,7)+1,B53,""),B55+1)</f>
        <v>43374</v>
      </c>
      <c r="D55" s="91">
        <f>IF(C55="",IF(WEEKDAY(B53,1)=MOD($O$3+1,7)+1,B53,""),C55+1)</f>
        <v>43375</v>
      </c>
      <c r="E55" s="91">
        <f>IF(D55="",IF(WEEKDAY(B53,1)=MOD($O$3+2,7)+1,B53,""),D55+1)</f>
        <v>43376</v>
      </c>
      <c r="F55" s="91">
        <f>IF(E55="",IF(WEEKDAY(B53,1)=MOD($O$3+3,7)+1,B53,""),E55+1)</f>
        <v>43377</v>
      </c>
      <c r="G55" s="90">
        <f>IF(F55="",IF(WEEKDAY(B53,1)=MOD($O$3+4,7)+1,B53,""),F55+1)</f>
        <v>43378</v>
      </c>
      <c r="H55" s="89">
        <f>IF(G55="",IF(WEEKDAY(B53,1)=MOD($O$3+5,7)+1,B53,""),G55+1)</f>
        <v>43379</v>
      </c>
      <c r="I55" s="93"/>
      <c r="J55" s="92" t="str">
        <f>IF(WEEKDAY(J53,1)=$O$3,J53,"")</f>
        <v/>
      </c>
      <c r="K55" s="91" t="str">
        <f>IF(J55="",IF(WEEKDAY(J53,1)=MOD($O$3,7)+1,J53,""),J55+1)</f>
        <v/>
      </c>
      <c r="L55" s="91" t="str">
        <f>IF(K55="",IF(WEEKDAY(J53,1)=MOD($O$3+1,7)+1,J53,""),K55+1)</f>
        <v/>
      </c>
      <c r="M55" s="91" t="str">
        <f>IF(L55="",IF(WEEKDAY(J53,1)=MOD($O$3+2,7)+1,J53,""),L55+1)</f>
        <v/>
      </c>
      <c r="N55" s="91">
        <f>IF(M55="",IF(WEEKDAY(J53,1)=MOD($O$3+3,7)+1,J53,""),M55+1)</f>
        <v>43405</v>
      </c>
      <c r="O55" s="90">
        <f>IF(N55="",IF(WEEKDAY(J53,1)=MOD($O$3+4,7)+1,J53,""),N55+1)</f>
        <v>43406</v>
      </c>
      <c r="P55" s="89">
        <f>IF(O55="",IF(WEEKDAY(J53,1)=MOD($O$3+5,7)+1,J53,""),O55+1)</f>
        <v>43407</v>
      </c>
      <c r="Q55" s="93"/>
      <c r="R55" s="92" t="str">
        <f>IF(WEEKDAY(R53,1)=$O$3,R53,"")</f>
        <v/>
      </c>
      <c r="S55" s="91" t="str">
        <f>IF(R55="",IF(WEEKDAY(R53,1)=MOD($O$3,7)+1,R53,""),R55+1)</f>
        <v/>
      </c>
      <c r="T55" s="91" t="str">
        <f>IF(S55="",IF(WEEKDAY(R53,1)=MOD($O$3+1,7)+1,R53,""),S55+1)</f>
        <v/>
      </c>
      <c r="U55" s="91" t="str">
        <f>IF(T55="",IF(WEEKDAY(R53,1)=MOD($O$3+2,7)+1,R53,""),T55+1)</f>
        <v/>
      </c>
      <c r="V55" s="91" t="str">
        <f>IF(U55="",IF(WEEKDAY(R53,1)=MOD($O$3+3,7)+1,R53,""),U55+1)</f>
        <v/>
      </c>
      <c r="W55" s="90" t="str">
        <f>IF(V55="",IF(WEEKDAY(R53,1)=MOD($O$3+4,7)+1,R53,""),V55+1)</f>
        <v/>
      </c>
      <c r="X55" s="89">
        <f>IF(W55="",IF(WEEKDAY(R53,1)=MOD($O$3+5,7)+1,R53,""),W55+1)</f>
        <v>43435</v>
      </c>
    </row>
    <row r="56" spans="1:24" s="83" customFormat="1" ht="45.95" customHeight="1" x14ac:dyDescent="0.2">
      <c r="B56" s="96" t="str">
        <f>IF(B55="","",IF(ngay(TEXT(B55,"d"),TEXT(B55,"m"),TEXT(B55,"yyyy"),7)=1,ngay(TEXT(B55,"d"),TEXT(B55,"m"),TEXT(B55,"yyyy"),7)&amp;"/"&amp;thang(TEXT(B55,"d"),TEXT(B55,"m"),TEXT(B55,"yyyy"),7),ngay(TEXT(B55,"d"),TEXT(B55,"m"),TEXT(B55,"yyyy"),7)))</f>
        <v/>
      </c>
      <c r="C56" s="95">
        <f>IF(C55="","",IF(ngay(TEXT(C55,"d"),TEXT(C55,"m"),TEXT(C55,"yyyy"),7)=1,ngay(TEXT(C55,"d"),TEXT(C55,"m"),TEXT(C55,"yyyy"),7)&amp;"/"&amp;thang(TEXT(C55,"d"),TEXT(C55,"m"),TEXT(C55,"yyyy"),7),ngay(TEXT(C55,"d"),TEXT(C55,"m"),TEXT(C55,"yyyy"),7)))</f>
        <v>22</v>
      </c>
      <c r="D56" s="95">
        <f>IF(D55="","",IF(ngay(TEXT(D55,"d"),TEXT(D55,"m"),TEXT(D55,"yyyy"),7)=1,ngay(TEXT(D55,"d"),TEXT(D55,"m"),TEXT(D55,"yyyy"),7)&amp;"/"&amp;thang(TEXT(D55,"d"),TEXT(D55,"m"),TEXT(D55,"yyyy"),7),ngay(TEXT(D55,"d"),TEXT(D55,"m"),TEXT(D55,"yyyy"),7)))</f>
        <v>23</v>
      </c>
      <c r="E56" s="95">
        <f>IF(E55="","",IF(ngay(TEXT(E55,"d"),TEXT(E55,"m"),TEXT(E55,"yyyy"),7)=1,ngay(TEXT(E55,"d"),TEXT(E55,"m"),TEXT(E55,"yyyy"),7)&amp;"/"&amp;thang(TEXT(E55,"d"),TEXT(E55,"m"),TEXT(E55,"yyyy"),7),ngay(TEXT(E55,"d"),TEXT(E55,"m"),TEXT(E55,"yyyy"),7)))</f>
        <v>24</v>
      </c>
      <c r="F56" s="95">
        <f>IF(F55="","",IF(ngay(TEXT(F55,"d"),TEXT(F55,"m"),TEXT(F55,"yyyy"),7)=1,ngay(TEXT(F55,"d"),TEXT(F55,"m"),TEXT(F55,"yyyy"),7)&amp;"/"&amp;thang(TEXT(F55,"d"),TEXT(F55,"m"),TEXT(F55,"yyyy"),7),ngay(TEXT(F55,"d"),TEXT(F55,"m"),TEXT(F55,"yyyy"),7)))</f>
        <v>25</v>
      </c>
      <c r="G56" s="95">
        <f>IF(G55="","",IF(ngay(TEXT(G55,"d"),TEXT(G55,"m"),TEXT(G55,"yyyy"),7)=1,ngay(TEXT(G55,"d"),TEXT(G55,"m"),TEXT(G55,"yyyy"),7)&amp;"/"&amp;thang(TEXT(G55,"d"),TEXT(G55,"m"),TEXT(G55,"yyyy"),7),ngay(TEXT(G55,"d"),TEXT(G55,"m"),TEXT(G55,"yyyy"),7)))</f>
        <v>26</v>
      </c>
      <c r="H56" s="94">
        <f>IF(H55="","",IF(ngay(TEXT(H55,"d"),TEXT(H55,"m"),TEXT(H55,"yyyy"),7)=1,ngay(TEXT(H55,"d"),TEXT(H55,"m"),TEXT(H55,"yyyy"),7)&amp;"/"&amp;thang(TEXT(H55,"d"),TEXT(H55,"m"),TEXT(H55,"yyyy"),7),ngay(TEXT(H55,"d"),TEXT(H55,"m"),TEXT(H55,"yyyy"),7)))</f>
        <v>27</v>
      </c>
      <c r="I56" s="87"/>
      <c r="J56" s="96" t="str">
        <f>IF(J55="","",IF(ngay(TEXT(J55,"d"),TEXT(J55,"m"),TEXT(J55,"yyyy"),7)=1,ngay(TEXT(J55,"d"),TEXT(J55,"m"),TEXT(J55,"yyyy"),7)&amp;"/"&amp;thang(TEXT(J55,"d"),TEXT(J55,"m"),TEXT(J55,"yyyy"),7),ngay(TEXT(J55,"d"),TEXT(J55,"m"),TEXT(J55,"yyyy"),7)))</f>
        <v/>
      </c>
      <c r="K56" s="95" t="str">
        <f>IF(K55="","",IF(ngay(TEXT(K55,"d"),TEXT(K55,"m"),TEXT(K55,"yyyy"),7)=1,ngay(TEXT(K55,"d"),TEXT(K55,"m"),TEXT(K55,"yyyy"),7)&amp;"/"&amp;thang(TEXT(K55,"d"),TEXT(K55,"m"),TEXT(K55,"yyyy"),7),ngay(TEXT(K55,"d"),TEXT(K55,"m"),TEXT(K55,"yyyy"),7)))</f>
        <v/>
      </c>
      <c r="L56" s="95" t="str">
        <f>IF(L55="","",IF(ngay(TEXT(L55,"d"),TEXT(L55,"m"),TEXT(L55,"yyyy"),7)=1,ngay(TEXT(L55,"d"),TEXT(L55,"m"),TEXT(L55,"yyyy"),7)&amp;"/"&amp;thang(TEXT(L55,"d"),TEXT(L55,"m"),TEXT(L55,"yyyy"),7),ngay(TEXT(L55,"d"),TEXT(L55,"m"),TEXT(L55,"yyyy"),7)))</f>
        <v/>
      </c>
      <c r="M56" s="95" t="str">
        <f>IF(M55="","",IF(ngay(TEXT(M55,"d"),TEXT(M55,"m"),TEXT(M55,"yyyy"),7)=1,ngay(TEXT(M55,"d"),TEXT(M55,"m"),TEXT(M55,"yyyy"),7)&amp;"/"&amp;thang(TEXT(M55,"d"),TEXT(M55,"m"),TEXT(M55,"yyyy"),7),ngay(TEXT(M55,"d"),TEXT(M55,"m"),TEXT(M55,"yyyy"),7)))</f>
        <v/>
      </c>
      <c r="N56" s="95">
        <f>IF(N55="","",IF(ngay(TEXT(N55,"d"),TEXT(N55,"m"),TEXT(N55,"yyyy"),7)=1,ngay(TEXT(N55,"d"),TEXT(N55,"m"),TEXT(N55,"yyyy"),7)&amp;"/"&amp;thang(TEXT(N55,"d"),TEXT(N55,"m"),TEXT(N55,"yyyy"),7),ngay(TEXT(N55,"d"),TEXT(N55,"m"),TEXT(N55,"yyyy"),7)))</f>
        <v>24</v>
      </c>
      <c r="O56" s="95">
        <f>IF(O55="","",IF(ngay(TEXT(O55,"d"),TEXT(O55,"m"),TEXT(O55,"yyyy"),7)=1,ngay(TEXT(O55,"d"),TEXT(O55,"m"),TEXT(O55,"yyyy"),7)&amp;"/"&amp;thang(TEXT(O55,"d"),TEXT(O55,"m"),TEXT(O55,"yyyy"),7),ngay(TEXT(O55,"d"),TEXT(O55,"m"),TEXT(O55,"yyyy"),7)))</f>
        <v>25</v>
      </c>
      <c r="P56" s="94">
        <f>IF(P55="","",IF(ngay(TEXT(P55,"d"),TEXT(P55,"m"),TEXT(P55,"yyyy"),7)=1,ngay(TEXT(P55,"d"),TEXT(P55,"m"),TEXT(P55,"yyyy"),7)&amp;"/"&amp;thang(TEXT(P55,"d"),TEXT(P55,"m"),TEXT(P55,"yyyy"),7),ngay(TEXT(P55,"d"),TEXT(P55,"m"),TEXT(P55,"yyyy"),7)))</f>
        <v>26</v>
      </c>
      <c r="Q56" s="87"/>
      <c r="R56" s="96" t="str">
        <f>IF(R55="","",IF(ngay(TEXT(R55,"d"),TEXT(R55,"m"),TEXT(R55,"yyyy"),7)=1,ngay(TEXT(R55,"d"),TEXT(R55,"m"),TEXT(R55,"yyyy"),7)&amp;"/"&amp;thang(TEXT(R55,"d"),TEXT(R55,"m"),TEXT(R55,"yyyy"),7),ngay(TEXT(R55,"d"),TEXT(R55,"m"),TEXT(R55,"yyyy"),7)))</f>
        <v/>
      </c>
      <c r="S56" s="95" t="str">
        <f>IF(S55="","",IF(ngay(TEXT(S55,"d"),TEXT(S55,"m"),TEXT(S55,"yyyy"),7)=1,ngay(TEXT(S55,"d"),TEXT(S55,"m"),TEXT(S55,"yyyy"),7)&amp;"/"&amp;thang(TEXT(S55,"d"),TEXT(S55,"m"),TEXT(S55,"yyyy"),7),ngay(TEXT(S55,"d"),TEXT(S55,"m"),TEXT(S55,"yyyy"),7)))</f>
        <v/>
      </c>
      <c r="T56" s="95" t="str">
        <f>IF(T55="","",IF(ngay(TEXT(T55,"d"),TEXT(T55,"m"),TEXT(T55,"yyyy"),7)=1,ngay(TEXT(T55,"d"),TEXT(T55,"m"),TEXT(T55,"yyyy"),7)&amp;"/"&amp;thang(TEXT(T55,"d"),TEXT(T55,"m"),TEXT(T55,"yyyy"),7),ngay(TEXT(T55,"d"),TEXT(T55,"m"),TEXT(T55,"yyyy"),7)))</f>
        <v/>
      </c>
      <c r="U56" s="95" t="str">
        <f>IF(U55="","",IF(ngay(TEXT(U55,"d"),TEXT(U55,"m"),TEXT(U55,"yyyy"),7)=1,ngay(TEXT(U55,"d"),TEXT(U55,"m"),TEXT(U55,"yyyy"),7)&amp;"/"&amp;thang(TEXT(U55,"d"),TEXT(U55,"m"),TEXT(U55,"yyyy"),7),ngay(TEXT(U55,"d"),TEXT(U55,"m"),TEXT(U55,"yyyy"),7)))</f>
        <v/>
      </c>
      <c r="V56" s="95" t="str">
        <f>IF(V55="","",IF(ngay(TEXT(V55,"d"),TEXT(V55,"m"),TEXT(V55,"yyyy"),7)=1,ngay(TEXT(V55,"d"),TEXT(V55,"m"),TEXT(V55,"yyyy"),7)&amp;"/"&amp;thang(TEXT(V55,"d"),TEXT(V55,"m"),TEXT(V55,"yyyy"),7),ngay(TEXT(V55,"d"),TEXT(V55,"m"),TEXT(V55,"yyyy"),7)))</f>
        <v/>
      </c>
      <c r="W56" s="95" t="str">
        <f>IF(W55="","",IF(ngay(TEXT(W55,"d"),TEXT(W55,"m"),TEXT(W55,"yyyy"),7)=1,ngay(TEXT(W55,"d"),TEXT(W55,"m"),TEXT(W55,"yyyy"),7)&amp;"/"&amp;thang(TEXT(W55,"d"),TEXT(W55,"m"),TEXT(W55,"yyyy"),7),ngay(TEXT(W55,"d"),TEXT(W55,"m"),TEXT(W55,"yyyy"),7)))</f>
        <v/>
      </c>
      <c r="X56" s="94">
        <f>IF(X55="","",IF(ngay(TEXT(X55,"d"),TEXT(X55,"m"),TEXT(X55,"yyyy"),7)=1,ngay(TEXT(X55,"d"),TEXT(X55,"m"),TEXT(X55,"yyyy"),7)&amp;"/"&amp;thang(TEXT(X55,"d"),TEXT(X55,"m"),TEXT(X55,"yyyy"),7),ngay(TEXT(X55,"d"),TEXT(X55,"m"),TEXT(X55,"yyyy"),7)))</f>
        <v>25</v>
      </c>
    </row>
    <row r="57" spans="1:24" s="88" customFormat="1" ht="45.95" customHeight="1" x14ac:dyDescent="0.3">
      <c r="B57" s="92">
        <f>IF(H55="","",IF(MONTH(H55+1)&lt;&gt;MONTH(H55),"",H55+1))</f>
        <v>43380</v>
      </c>
      <c r="C57" s="91">
        <f>IF(B57="","",IF(MONTH(B57+1)&lt;&gt;MONTH(B57),"",B57+1))</f>
        <v>43381</v>
      </c>
      <c r="D57" s="91">
        <f>IF(C57="","",IF(MONTH(C57+1)&lt;&gt;MONTH(C57),"",C57+1))</f>
        <v>43382</v>
      </c>
      <c r="E57" s="91">
        <f>IF(D57="","",IF(MONTH(D57+1)&lt;&gt;MONTH(D57),"",D57+1))</f>
        <v>43383</v>
      </c>
      <c r="F57" s="91">
        <f>IF(E57="","",IF(MONTH(E57+1)&lt;&gt;MONTH(E57),"",E57+1))</f>
        <v>43384</v>
      </c>
      <c r="G57" s="90">
        <f>IF(F57="","",IF(MONTH(F57+1)&lt;&gt;MONTH(F57),"",F57+1))</f>
        <v>43385</v>
      </c>
      <c r="H57" s="89">
        <f>IF(G57="","",IF(MONTH(G57+1)&lt;&gt;MONTH(G57),"",G57+1))</f>
        <v>43386</v>
      </c>
      <c r="I57" s="93"/>
      <c r="J57" s="92">
        <f>IF(P55="","",IF(MONTH(P55+1)&lt;&gt;MONTH(P55),"",P55+1))</f>
        <v>43408</v>
      </c>
      <c r="K57" s="91">
        <f>IF(J57="","",IF(MONTH(J57+1)&lt;&gt;MONTH(J57),"",J57+1))</f>
        <v>43409</v>
      </c>
      <c r="L57" s="91">
        <f>IF(K57="","",IF(MONTH(K57+1)&lt;&gt;MONTH(K57),"",K57+1))</f>
        <v>43410</v>
      </c>
      <c r="M57" s="91">
        <f>IF(L57="","",IF(MONTH(L57+1)&lt;&gt;MONTH(L57),"",L57+1))</f>
        <v>43411</v>
      </c>
      <c r="N57" s="91">
        <f>IF(M57="","",IF(MONTH(M57+1)&lt;&gt;MONTH(M57),"",M57+1))</f>
        <v>43412</v>
      </c>
      <c r="O57" s="90">
        <f>IF(N57="","",IF(MONTH(N57+1)&lt;&gt;MONTH(N57),"",N57+1))</f>
        <v>43413</v>
      </c>
      <c r="P57" s="89">
        <f>IF(O57="","",IF(MONTH(O57+1)&lt;&gt;MONTH(O57),"",O57+1))</f>
        <v>43414</v>
      </c>
      <c r="Q57" s="93"/>
      <c r="R57" s="92">
        <f>IF(X55="","",IF(MONTH(X55+1)&lt;&gt;MONTH(X55),"",X55+1))</f>
        <v>43436</v>
      </c>
      <c r="S57" s="91">
        <f>IF(R57="","",IF(MONTH(R57+1)&lt;&gt;MONTH(R57),"",R57+1))</f>
        <v>43437</v>
      </c>
      <c r="T57" s="91">
        <f>IF(S57="","",IF(MONTH(S57+1)&lt;&gt;MONTH(S57),"",S57+1))</f>
        <v>43438</v>
      </c>
      <c r="U57" s="91">
        <f>IF(T57="","",IF(MONTH(T57+1)&lt;&gt;MONTH(T57),"",T57+1))</f>
        <v>43439</v>
      </c>
      <c r="V57" s="91">
        <f>IF(U57="","",IF(MONTH(U57+1)&lt;&gt;MONTH(U57),"",U57+1))</f>
        <v>43440</v>
      </c>
      <c r="W57" s="90">
        <f>IF(V57="","",IF(MONTH(V57+1)&lt;&gt;MONTH(V57),"",V57+1))</f>
        <v>43441</v>
      </c>
      <c r="X57" s="89">
        <f>IF(W57="","",IF(MONTH(W57+1)&lt;&gt;MONTH(W57),"",W57+1))</f>
        <v>43442</v>
      </c>
    </row>
    <row r="58" spans="1:24" s="83" customFormat="1" ht="45.95" customHeight="1" x14ac:dyDescent="0.2">
      <c r="B58" s="96">
        <f>IF(B57="","",IF(ngay(TEXT(B57,"d"),TEXT(B57,"m"),TEXT(B57,"yyyy"),7)=1,ngay(TEXT(B57,"d"),TEXT(B57,"m"),TEXT(B57,"yyyy"),7)&amp;"/"&amp;thang(TEXT(B57,"d"),TEXT(B57,"m"),TEXT(B57,"yyyy"),7),ngay(TEXT(B57,"d"),TEXT(B57,"m"),TEXT(B57,"yyyy"),7)))</f>
        <v>28</v>
      </c>
      <c r="C58" s="95">
        <f>IF(C57="","",IF(ngay(TEXT(C57,"d"),TEXT(C57,"m"),TEXT(C57,"yyyy"),7)=1,ngay(TEXT(C57,"d"),TEXT(C57,"m"),TEXT(C57,"yyyy"),7)&amp;"/"&amp;thang(TEXT(C57,"d"),TEXT(C57,"m"),TEXT(C57,"yyyy"),7),ngay(TEXT(C57,"d"),TEXT(C57,"m"),TEXT(C57,"yyyy"),7)))</f>
        <v>29</v>
      </c>
      <c r="D58" s="95" t="str">
        <f>IF(D57="","",IF(ngay(TEXT(D57,"d"),TEXT(D57,"m"),TEXT(D57,"yyyy"),7)=1,ngay(TEXT(D57,"d"),TEXT(D57,"m"),TEXT(D57,"yyyy"),7)&amp;"/"&amp;thang(TEXT(D57,"d"),TEXT(D57,"m"),TEXT(D57,"yyyy"),7),ngay(TEXT(D57,"d"),TEXT(D57,"m"),TEXT(D57,"yyyy"),7)))</f>
        <v>1/9</v>
      </c>
      <c r="E58" s="95">
        <f>IF(E57="","",IF(ngay(TEXT(E57,"d"),TEXT(E57,"m"),TEXT(E57,"yyyy"),7)=1,ngay(TEXT(E57,"d"),TEXT(E57,"m"),TEXT(E57,"yyyy"),7)&amp;"/"&amp;thang(TEXT(E57,"d"),TEXT(E57,"m"),TEXT(E57,"yyyy"),7),ngay(TEXT(E57,"d"),TEXT(E57,"m"),TEXT(E57,"yyyy"),7)))</f>
        <v>2</v>
      </c>
      <c r="F58" s="95">
        <f>IF(F57="","",IF(ngay(TEXT(F57,"d"),TEXT(F57,"m"),TEXT(F57,"yyyy"),7)=1,ngay(TEXT(F57,"d"),TEXT(F57,"m"),TEXT(F57,"yyyy"),7)&amp;"/"&amp;thang(TEXT(F57,"d"),TEXT(F57,"m"),TEXT(F57,"yyyy"),7),ngay(TEXT(F57,"d"),TEXT(F57,"m"),TEXT(F57,"yyyy"),7)))</f>
        <v>3</v>
      </c>
      <c r="G58" s="95">
        <f>IF(G57="","",IF(ngay(TEXT(G57,"d"),TEXT(G57,"m"),TEXT(G57,"yyyy"),7)=1,ngay(TEXT(G57,"d"),TEXT(G57,"m"),TEXT(G57,"yyyy"),7)&amp;"/"&amp;thang(TEXT(G57,"d"),TEXT(G57,"m"),TEXT(G57,"yyyy"),7),ngay(TEXT(G57,"d"),TEXT(G57,"m"),TEXT(G57,"yyyy"),7)))</f>
        <v>4</v>
      </c>
      <c r="H58" s="94">
        <f>IF(H57="","",IF(ngay(TEXT(H57,"d"),TEXT(H57,"m"),TEXT(H57,"yyyy"),7)=1,ngay(TEXT(H57,"d"),TEXT(H57,"m"),TEXT(H57,"yyyy"),7)&amp;"/"&amp;thang(TEXT(H57,"d"),TEXT(H57,"m"),TEXT(H57,"yyyy"),7),ngay(TEXT(H57,"d"),TEXT(H57,"m"),TEXT(H57,"yyyy"),7)))</f>
        <v>5</v>
      </c>
      <c r="I58" s="87"/>
      <c r="J58" s="96">
        <f>IF(J57="","",IF(ngay(TEXT(J57,"d"),TEXT(J57,"m"),TEXT(J57,"yyyy"),7)=1,ngay(TEXT(J57,"d"),TEXT(J57,"m"),TEXT(J57,"yyyy"),7)&amp;"/"&amp;thang(TEXT(J57,"d"),TEXT(J57,"m"),TEXT(J57,"yyyy"),7),ngay(TEXT(J57,"d"),TEXT(J57,"m"),TEXT(J57,"yyyy"),7)))</f>
        <v>27</v>
      </c>
      <c r="K58" s="95">
        <f>IF(K57="","",IF(ngay(TEXT(K57,"d"),TEXT(K57,"m"),TEXT(K57,"yyyy"),7)=1,ngay(TEXT(K57,"d"),TEXT(K57,"m"),TEXT(K57,"yyyy"),7)&amp;"/"&amp;thang(TEXT(K57,"d"),TEXT(K57,"m"),TEXT(K57,"yyyy"),7),ngay(TEXT(K57,"d"),TEXT(K57,"m"),TEXT(K57,"yyyy"),7)))</f>
        <v>28</v>
      </c>
      <c r="L58" s="95">
        <f>IF(L57="","",IF(ngay(TEXT(L57,"d"),TEXT(L57,"m"),TEXT(L57,"yyyy"),7)=1,ngay(TEXT(L57,"d"),TEXT(L57,"m"),TEXT(L57,"yyyy"),7)&amp;"/"&amp;thang(TEXT(L57,"d"),TEXT(L57,"m"),TEXT(L57,"yyyy"),7),ngay(TEXT(L57,"d"),TEXT(L57,"m"),TEXT(L57,"yyyy"),7)))</f>
        <v>29</v>
      </c>
      <c r="M58" s="95" t="str">
        <f>IF(M57="","",IF(ngay(TEXT(M57,"d"),TEXT(M57,"m"),TEXT(M57,"yyyy"),7)=1,ngay(TEXT(M57,"d"),TEXT(M57,"m"),TEXT(M57,"yyyy"),7)&amp;"/"&amp;thang(TEXT(M57,"d"),TEXT(M57,"m"),TEXT(M57,"yyyy"),7),ngay(TEXT(M57,"d"),TEXT(M57,"m"),TEXT(M57,"yyyy"),7)))</f>
        <v>1/10</v>
      </c>
      <c r="N58" s="95">
        <f>IF(N57="","",IF(ngay(TEXT(N57,"d"),TEXT(N57,"m"),TEXT(N57,"yyyy"),7)=1,ngay(TEXT(N57,"d"),TEXT(N57,"m"),TEXT(N57,"yyyy"),7)&amp;"/"&amp;thang(TEXT(N57,"d"),TEXT(N57,"m"),TEXT(N57,"yyyy"),7),ngay(TEXT(N57,"d"),TEXT(N57,"m"),TEXT(N57,"yyyy"),7)))</f>
        <v>2</v>
      </c>
      <c r="O58" s="95">
        <f>IF(O57="","",IF(ngay(TEXT(O57,"d"),TEXT(O57,"m"),TEXT(O57,"yyyy"),7)=1,ngay(TEXT(O57,"d"),TEXT(O57,"m"),TEXT(O57,"yyyy"),7)&amp;"/"&amp;thang(TEXT(O57,"d"),TEXT(O57,"m"),TEXT(O57,"yyyy"),7),ngay(TEXT(O57,"d"),TEXT(O57,"m"),TEXT(O57,"yyyy"),7)))</f>
        <v>3</v>
      </c>
      <c r="P58" s="94">
        <f>IF(P57="","",IF(ngay(TEXT(P57,"d"),TEXT(P57,"m"),TEXT(P57,"yyyy"),7)=1,ngay(TEXT(P57,"d"),TEXT(P57,"m"),TEXT(P57,"yyyy"),7)&amp;"/"&amp;thang(TEXT(P57,"d"),TEXT(P57,"m"),TEXT(P57,"yyyy"),7),ngay(TEXT(P57,"d"),TEXT(P57,"m"),TEXT(P57,"yyyy"),7)))</f>
        <v>4</v>
      </c>
      <c r="Q58" s="87"/>
      <c r="R58" s="96">
        <f>IF(R57="","",IF(ngay(TEXT(R57,"d"),TEXT(R57,"m"),TEXT(R57,"yyyy"),7)=1,ngay(TEXT(R57,"d"),TEXT(R57,"m"),TEXT(R57,"yyyy"),7)&amp;"/"&amp;thang(TEXT(R57,"d"),TEXT(R57,"m"),TEXT(R57,"yyyy"),7),ngay(TEXT(R57,"d"),TEXT(R57,"m"),TEXT(R57,"yyyy"),7)))</f>
        <v>26</v>
      </c>
      <c r="S58" s="95">
        <f>IF(S57="","",IF(ngay(TEXT(S57,"d"),TEXT(S57,"m"),TEXT(S57,"yyyy"),7)=1,ngay(TEXT(S57,"d"),TEXT(S57,"m"),TEXT(S57,"yyyy"),7)&amp;"/"&amp;thang(TEXT(S57,"d"),TEXT(S57,"m"),TEXT(S57,"yyyy"),7),ngay(TEXT(S57,"d"),TEXT(S57,"m"),TEXT(S57,"yyyy"),7)))</f>
        <v>27</v>
      </c>
      <c r="T58" s="95">
        <f>IF(T57="","",IF(ngay(TEXT(T57,"d"),TEXT(T57,"m"),TEXT(T57,"yyyy"),7)=1,ngay(TEXT(T57,"d"),TEXT(T57,"m"),TEXT(T57,"yyyy"),7)&amp;"/"&amp;thang(TEXT(T57,"d"),TEXT(T57,"m"),TEXT(T57,"yyyy"),7),ngay(TEXT(T57,"d"),TEXT(T57,"m"),TEXT(T57,"yyyy"),7)))</f>
        <v>28</v>
      </c>
      <c r="U58" s="95">
        <f>IF(U57="","",IF(ngay(TEXT(U57,"d"),TEXT(U57,"m"),TEXT(U57,"yyyy"),7)=1,ngay(TEXT(U57,"d"),TEXT(U57,"m"),TEXT(U57,"yyyy"),7)&amp;"/"&amp;thang(TEXT(U57,"d"),TEXT(U57,"m"),TEXT(U57,"yyyy"),7),ngay(TEXT(U57,"d"),TEXT(U57,"m"),TEXT(U57,"yyyy"),7)))</f>
        <v>29</v>
      </c>
      <c r="V58" s="95">
        <f>IF(V57="","",IF(ngay(TEXT(V57,"d"),TEXT(V57,"m"),TEXT(V57,"yyyy"),7)=1,ngay(TEXT(V57,"d"),TEXT(V57,"m"),TEXT(V57,"yyyy"),7)&amp;"/"&amp;thang(TEXT(V57,"d"),TEXT(V57,"m"),TEXT(V57,"yyyy"),7),ngay(TEXT(V57,"d"),TEXT(V57,"m"),TEXT(V57,"yyyy"),7)))</f>
        <v>30</v>
      </c>
      <c r="W58" s="95" t="str">
        <f>IF(W57="","",IF(ngay(TEXT(W57,"d"),TEXT(W57,"m"),TEXT(W57,"yyyy"),7)=1,ngay(TEXT(W57,"d"),TEXT(W57,"m"),TEXT(W57,"yyyy"),7)&amp;"/"&amp;thang(TEXT(W57,"d"),TEXT(W57,"m"),TEXT(W57,"yyyy"),7),ngay(TEXT(W57,"d"),TEXT(W57,"m"),TEXT(W57,"yyyy"),7)))</f>
        <v>1/11</v>
      </c>
      <c r="X58" s="94">
        <f>IF(X57="","",IF(ngay(TEXT(X57,"d"),TEXT(X57,"m"),TEXT(X57,"yyyy"),7)=1,ngay(TEXT(X57,"d"),TEXT(X57,"m"),TEXT(X57,"yyyy"),7)&amp;"/"&amp;thang(TEXT(X57,"d"),TEXT(X57,"m"),TEXT(X57,"yyyy"),7),ngay(TEXT(X57,"d"),TEXT(X57,"m"),TEXT(X57,"yyyy"),7)))</f>
        <v>2</v>
      </c>
    </row>
    <row r="59" spans="1:24" s="88" customFormat="1" ht="45.95" customHeight="1" x14ac:dyDescent="0.3">
      <c r="B59" s="92">
        <f>IF(H57="","",IF(MONTH(H57+1)&lt;&gt;MONTH(H57),"",H57+1))</f>
        <v>43387</v>
      </c>
      <c r="C59" s="91">
        <f>IF(B59="","",IF(MONTH(B59+1)&lt;&gt;MONTH(B59),"",B59+1))</f>
        <v>43388</v>
      </c>
      <c r="D59" s="91">
        <f>IF(C59="","",IF(MONTH(C59+1)&lt;&gt;MONTH(C59),"",C59+1))</f>
        <v>43389</v>
      </c>
      <c r="E59" s="91">
        <f>IF(D59="","",IF(MONTH(D59+1)&lt;&gt;MONTH(D59),"",D59+1))</f>
        <v>43390</v>
      </c>
      <c r="F59" s="91">
        <f>IF(E59="","",IF(MONTH(E59+1)&lt;&gt;MONTH(E59),"",E59+1))</f>
        <v>43391</v>
      </c>
      <c r="G59" s="90">
        <f>IF(F59="","",IF(MONTH(F59+1)&lt;&gt;MONTH(F59),"",F59+1))</f>
        <v>43392</v>
      </c>
      <c r="H59" s="89">
        <f>IF(G59="","",IF(MONTH(G59+1)&lt;&gt;MONTH(G59),"",G59+1))</f>
        <v>43393</v>
      </c>
      <c r="I59" s="93"/>
      <c r="J59" s="92">
        <f>IF(P57="","",IF(MONTH(P57+1)&lt;&gt;MONTH(P57),"",P57+1))</f>
        <v>43415</v>
      </c>
      <c r="K59" s="91">
        <f>IF(J59="","",IF(MONTH(J59+1)&lt;&gt;MONTH(J59),"",J59+1))</f>
        <v>43416</v>
      </c>
      <c r="L59" s="91">
        <f>IF(K59="","",IF(MONTH(K59+1)&lt;&gt;MONTH(K59),"",K59+1))</f>
        <v>43417</v>
      </c>
      <c r="M59" s="91">
        <f>IF(L59="","",IF(MONTH(L59+1)&lt;&gt;MONTH(L59),"",L59+1))</f>
        <v>43418</v>
      </c>
      <c r="N59" s="91">
        <f>IF(M59="","",IF(MONTH(M59+1)&lt;&gt;MONTH(M59),"",M59+1))</f>
        <v>43419</v>
      </c>
      <c r="O59" s="90">
        <f>IF(N59="","",IF(MONTH(N59+1)&lt;&gt;MONTH(N59),"",N59+1))</f>
        <v>43420</v>
      </c>
      <c r="P59" s="89">
        <f>IF(O59="","",IF(MONTH(O59+1)&lt;&gt;MONTH(O59),"",O59+1))</f>
        <v>43421</v>
      </c>
      <c r="Q59" s="93"/>
      <c r="R59" s="92">
        <f>IF(X57="","",IF(MONTH(X57+1)&lt;&gt;MONTH(X57),"",X57+1))</f>
        <v>43443</v>
      </c>
      <c r="S59" s="91">
        <f>IF(R59="","",IF(MONTH(R59+1)&lt;&gt;MONTH(R59),"",R59+1))</f>
        <v>43444</v>
      </c>
      <c r="T59" s="91">
        <f>IF(S59="","",IF(MONTH(S59+1)&lt;&gt;MONTH(S59),"",S59+1))</f>
        <v>43445</v>
      </c>
      <c r="U59" s="91">
        <f>IF(T59="","",IF(MONTH(T59+1)&lt;&gt;MONTH(T59),"",T59+1))</f>
        <v>43446</v>
      </c>
      <c r="V59" s="91">
        <f>IF(U59="","",IF(MONTH(U59+1)&lt;&gt;MONTH(U59),"",U59+1))</f>
        <v>43447</v>
      </c>
      <c r="W59" s="90">
        <f>IF(V59="","",IF(MONTH(V59+1)&lt;&gt;MONTH(V59),"",V59+1))</f>
        <v>43448</v>
      </c>
      <c r="X59" s="89">
        <f>IF(W59="","",IF(MONTH(W59+1)&lt;&gt;MONTH(W59),"",W59+1))</f>
        <v>43449</v>
      </c>
    </row>
    <row r="60" spans="1:24" s="83" customFormat="1" ht="45.95" customHeight="1" x14ac:dyDescent="0.2">
      <c r="B60" s="96">
        <f>IF(B59="","",IF(ngay(TEXT(B59,"d"),TEXT(B59,"m"),TEXT(B59,"yyyy"),7)=1,ngay(TEXT(B59,"d"),TEXT(B59,"m"),TEXT(B59,"yyyy"),7)&amp;"/"&amp;thang(TEXT(B59,"d"),TEXT(B59,"m"),TEXT(B59,"yyyy"),7),ngay(TEXT(B59,"d"),TEXT(B59,"m"),TEXT(B59,"yyyy"),7)))</f>
        <v>6</v>
      </c>
      <c r="C60" s="95">
        <f>IF(C59="","",IF(ngay(TEXT(C59,"d"),TEXT(C59,"m"),TEXT(C59,"yyyy"),7)=1,ngay(TEXT(C59,"d"),TEXT(C59,"m"),TEXT(C59,"yyyy"),7)&amp;"/"&amp;thang(TEXT(C59,"d"),TEXT(C59,"m"),TEXT(C59,"yyyy"),7),ngay(TEXT(C59,"d"),TEXT(C59,"m"),TEXT(C59,"yyyy"),7)))</f>
        <v>7</v>
      </c>
      <c r="D60" s="95">
        <f>IF(D59="","",IF(ngay(TEXT(D59,"d"),TEXT(D59,"m"),TEXT(D59,"yyyy"),7)=1,ngay(TEXT(D59,"d"),TEXT(D59,"m"),TEXT(D59,"yyyy"),7)&amp;"/"&amp;thang(TEXT(D59,"d"),TEXT(D59,"m"),TEXT(D59,"yyyy"),7),ngay(TEXT(D59,"d"),TEXT(D59,"m"),TEXT(D59,"yyyy"),7)))</f>
        <v>8</v>
      </c>
      <c r="E60" s="95">
        <f>IF(E59="","",IF(ngay(TEXT(E59,"d"),TEXT(E59,"m"),TEXT(E59,"yyyy"),7)=1,ngay(TEXT(E59,"d"),TEXT(E59,"m"),TEXT(E59,"yyyy"),7)&amp;"/"&amp;thang(TEXT(E59,"d"),TEXT(E59,"m"),TEXT(E59,"yyyy"),7),ngay(TEXT(E59,"d"),TEXT(E59,"m"),TEXT(E59,"yyyy"),7)))</f>
        <v>9</v>
      </c>
      <c r="F60" s="95">
        <f>IF(F59="","",IF(ngay(TEXT(F59,"d"),TEXT(F59,"m"),TEXT(F59,"yyyy"),7)=1,ngay(TEXT(F59,"d"),TEXT(F59,"m"),TEXT(F59,"yyyy"),7)&amp;"/"&amp;thang(TEXT(F59,"d"),TEXT(F59,"m"),TEXT(F59,"yyyy"),7),ngay(TEXT(F59,"d"),TEXT(F59,"m"),TEXT(F59,"yyyy"),7)))</f>
        <v>10</v>
      </c>
      <c r="G60" s="95">
        <f>IF(G59="","",IF(ngay(TEXT(G59,"d"),TEXT(G59,"m"),TEXT(G59,"yyyy"),7)=1,ngay(TEXT(G59,"d"),TEXT(G59,"m"),TEXT(G59,"yyyy"),7)&amp;"/"&amp;thang(TEXT(G59,"d"),TEXT(G59,"m"),TEXT(G59,"yyyy"),7),ngay(TEXT(G59,"d"),TEXT(G59,"m"),TEXT(G59,"yyyy"),7)))</f>
        <v>11</v>
      </c>
      <c r="H60" s="94">
        <f>IF(H59="","",IF(ngay(TEXT(H59,"d"),TEXT(H59,"m"),TEXT(H59,"yyyy"),7)=1,ngay(TEXT(H59,"d"),TEXT(H59,"m"),TEXT(H59,"yyyy"),7)&amp;"/"&amp;thang(TEXT(H59,"d"),TEXT(H59,"m"),TEXT(H59,"yyyy"),7),ngay(TEXT(H59,"d"),TEXT(H59,"m"),TEXT(H59,"yyyy"),7)))</f>
        <v>12</v>
      </c>
      <c r="I60" s="87"/>
      <c r="J60" s="96">
        <f>IF(J59="","",IF(ngay(TEXT(J59,"d"),TEXT(J59,"m"),TEXT(J59,"yyyy"),7)=1,ngay(TEXT(J59,"d"),TEXT(J59,"m"),TEXT(J59,"yyyy"),7)&amp;"/"&amp;thang(TEXT(J59,"d"),TEXT(J59,"m"),TEXT(J59,"yyyy"),7),ngay(TEXT(J59,"d"),TEXT(J59,"m"),TEXT(J59,"yyyy"),7)))</f>
        <v>5</v>
      </c>
      <c r="K60" s="95">
        <f>IF(K59="","",IF(ngay(TEXT(K59,"d"),TEXT(K59,"m"),TEXT(K59,"yyyy"),7)=1,ngay(TEXT(K59,"d"),TEXT(K59,"m"),TEXT(K59,"yyyy"),7)&amp;"/"&amp;thang(TEXT(K59,"d"),TEXT(K59,"m"),TEXT(K59,"yyyy"),7),ngay(TEXT(K59,"d"),TEXT(K59,"m"),TEXT(K59,"yyyy"),7)))</f>
        <v>6</v>
      </c>
      <c r="L60" s="95">
        <f>IF(L59="","",IF(ngay(TEXT(L59,"d"),TEXT(L59,"m"),TEXT(L59,"yyyy"),7)=1,ngay(TEXT(L59,"d"),TEXT(L59,"m"),TEXT(L59,"yyyy"),7)&amp;"/"&amp;thang(TEXT(L59,"d"),TEXT(L59,"m"),TEXT(L59,"yyyy"),7),ngay(TEXT(L59,"d"),TEXT(L59,"m"),TEXT(L59,"yyyy"),7)))</f>
        <v>7</v>
      </c>
      <c r="M60" s="95">
        <f>IF(M59="","",IF(ngay(TEXT(M59,"d"),TEXT(M59,"m"),TEXT(M59,"yyyy"),7)=1,ngay(TEXT(M59,"d"),TEXT(M59,"m"),TEXT(M59,"yyyy"),7)&amp;"/"&amp;thang(TEXT(M59,"d"),TEXT(M59,"m"),TEXT(M59,"yyyy"),7),ngay(TEXT(M59,"d"),TEXT(M59,"m"),TEXT(M59,"yyyy"),7)))</f>
        <v>8</v>
      </c>
      <c r="N60" s="95">
        <f>IF(N59="","",IF(ngay(TEXT(N59,"d"),TEXT(N59,"m"),TEXT(N59,"yyyy"),7)=1,ngay(TEXT(N59,"d"),TEXT(N59,"m"),TEXT(N59,"yyyy"),7)&amp;"/"&amp;thang(TEXT(N59,"d"),TEXT(N59,"m"),TEXT(N59,"yyyy"),7),ngay(TEXT(N59,"d"),TEXT(N59,"m"),TEXT(N59,"yyyy"),7)))</f>
        <v>9</v>
      </c>
      <c r="O60" s="95">
        <f>IF(O59="","",IF(ngay(TEXT(O59,"d"),TEXT(O59,"m"),TEXT(O59,"yyyy"),7)=1,ngay(TEXT(O59,"d"),TEXT(O59,"m"),TEXT(O59,"yyyy"),7)&amp;"/"&amp;thang(TEXT(O59,"d"),TEXT(O59,"m"),TEXT(O59,"yyyy"),7),ngay(TEXT(O59,"d"),TEXT(O59,"m"),TEXT(O59,"yyyy"),7)))</f>
        <v>10</v>
      </c>
      <c r="P60" s="94">
        <f>IF(P59="","",IF(ngay(TEXT(P59,"d"),TEXT(P59,"m"),TEXT(P59,"yyyy"),7)=1,ngay(TEXT(P59,"d"),TEXT(P59,"m"),TEXT(P59,"yyyy"),7)&amp;"/"&amp;thang(TEXT(P59,"d"),TEXT(P59,"m"),TEXT(P59,"yyyy"),7),ngay(TEXT(P59,"d"),TEXT(P59,"m"),TEXT(P59,"yyyy"),7)))</f>
        <v>11</v>
      </c>
      <c r="Q60" s="87"/>
      <c r="R60" s="96">
        <f>IF(R59="","",IF(ngay(TEXT(R59,"d"),TEXT(R59,"m"),TEXT(R59,"yyyy"),7)=1,ngay(TEXT(R59,"d"),TEXT(R59,"m"),TEXT(R59,"yyyy"),7)&amp;"/"&amp;thang(TEXT(R59,"d"),TEXT(R59,"m"),TEXT(R59,"yyyy"),7),ngay(TEXT(R59,"d"),TEXT(R59,"m"),TEXT(R59,"yyyy"),7)))</f>
        <v>3</v>
      </c>
      <c r="S60" s="95">
        <f>IF(S59="","",IF(ngay(TEXT(S59,"d"),TEXT(S59,"m"),TEXT(S59,"yyyy"),7)=1,ngay(TEXT(S59,"d"),TEXT(S59,"m"),TEXT(S59,"yyyy"),7)&amp;"/"&amp;thang(TEXT(S59,"d"),TEXT(S59,"m"),TEXT(S59,"yyyy"),7),ngay(TEXT(S59,"d"),TEXT(S59,"m"),TEXT(S59,"yyyy"),7)))</f>
        <v>4</v>
      </c>
      <c r="T60" s="95">
        <f>IF(T59="","",IF(ngay(TEXT(T59,"d"),TEXT(T59,"m"),TEXT(T59,"yyyy"),7)=1,ngay(TEXT(T59,"d"),TEXT(T59,"m"),TEXT(T59,"yyyy"),7)&amp;"/"&amp;thang(TEXT(T59,"d"),TEXT(T59,"m"),TEXT(T59,"yyyy"),7),ngay(TEXT(T59,"d"),TEXT(T59,"m"),TEXT(T59,"yyyy"),7)))</f>
        <v>5</v>
      </c>
      <c r="U60" s="95">
        <f>IF(U59="","",IF(ngay(TEXT(U59,"d"),TEXT(U59,"m"),TEXT(U59,"yyyy"),7)=1,ngay(TEXT(U59,"d"),TEXT(U59,"m"),TEXT(U59,"yyyy"),7)&amp;"/"&amp;thang(TEXT(U59,"d"),TEXT(U59,"m"),TEXT(U59,"yyyy"),7),ngay(TEXT(U59,"d"),TEXT(U59,"m"),TEXT(U59,"yyyy"),7)))</f>
        <v>6</v>
      </c>
      <c r="V60" s="95">
        <f>IF(V59="","",IF(ngay(TEXT(V59,"d"),TEXT(V59,"m"),TEXT(V59,"yyyy"),7)=1,ngay(TEXT(V59,"d"),TEXT(V59,"m"),TEXT(V59,"yyyy"),7)&amp;"/"&amp;thang(TEXT(V59,"d"),TEXT(V59,"m"),TEXT(V59,"yyyy"),7),ngay(TEXT(V59,"d"),TEXT(V59,"m"),TEXT(V59,"yyyy"),7)))</f>
        <v>7</v>
      </c>
      <c r="W60" s="95">
        <f>IF(W59="","",IF(ngay(TEXT(W59,"d"),TEXT(W59,"m"),TEXT(W59,"yyyy"),7)=1,ngay(TEXT(W59,"d"),TEXT(W59,"m"),TEXT(W59,"yyyy"),7)&amp;"/"&amp;thang(TEXT(W59,"d"),TEXT(W59,"m"),TEXT(W59,"yyyy"),7),ngay(TEXT(W59,"d"),TEXT(W59,"m"),TEXT(W59,"yyyy"),7)))</f>
        <v>8</v>
      </c>
      <c r="X60" s="94">
        <f>IF(X59="","",IF(ngay(TEXT(X59,"d"),TEXT(X59,"m"),TEXT(X59,"yyyy"),7)=1,ngay(TEXT(X59,"d"),TEXT(X59,"m"),TEXT(X59,"yyyy"),7)&amp;"/"&amp;thang(TEXT(X59,"d"),TEXT(X59,"m"),TEXT(X59,"yyyy"),7),ngay(TEXT(X59,"d"),TEXT(X59,"m"),TEXT(X59,"yyyy"),7)))</f>
        <v>9</v>
      </c>
    </row>
    <row r="61" spans="1:24" s="88" customFormat="1" ht="45.95" customHeight="1" x14ac:dyDescent="0.3">
      <c r="B61" s="92">
        <f>IF(H59="","",IF(MONTH(H59+1)&lt;&gt;MONTH(H59),"",H59+1))</f>
        <v>43394</v>
      </c>
      <c r="C61" s="91">
        <f>IF(B61="","",IF(MONTH(B61+1)&lt;&gt;MONTH(B61),"",B61+1))</f>
        <v>43395</v>
      </c>
      <c r="D61" s="91">
        <f>IF(C61="","",IF(MONTH(C61+1)&lt;&gt;MONTH(C61),"",C61+1))</f>
        <v>43396</v>
      </c>
      <c r="E61" s="91">
        <f>IF(D61="","",IF(MONTH(D61+1)&lt;&gt;MONTH(D61),"",D61+1))</f>
        <v>43397</v>
      </c>
      <c r="F61" s="91">
        <f>IF(E61="","",IF(MONTH(E61+1)&lt;&gt;MONTH(E61),"",E61+1))</f>
        <v>43398</v>
      </c>
      <c r="G61" s="90">
        <f>IF(F61="","",IF(MONTH(F61+1)&lt;&gt;MONTH(F61),"",F61+1))</f>
        <v>43399</v>
      </c>
      <c r="H61" s="89">
        <f>IF(G61="","",IF(MONTH(G61+1)&lt;&gt;MONTH(G61),"",G61+1))</f>
        <v>43400</v>
      </c>
      <c r="I61" s="93"/>
      <c r="J61" s="92">
        <f>IF(P59="","",IF(MONTH(P59+1)&lt;&gt;MONTH(P59),"",P59+1))</f>
        <v>43422</v>
      </c>
      <c r="K61" s="91">
        <f>IF(J61="","",IF(MONTH(J61+1)&lt;&gt;MONTH(J61),"",J61+1))</f>
        <v>43423</v>
      </c>
      <c r="L61" s="91">
        <f>IF(K61="","",IF(MONTH(K61+1)&lt;&gt;MONTH(K61),"",K61+1))</f>
        <v>43424</v>
      </c>
      <c r="M61" s="91">
        <f>IF(L61="","",IF(MONTH(L61+1)&lt;&gt;MONTH(L61),"",L61+1))</f>
        <v>43425</v>
      </c>
      <c r="N61" s="91">
        <f>IF(M61="","",IF(MONTH(M61+1)&lt;&gt;MONTH(M61),"",M61+1))</f>
        <v>43426</v>
      </c>
      <c r="O61" s="90">
        <f>IF(N61="","",IF(MONTH(N61+1)&lt;&gt;MONTH(N61),"",N61+1))</f>
        <v>43427</v>
      </c>
      <c r="P61" s="89">
        <f>IF(O61="","",IF(MONTH(O61+1)&lt;&gt;MONTH(O61),"",O61+1))</f>
        <v>43428</v>
      </c>
      <c r="Q61" s="93"/>
      <c r="R61" s="92">
        <f>IF(X59="","",IF(MONTH(X59+1)&lt;&gt;MONTH(X59),"",X59+1))</f>
        <v>43450</v>
      </c>
      <c r="S61" s="91">
        <f>IF(R61="","",IF(MONTH(R61+1)&lt;&gt;MONTH(R61),"",R61+1))</f>
        <v>43451</v>
      </c>
      <c r="T61" s="91">
        <f>IF(S61="","",IF(MONTH(S61+1)&lt;&gt;MONTH(S61),"",S61+1))</f>
        <v>43452</v>
      </c>
      <c r="U61" s="91">
        <f>IF(T61="","",IF(MONTH(T61+1)&lt;&gt;MONTH(T61),"",T61+1))</f>
        <v>43453</v>
      </c>
      <c r="V61" s="91">
        <f>IF(U61="","",IF(MONTH(U61+1)&lt;&gt;MONTH(U61),"",U61+1))</f>
        <v>43454</v>
      </c>
      <c r="W61" s="90">
        <f>IF(V61="","",IF(MONTH(V61+1)&lt;&gt;MONTH(V61),"",V61+1))</f>
        <v>43455</v>
      </c>
      <c r="X61" s="89">
        <f>IF(W61="","",IF(MONTH(W61+1)&lt;&gt;MONTH(W61),"",W61+1))</f>
        <v>43456</v>
      </c>
    </row>
    <row r="62" spans="1:24" s="83" customFormat="1" ht="45.95" customHeight="1" x14ac:dyDescent="0.2">
      <c r="B62" s="96">
        <f>IF(B61="","",IF(ngay(TEXT(B61,"d"),TEXT(B61,"m"),TEXT(B61,"yyyy"),7)=1,ngay(TEXT(B61,"d"),TEXT(B61,"m"),TEXT(B61,"yyyy"),7)&amp;"/"&amp;thang(TEXT(B61,"d"),TEXT(B61,"m"),TEXT(B61,"yyyy"),7),ngay(TEXT(B61,"d"),TEXT(B61,"m"),TEXT(B61,"yyyy"),7)))</f>
        <v>13</v>
      </c>
      <c r="C62" s="95">
        <f>IF(C61="","",IF(ngay(TEXT(C61,"d"),TEXT(C61,"m"),TEXT(C61,"yyyy"),7)=1,ngay(TEXT(C61,"d"),TEXT(C61,"m"),TEXT(C61,"yyyy"),7)&amp;"/"&amp;thang(TEXT(C61,"d"),TEXT(C61,"m"),TEXT(C61,"yyyy"),7),ngay(TEXT(C61,"d"),TEXT(C61,"m"),TEXT(C61,"yyyy"),7)))</f>
        <v>14</v>
      </c>
      <c r="D62" s="95">
        <f>IF(D61="","",IF(ngay(TEXT(D61,"d"),TEXT(D61,"m"),TEXT(D61,"yyyy"),7)=1,ngay(TEXT(D61,"d"),TEXT(D61,"m"),TEXT(D61,"yyyy"),7)&amp;"/"&amp;thang(TEXT(D61,"d"),TEXT(D61,"m"),TEXT(D61,"yyyy"),7),ngay(TEXT(D61,"d"),TEXT(D61,"m"),TEXT(D61,"yyyy"),7)))</f>
        <v>15</v>
      </c>
      <c r="E62" s="95">
        <f>IF(E61="","",IF(ngay(TEXT(E61,"d"),TEXT(E61,"m"),TEXT(E61,"yyyy"),7)=1,ngay(TEXT(E61,"d"),TEXT(E61,"m"),TEXT(E61,"yyyy"),7)&amp;"/"&amp;thang(TEXT(E61,"d"),TEXT(E61,"m"),TEXT(E61,"yyyy"),7),ngay(TEXT(E61,"d"),TEXT(E61,"m"),TEXT(E61,"yyyy"),7)))</f>
        <v>16</v>
      </c>
      <c r="F62" s="95">
        <f>IF(F61="","",IF(ngay(TEXT(F61,"d"),TEXT(F61,"m"),TEXT(F61,"yyyy"),7)=1,ngay(TEXT(F61,"d"),TEXT(F61,"m"),TEXT(F61,"yyyy"),7)&amp;"/"&amp;thang(TEXT(F61,"d"),TEXT(F61,"m"),TEXT(F61,"yyyy"),7),ngay(TEXT(F61,"d"),TEXT(F61,"m"),TEXT(F61,"yyyy"),7)))</f>
        <v>17</v>
      </c>
      <c r="G62" s="95">
        <f>IF(G61="","",IF(ngay(TEXT(G61,"d"),TEXT(G61,"m"),TEXT(G61,"yyyy"),7)=1,ngay(TEXT(G61,"d"),TEXT(G61,"m"),TEXT(G61,"yyyy"),7)&amp;"/"&amp;thang(TEXT(G61,"d"),TEXT(G61,"m"),TEXT(G61,"yyyy"),7),ngay(TEXT(G61,"d"),TEXT(G61,"m"),TEXT(G61,"yyyy"),7)))</f>
        <v>18</v>
      </c>
      <c r="H62" s="94">
        <f>IF(H61="","",IF(ngay(TEXT(H61,"d"),TEXT(H61,"m"),TEXT(H61,"yyyy"),7)=1,ngay(TEXT(H61,"d"),TEXT(H61,"m"),TEXT(H61,"yyyy"),7)&amp;"/"&amp;thang(TEXT(H61,"d"),TEXT(H61,"m"),TEXT(H61,"yyyy"),7),ngay(TEXT(H61,"d"),TEXT(H61,"m"),TEXT(H61,"yyyy"),7)))</f>
        <v>19</v>
      </c>
      <c r="I62" s="87"/>
      <c r="J62" s="96">
        <f>IF(J61="","",IF(ngay(TEXT(J61,"d"),TEXT(J61,"m"),TEXT(J61,"yyyy"),7)=1,ngay(TEXT(J61,"d"),TEXT(J61,"m"),TEXT(J61,"yyyy"),7)&amp;"/"&amp;thang(TEXT(J61,"d"),TEXT(J61,"m"),TEXT(J61,"yyyy"),7),ngay(TEXT(J61,"d"),TEXT(J61,"m"),TEXT(J61,"yyyy"),7)))</f>
        <v>12</v>
      </c>
      <c r="K62" s="95">
        <f>IF(K61="","",IF(ngay(TEXT(K61,"d"),TEXT(K61,"m"),TEXT(K61,"yyyy"),7)=1,ngay(TEXT(K61,"d"),TEXT(K61,"m"),TEXT(K61,"yyyy"),7)&amp;"/"&amp;thang(TEXT(K61,"d"),TEXT(K61,"m"),TEXT(K61,"yyyy"),7),ngay(TEXT(K61,"d"),TEXT(K61,"m"),TEXT(K61,"yyyy"),7)))</f>
        <v>13</v>
      </c>
      <c r="L62" s="95">
        <f>IF(L61="","",IF(ngay(TEXT(L61,"d"),TEXT(L61,"m"),TEXT(L61,"yyyy"),7)=1,ngay(TEXT(L61,"d"),TEXT(L61,"m"),TEXT(L61,"yyyy"),7)&amp;"/"&amp;thang(TEXT(L61,"d"),TEXT(L61,"m"),TEXT(L61,"yyyy"),7),ngay(TEXT(L61,"d"),TEXT(L61,"m"),TEXT(L61,"yyyy"),7)))</f>
        <v>14</v>
      </c>
      <c r="M62" s="95">
        <f>IF(M61="","",IF(ngay(TEXT(M61,"d"),TEXT(M61,"m"),TEXT(M61,"yyyy"),7)=1,ngay(TEXT(M61,"d"),TEXT(M61,"m"),TEXT(M61,"yyyy"),7)&amp;"/"&amp;thang(TEXT(M61,"d"),TEXT(M61,"m"),TEXT(M61,"yyyy"),7),ngay(TEXT(M61,"d"),TEXT(M61,"m"),TEXT(M61,"yyyy"),7)))</f>
        <v>15</v>
      </c>
      <c r="N62" s="95">
        <f>IF(N61="","",IF(ngay(TEXT(N61,"d"),TEXT(N61,"m"),TEXT(N61,"yyyy"),7)=1,ngay(TEXT(N61,"d"),TEXT(N61,"m"),TEXT(N61,"yyyy"),7)&amp;"/"&amp;thang(TEXT(N61,"d"),TEXT(N61,"m"),TEXT(N61,"yyyy"),7),ngay(TEXT(N61,"d"),TEXT(N61,"m"),TEXT(N61,"yyyy"),7)))</f>
        <v>16</v>
      </c>
      <c r="O62" s="95">
        <f>IF(O61="","",IF(ngay(TEXT(O61,"d"),TEXT(O61,"m"),TEXT(O61,"yyyy"),7)=1,ngay(TEXT(O61,"d"),TEXT(O61,"m"),TEXT(O61,"yyyy"),7)&amp;"/"&amp;thang(TEXT(O61,"d"),TEXT(O61,"m"),TEXT(O61,"yyyy"),7),ngay(TEXT(O61,"d"),TEXT(O61,"m"),TEXT(O61,"yyyy"),7)))</f>
        <v>17</v>
      </c>
      <c r="P62" s="94">
        <f>IF(P61="","",IF(ngay(TEXT(P61,"d"),TEXT(P61,"m"),TEXT(P61,"yyyy"),7)=1,ngay(TEXT(P61,"d"),TEXT(P61,"m"),TEXT(P61,"yyyy"),7)&amp;"/"&amp;thang(TEXT(P61,"d"),TEXT(P61,"m"),TEXT(P61,"yyyy"),7),ngay(TEXT(P61,"d"),TEXT(P61,"m"),TEXT(P61,"yyyy"),7)))</f>
        <v>18</v>
      </c>
      <c r="Q62" s="87"/>
      <c r="R62" s="96">
        <f>IF(R61="","",IF(ngay(TEXT(R61,"d"),TEXT(R61,"m"),TEXT(R61,"yyyy"),7)=1,ngay(TEXT(R61,"d"),TEXT(R61,"m"),TEXT(R61,"yyyy"),7)&amp;"/"&amp;thang(TEXT(R61,"d"),TEXT(R61,"m"),TEXT(R61,"yyyy"),7),ngay(TEXT(R61,"d"),TEXT(R61,"m"),TEXT(R61,"yyyy"),7)))</f>
        <v>10</v>
      </c>
      <c r="S62" s="95">
        <f>IF(S61="","",IF(ngay(TEXT(S61,"d"),TEXT(S61,"m"),TEXT(S61,"yyyy"),7)=1,ngay(TEXT(S61,"d"),TEXT(S61,"m"),TEXT(S61,"yyyy"),7)&amp;"/"&amp;thang(TEXT(S61,"d"),TEXT(S61,"m"),TEXT(S61,"yyyy"),7),ngay(TEXT(S61,"d"),TEXT(S61,"m"),TEXT(S61,"yyyy"),7)))</f>
        <v>11</v>
      </c>
      <c r="T62" s="95">
        <f>IF(T61="","",IF(ngay(TEXT(T61,"d"),TEXT(T61,"m"),TEXT(T61,"yyyy"),7)=1,ngay(TEXT(T61,"d"),TEXT(T61,"m"),TEXT(T61,"yyyy"),7)&amp;"/"&amp;thang(TEXT(T61,"d"),TEXT(T61,"m"),TEXT(T61,"yyyy"),7),ngay(TEXT(T61,"d"),TEXT(T61,"m"),TEXT(T61,"yyyy"),7)))</f>
        <v>12</v>
      </c>
      <c r="U62" s="95">
        <f>IF(U61="","",IF(ngay(TEXT(U61,"d"),TEXT(U61,"m"),TEXT(U61,"yyyy"),7)=1,ngay(TEXT(U61,"d"),TEXT(U61,"m"),TEXT(U61,"yyyy"),7)&amp;"/"&amp;thang(TEXT(U61,"d"),TEXT(U61,"m"),TEXT(U61,"yyyy"),7),ngay(TEXT(U61,"d"),TEXT(U61,"m"),TEXT(U61,"yyyy"),7)))</f>
        <v>13</v>
      </c>
      <c r="V62" s="95">
        <f>IF(V61="","",IF(ngay(TEXT(V61,"d"),TEXT(V61,"m"),TEXT(V61,"yyyy"),7)=1,ngay(TEXT(V61,"d"),TEXT(V61,"m"),TEXT(V61,"yyyy"),7)&amp;"/"&amp;thang(TEXT(V61,"d"),TEXT(V61,"m"),TEXT(V61,"yyyy"),7),ngay(TEXT(V61,"d"),TEXT(V61,"m"),TEXT(V61,"yyyy"),7)))</f>
        <v>14</v>
      </c>
      <c r="W62" s="95">
        <f>IF(W61="","",IF(ngay(TEXT(W61,"d"),TEXT(W61,"m"),TEXT(W61,"yyyy"),7)=1,ngay(TEXT(W61,"d"),TEXT(W61,"m"),TEXT(W61,"yyyy"),7)&amp;"/"&amp;thang(TEXT(W61,"d"),TEXT(W61,"m"),TEXT(W61,"yyyy"),7),ngay(TEXT(W61,"d"),TEXT(W61,"m"),TEXT(W61,"yyyy"),7)))</f>
        <v>15</v>
      </c>
      <c r="X62" s="94">
        <f>IF(X61="","",IF(ngay(TEXT(X61,"d"),TEXT(X61,"m"),TEXT(X61,"yyyy"),7)=1,ngay(TEXT(X61,"d"),TEXT(X61,"m"),TEXT(X61,"yyyy"),7)&amp;"/"&amp;thang(TEXT(X61,"d"),TEXT(X61,"m"),TEXT(X61,"yyyy"),7),ngay(TEXT(X61,"d"),TEXT(X61,"m"),TEXT(X61,"yyyy"),7)))</f>
        <v>16</v>
      </c>
    </row>
    <row r="63" spans="1:24" s="88" customFormat="1" ht="45.95" customHeight="1" x14ac:dyDescent="0.3">
      <c r="B63" s="92">
        <f>IF(H61="","",IF(MONTH(H61+1)&lt;&gt;MONTH(H61),"",H61+1))</f>
        <v>43401</v>
      </c>
      <c r="C63" s="91">
        <f>IF(B63="","",IF(MONTH(B63+1)&lt;&gt;MONTH(B63),"",B63+1))</f>
        <v>43402</v>
      </c>
      <c r="D63" s="91">
        <f>IF(C63="","",IF(MONTH(C63+1)&lt;&gt;MONTH(C63),"",C63+1))</f>
        <v>43403</v>
      </c>
      <c r="E63" s="91">
        <f>IF(D63="","",IF(MONTH(D63+1)&lt;&gt;MONTH(D63),"",D63+1))</f>
        <v>43404</v>
      </c>
      <c r="F63" s="91" t="str">
        <f>IF(E63="","",IF(MONTH(E63+1)&lt;&gt;MONTH(E63),"",E63+1))</f>
        <v/>
      </c>
      <c r="G63" s="90" t="str">
        <f>IF(F63="","",IF(MONTH(F63+1)&lt;&gt;MONTH(F63),"",F63+1))</f>
        <v/>
      </c>
      <c r="H63" s="89" t="str">
        <f>IF(G63="","",IF(MONTH(G63+1)&lt;&gt;MONTH(G63),"",G63+1))</f>
        <v/>
      </c>
      <c r="I63" s="93"/>
      <c r="J63" s="92">
        <f>IF(P61="","",IF(MONTH(P61+1)&lt;&gt;MONTH(P61),"",P61+1))</f>
        <v>43429</v>
      </c>
      <c r="K63" s="91">
        <f>IF(J63="","",IF(MONTH(J63+1)&lt;&gt;MONTH(J63),"",J63+1))</f>
        <v>43430</v>
      </c>
      <c r="L63" s="91">
        <f>IF(K63="","",IF(MONTH(K63+1)&lt;&gt;MONTH(K63),"",K63+1))</f>
        <v>43431</v>
      </c>
      <c r="M63" s="91">
        <f>IF(L63="","",IF(MONTH(L63+1)&lt;&gt;MONTH(L63),"",L63+1))</f>
        <v>43432</v>
      </c>
      <c r="N63" s="91">
        <f>IF(M63="","",IF(MONTH(M63+1)&lt;&gt;MONTH(M63),"",M63+1))</f>
        <v>43433</v>
      </c>
      <c r="O63" s="90">
        <f>IF(N63="","",IF(MONTH(N63+1)&lt;&gt;MONTH(N63),"",N63+1))</f>
        <v>43434</v>
      </c>
      <c r="P63" s="89" t="str">
        <f>IF(O63="","",IF(MONTH(O63+1)&lt;&gt;MONTH(O63),"",O63+1))</f>
        <v/>
      </c>
      <c r="Q63" s="93"/>
      <c r="R63" s="92">
        <f>IF(X61="","",IF(MONTH(X61+1)&lt;&gt;MONTH(X61),"",X61+1))</f>
        <v>43457</v>
      </c>
      <c r="S63" s="91">
        <f>IF(R63="","",IF(MONTH(R63+1)&lt;&gt;MONTH(R63),"",R63+1))</f>
        <v>43458</v>
      </c>
      <c r="T63" s="91">
        <f>IF(S63="","",IF(MONTH(S63+1)&lt;&gt;MONTH(S63),"",S63+1))</f>
        <v>43459</v>
      </c>
      <c r="U63" s="91">
        <f>IF(T63="","",IF(MONTH(T63+1)&lt;&gt;MONTH(T63),"",T63+1))</f>
        <v>43460</v>
      </c>
      <c r="V63" s="91">
        <f>IF(U63="","",IF(MONTH(U63+1)&lt;&gt;MONTH(U63),"",U63+1))</f>
        <v>43461</v>
      </c>
      <c r="W63" s="90">
        <f>IF(V63="","",IF(MONTH(V63+1)&lt;&gt;MONTH(V63),"",V63+1))</f>
        <v>43462</v>
      </c>
      <c r="X63" s="89">
        <f>IF(W63="","",IF(MONTH(W63+1)&lt;&gt;MONTH(W63),"",W63+1))</f>
        <v>43463</v>
      </c>
    </row>
    <row r="64" spans="1:24" s="83" customFormat="1" ht="45.95" customHeight="1" x14ac:dyDescent="0.2">
      <c r="B64" s="96">
        <f>IF(B63="","",IF(ngay(TEXT(B63,"d"),TEXT(B63,"m"),TEXT(B63,"yyyy"),7)=1,ngay(TEXT(B63,"d"),TEXT(B63,"m"),TEXT(B63,"yyyy"),7)&amp;"/"&amp;thang(TEXT(B63,"d"),TEXT(B63,"m"),TEXT(B63,"yyyy"),7),ngay(TEXT(B63,"d"),TEXT(B63,"m"),TEXT(B63,"yyyy"),7)))</f>
        <v>20</v>
      </c>
      <c r="C64" s="95">
        <f>IF(C63="","",IF(ngay(TEXT(C63,"d"),TEXT(C63,"m"),TEXT(C63,"yyyy"),7)=1,ngay(TEXT(C63,"d"),TEXT(C63,"m"),TEXT(C63,"yyyy"),7)&amp;"/"&amp;thang(TEXT(C63,"d"),TEXT(C63,"m"),TEXT(C63,"yyyy"),7),ngay(TEXT(C63,"d"),TEXT(C63,"m"),TEXT(C63,"yyyy"),7)))</f>
        <v>21</v>
      </c>
      <c r="D64" s="95">
        <f>IF(D63="","",IF(ngay(TEXT(D63,"d"),TEXT(D63,"m"),TEXT(D63,"yyyy"),7)=1,ngay(TEXT(D63,"d"),TEXT(D63,"m"),TEXT(D63,"yyyy"),7)&amp;"/"&amp;thang(TEXT(D63,"d"),TEXT(D63,"m"),TEXT(D63,"yyyy"),7),ngay(TEXT(D63,"d"),TEXT(D63,"m"),TEXT(D63,"yyyy"),7)))</f>
        <v>22</v>
      </c>
      <c r="E64" s="95">
        <f>IF(E63="","",IF(ngay(TEXT(E63,"d"),TEXT(E63,"m"),TEXT(E63,"yyyy"),7)=1,ngay(TEXT(E63,"d"),TEXT(E63,"m"),TEXT(E63,"yyyy"),7)&amp;"/"&amp;thang(TEXT(E63,"d"),TEXT(E63,"m"),TEXT(E63,"yyyy"),7),ngay(TEXT(E63,"d"),TEXT(E63,"m"),TEXT(E63,"yyyy"),7)))</f>
        <v>23</v>
      </c>
      <c r="F64" s="95" t="str">
        <f>IF(F63="","",IF(ngay(TEXT(F63,"d"),TEXT(F63,"m"),TEXT(F63,"yyyy"),7)=1,ngay(TEXT(F63,"d"),TEXT(F63,"m"),TEXT(F63,"yyyy"),7)&amp;"/"&amp;thang(TEXT(F63,"d"),TEXT(F63,"m"),TEXT(F63,"yyyy"),7),ngay(TEXT(F63,"d"),TEXT(F63,"m"),TEXT(F63,"yyyy"),7)))</f>
        <v/>
      </c>
      <c r="G64" s="95" t="str">
        <f>IF(G63="","",IF(ngay(TEXT(G63,"d"),TEXT(G63,"m"),TEXT(G63,"yyyy"),7)=1,ngay(TEXT(G63,"d"),TEXT(G63,"m"),TEXT(G63,"yyyy"),7)&amp;"/"&amp;thang(TEXT(G63,"d"),TEXT(G63,"m"),TEXT(G63,"yyyy"),7),ngay(TEXT(G63,"d"),TEXT(G63,"m"),TEXT(G63,"yyyy"),7)))</f>
        <v/>
      </c>
      <c r="H64" s="94" t="str">
        <f>IF(H63="","",IF(ngay(TEXT(H63,"d"),TEXT(H63,"m"),TEXT(H63,"yyyy"),7)=1,ngay(TEXT(H63,"d"),TEXT(H63,"m"),TEXT(H63,"yyyy"),7)&amp;"/"&amp;thang(TEXT(H63,"d"),TEXT(H63,"m"),TEXT(H63,"yyyy"),7),ngay(TEXT(H63,"d"),TEXT(H63,"m"),TEXT(H63,"yyyy"),7)))</f>
        <v/>
      </c>
      <c r="I64" s="87"/>
      <c r="J64" s="96">
        <f>IF(J63="","",IF(ngay(TEXT(J63,"d"),TEXT(J63,"m"),TEXT(J63,"yyyy"),7)=1,ngay(TEXT(J63,"d"),TEXT(J63,"m"),TEXT(J63,"yyyy"),7)&amp;"/"&amp;thang(TEXT(J63,"d"),TEXT(J63,"m"),TEXT(J63,"yyyy"),7),ngay(TEXT(J63,"d"),TEXT(J63,"m"),TEXT(J63,"yyyy"),7)))</f>
        <v>19</v>
      </c>
      <c r="K64" s="95">
        <f>IF(K63="","",IF(ngay(TEXT(K63,"d"),TEXT(K63,"m"),TEXT(K63,"yyyy"),7)=1,ngay(TEXT(K63,"d"),TEXT(K63,"m"),TEXT(K63,"yyyy"),7)&amp;"/"&amp;thang(TEXT(K63,"d"),TEXT(K63,"m"),TEXT(K63,"yyyy"),7),ngay(TEXT(K63,"d"),TEXT(K63,"m"),TEXT(K63,"yyyy"),7)))</f>
        <v>20</v>
      </c>
      <c r="L64" s="95">
        <f>IF(L63="","",IF(ngay(TEXT(L63,"d"),TEXT(L63,"m"),TEXT(L63,"yyyy"),7)=1,ngay(TEXT(L63,"d"),TEXT(L63,"m"),TEXT(L63,"yyyy"),7)&amp;"/"&amp;thang(TEXT(L63,"d"),TEXT(L63,"m"),TEXT(L63,"yyyy"),7),ngay(TEXT(L63,"d"),TEXT(L63,"m"),TEXT(L63,"yyyy"),7)))</f>
        <v>21</v>
      </c>
      <c r="M64" s="95">
        <f>IF(M63="","",IF(ngay(TEXT(M63,"d"),TEXT(M63,"m"),TEXT(M63,"yyyy"),7)=1,ngay(TEXT(M63,"d"),TEXT(M63,"m"),TEXT(M63,"yyyy"),7)&amp;"/"&amp;thang(TEXT(M63,"d"),TEXT(M63,"m"),TEXT(M63,"yyyy"),7),ngay(TEXT(M63,"d"),TEXT(M63,"m"),TEXT(M63,"yyyy"),7)))</f>
        <v>22</v>
      </c>
      <c r="N64" s="95">
        <f>IF(N63="","",IF(ngay(TEXT(N63,"d"),TEXT(N63,"m"),TEXT(N63,"yyyy"),7)=1,ngay(TEXT(N63,"d"),TEXT(N63,"m"),TEXT(N63,"yyyy"),7)&amp;"/"&amp;thang(TEXT(N63,"d"),TEXT(N63,"m"),TEXT(N63,"yyyy"),7),ngay(TEXT(N63,"d"),TEXT(N63,"m"),TEXT(N63,"yyyy"),7)))</f>
        <v>23</v>
      </c>
      <c r="O64" s="95">
        <f>IF(O63="","",IF(ngay(TEXT(O63,"d"),TEXT(O63,"m"),TEXT(O63,"yyyy"),7)=1,ngay(TEXT(O63,"d"),TEXT(O63,"m"),TEXT(O63,"yyyy"),7)&amp;"/"&amp;thang(TEXT(O63,"d"),TEXT(O63,"m"),TEXT(O63,"yyyy"),7),ngay(TEXT(O63,"d"),TEXT(O63,"m"),TEXT(O63,"yyyy"),7)))</f>
        <v>24</v>
      </c>
      <c r="P64" s="94" t="str">
        <f>IF(P63="","",IF(ngay(TEXT(P63,"d"),TEXT(P63,"m"),TEXT(P63,"yyyy"),7)=1,ngay(TEXT(P63,"d"),TEXT(P63,"m"),TEXT(P63,"yyyy"),7)&amp;"/"&amp;thang(TEXT(P63,"d"),TEXT(P63,"m"),TEXT(P63,"yyyy"),7),ngay(TEXT(P63,"d"),TEXT(P63,"m"),TEXT(P63,"yyyy"),7)))</f>
        <v/>
      </c>
      <c r="Q64" s="87"/>
      <c r="R64" s="96">
        <f>IF(R63="","",IF(ngay(TEXT(R63,"d"),TEXT(R63,"m"),TEXT(R63,"yyyy"),7)=1,ngay(TEXT(R63,"d"),TEXT(R63,"m"),TEXT(R63,"yyyy"),7)&amp;"/"&amp;thang(TEXT(R63,"d"),TEXT(R63,"m"),TEXT(R63,"yyyy"),7),ngay(TEXT(R63,"d"),TEXT(R63,"m"),TEXT(R63,"yyyy"),7)))</f>
        <v>17</v>
      </c>
      <c r="S64" s="95">
        <f>IF(S63="","",IF(ngay(TEXT(S63,"d"),TEXT(S63,"m"),TEXT(S63,"yyyy"),7)=1,ngay(TEXT(S63,"d"),TEXT(S63,"m"),TEXT(S63,"yyyy"),7)&amp;"/"&amp;thang(TEXT(S63,"d"),TEXT(S63,"m"),TEXT(S63,"yyyy"),7),ngay(TEXT(S63,"d"),TEXT(S63,"m"),TEXT(S63,"yyyy"),7)))</f>
        <v>18</v>
      </c>
      <c r="T64" s="95">
        <f>IF(T63="","",IF(ngay(TEXT(T63,"d"),TEXT(T63,"m"),TEXT(T63,"yyyy"),7)=1,ngay(TEXT(T63,"d"),TEXT(T63,"m"),TEXT(T63,"yyyy"),7)&amp;"/"&amp;thang(TEXT(T63,"d"),TEXT(T63,"m"),TEXT(T63,"yyyy"),7),ngay(TEXT(T63,"d"),TEXT(T63,"m"),TEXT(T63,"yyyy"),7)))</f>
        <v>19</v>
      </c>
      <c r="U64" s="95">
        <f>IF(U63="","",IF(ngay(TEXT(U63,"d"),TEXT(U63,"m"),TEXT(U63,"yyyy"),7)=1,ngay(TEXT(U63,"d"),TEXT(U63,"m"),TEXT(U63,"yyyy"),7)&amp;"/"&amp;thang(TEXT(U63,"d"),TEXT(U63,"m"),TEXT(U63,"yyyy"),7),ngay(TEXT(U63,"d"),TEXT(U63,"m"),TEXT(U63,"yyyy"),7)))</f>
        <v>20</v>
      </c>
      <c r="V64" s="95">
        <f>IF(V63="","",IF(ngay(TEXT(V63,"d"),TEXT(V63,"m"),TEXT(V63,"yyyy"),7)=1,ngay(TEXT(V63,"d"),TEXT(V63,"m"),TEXT(V63,"yyyy"),7)&amp;"/"&amp;thang(TEXT(V63,"d"),TEXT(V63,"m"),TEXT(V63,"yyyy"),7),ngay(TEXT(V63,"d"),TEXT(V63,"m"),TEXT(V63,"yyyy"),7)))</f>
        <v>21</v>
      </c>
      <c r="W64" s="95">
        <f>IF(W63="","",IF(ngay(TEXT(W63,"d"),TEXT(W63,"m"),TEXT(W63,"yyyy"),7)=1,ngay(TEXT(W63,"d"),TEXT(W63,"m"),TEXT(W63,"yyyy"),7)&amp;"/"&amp;thang(TEXT(W63,"d"),TEXT(W63,"m"),TEXT(W63,"yyyy"),7),ngay(TEXT(W63,"d"),TEXT(W63,"m"),TEXT(W63,"yyyy"),7)))</f>
        <v>22</v>
      </c>
      <c r="X64" s="94">
        <f>IF(X63="","",IF(ngay(TEXT(X63,"d"),TEXT(X63,"m"),TEXT(X63,"yyyy"),7)=1,ngay(TEXT(X63,"d"),TEXT(X63,"m"),TEXT(X63,"yyyy"),7)&amp;"/"&amp;thang(TEXT(X63,"d"),TEXT(X63,"m"),TEXT(X63,"yyyy"),7),ngay(TEXT(X63,"d"),TEXT(X63,"m"),TEXT(X63,"yyyy"),7)))</f>
        <v>23</v>
      </c>
    </row>
    <row r="65" spans="2:24" s="88" customFormat="1" ht="45.95" customHeight="1" x14ac:dyDescent="0.3">
      <c r="B65" s="92" t="str">
        <f>IF(H63="","",IF(MONTH(H63+1)&lt;&gt;MONTH(H63),"",H63+1))</f>
        <v/>
      </c>
      <c r="C65" s="91" t="str">
        <f>IF(B65="","",IF(MONTH(B65+1)&lt;&gt;MONTH(B65),"",B65+1))</f>
        <v/>
      </c>
      <c r="D65" s="91" t="str">
        <f>IF(C65="","",IF(MONTH(C65+1)&lt;&gt;MONTH(C65),"",C65+1))</f>
        <v/>
      </c>
      <c r="E65" s="91" t="str">
        <f>IF(D65="","",IF(MONTH(D65+1)&lt;&gt;MONTH(D65),"",D65+1))</f>
        <v/>
      </c>
      <c r="F65" s="91" t="str">
        <f>IF(E65="","",IF(MONTH(E65+1)&lt;&gt;MONTH(E65),"",E65+1))</f>
        <v/>
      </c>
      <c r="G65" s="90" t="str">
        <f>IF(F65="","",IF(MONTH(F65+1)&lt;&gt;MONTH(F65),"",F65+1))</f>
        <v/>
      </c>
      <c r="H65" s="89" t="str">
        <f>IF(G65="","",IF(MONTH(G65+1)&lt;&gt;MONTH(G65),"",G65+1))</f>
        <v/>
      </c>
      <c r="I65" s="93"/>
      <c r="J65" s="92" t="str">
        <f>IF(P63="","",IF(MONTH(P63+1)&lt;&gt;MONTH(P63),"",P63+1))</f>
        <v/>
      </c>
      <c r="K65" s="91" t="str">
        <f>IF(J65="","",IF(MONTH(J65+1)&lt;&gt;MONTH(J65),"",J65+1))</f>
        <v/>
      </c>
      <c r="L65" s="91" t="str">
        <f>IF(K65="","",IF(MONTH(K65+1)&lt;&gt;MONTH(K65),"",K65+1))</f>
        <v/>
      </c>
      <c r="M65" s="91" t="str">
        <f>IF(L65="","",IF(MONTH(L65+1)&lt;&gt;MONTH(L65),"",L65+1))</f>
        <v/>
      </c>
      <c r="N65" s="91" t="str">
        <f>IF(M65="","",IF(MONTH(M65+1)&lt;&gt;MONTH(M65),"",M65+1))</f>
        <v/>
      </c>
      <c r="O65" s="90" t="str">
        <f>IF(N65="","",IF(MONTH(N65+1)&lt;&gt;MONTH(N65),"",N65+1))</f>
        <v/>
      </c>
      <c r="P65" s="89" t="str">
        <f>IF(O65="","",IF(MONTH(O65+1)&lt;&gt;MONTH(O65),"",O65+1))</f>
        <v/>
      </c>
      <c r="Q65" s="93"/>
      <c r="R65" s="92">
        <f>IF(X63="","",IF(MONTH(X63+1)&lt;&gt;MONTH(X63),"",X63+1))</f>
        <v>43464</v>
      </c>
      <c r="S65" s="91">
        <f>IF(R65="","",IF(MONTH(R65+1)&lt;&gt;MONTH(R65),"",R65+1))</f>
        <v>43465</v>
      </c>
      <c r="T65" s="91" t="str">
        <f>IF(S65="","",IF(MONTH(S65+1)&lt;&gt;MONTH(S65),"",S65+1))</f>
        <v/>
      </c>
      <c r="U65" s="91" t="str">
        <f>IF(T65="","",IF(MONTH(T65+1)&lt;&gt;MONTH(T65),"",T65+1))</f>
        <v/>
      </c>
      <c r="V65" s="91" t="str">
        <f>IF(U65="","",IF(MONTH(U65+1)&lt;&gt;MONTH(U65),"",U65+1))</f>
        <v/>
      </c>
      <c r="W65" s="90" t="str">
        <f>IF(V65="","",IF(MONTH(V65+1)&lt;&gt;MONTH(V65),"",V65+1))</f>
        <v/>
      </c>
      <c r="X65" s="89" t="str">
        <f>IF(W65="","",IF(MONTH(W65+1)&lt;&gt;MONTH(W65),"",W65+1))</f>
        <v/>
      </c>
    </row>
    <row r="66" spans="2:24" s="83" customFormat="1" ht="45.95" customHeight="1" x14ac:dyDescent="0.2">
      <c r="B66" s="86" t="str">
        <f>IF(B65="","",IF(ngay(TEXT(B65,"d"),TEXT(B65,"m"),TEXT(B65,"yyyy"),7)=1,ngay(TEXT(B65,"d"),TEXT(B65,"m"),TEXT(B65,"yyyy"),7)&amp;"/"&amp;thang(TEXT(B65,"d"),TEXT(B65,"m"),TEXT(B65,"yyyy"),7),ngay(TEXT(B65,"d"),TEXT(B65,"m"),TEXT(B65,"yyyy"),7)))</f>
        <v/>
      </c>
      <c r="C66" s="85" t="str">
        <f>IF(C65="","",IF(ngay(TEXT(C65,"d"),TEXT(C65,"m"),TEXT(C65,"yyyy"),7)=1,ngay(TEXT(C65,"d"),TEXT(C65,"m"),TEXT(C65,"yyyy"),7)&amp;"/"&amp;thang(TEXT(C65,"d"),TEXT(C65,"m"),TEXT(C65,"yyyy"),7),ngay(TEXT(C65,"d"),TEXT(C65,"m"),TEXT(C65,"yyyy"),7)))</f>
        <v/>
      </c>
      <c r="D66" s="85" t="str">
        <f>IF(D65="","",IF(ngay(TEXT(D65,"d"),TEXT(D65,"m"),TEXT(D65,"yyyy"),7)=1,ngay(TEXT(D65,"d"),TEXT(D65,"m"),TEXT(D65,"yyyy"),7)&amp;"/"&amp;thang(TEXT(D65,"d"),TEXT(D65,"m"),TEXT(D65,"yyyy"),7),ngay(TEXT(D65,"d"),TEXT(D65,"m"),TEXT(D65,"yyyy"),7)))</f>
        <v/>
      </c>
      <c r="E66" s="85" t="str">
        <f>IF(E65="","",IF(ngay(TEXT(E65,"d"),TEXT(E65,"m"),TEXT(E65,"yyyy"),7)=1,ngay(TEXT(E65,"d"),TEXT(E65,"m"),TEXT(E65,"yyyy"),7)&amp;"/"&amp;thang(TEXT(E65,"d"),TEXT(E65,"m"),TEXT(E65,"yyyy"),7),ngay(TEXT(E65,"d"),TEXT(E65,"m"),TEXT(E65,"yyyy"),7)))</f>
        <v/>
      </c>
      <c r="F66" s="85" t="str">
        <f>IF(F65="","",IF(ngay(TEXT(F65,"d"),TEXT(F65,"m"),TEXT(F65,"yyyy"),7)=1,ngay(TEXT(F65,"d"),TEXT(F65,"m"),TEXT(F65,"yyyy"),7)&amp;"/"&amp;thang(TEXT(F65,"d"),TEXT(F65,"m"),TEXT(F65,"yyyy"),7),ngay(TEXT(F65,"d"),TEXT(F65,"m"),TEXT(F65,"yyyy"),7)))</f>
        <v/>
      </c>
      <c r="G66" s="85" t="str">
        <f>IF(G65="","",IF(ngay(TEXT(G65,"d"),TEXT(G65,"m"),TEXT(G65,"yyyy"),7)=1,ngay(TEXT(G65,"d"),TEXT(G65,"m"),TEXT(G65,"yyyy"),7)&amp;"/"&amp;thang(TEXT(G65,"d"),TEXT(G65,"m"),TEXT(G65,"yyyy"),7),ngay(TEXT(G65,"d"),TEXT(G65,"m"),TEXT(G65,"yyyy"),7)))</f>
        <v/>
      </c>
      <c r="H66" s="84" t="str">
        <f>IF(H65="","",IF(ngay(TEXT(H65,"d"),TEXT(H65,"m"),TEXT(H65,"yyyy"),7)=1,ngay(TEXT(H65,"d"),TEXT(H65,"m"),TEXT(H65,"yyyy"),7)&amp;"/"&amp;thang(TEXT(H65,"d"),TEXT(H65,"m"),TEXT(H65,"yyyy"),7),ngay(TEXT(H65,"d"),TEXT(H65,"m"),TEXT(H65,"yyyy"),7)))</f>
        <v/>
      </c>
      <c r="I66" s="87"/>
      <c r="J66" s="86" t="str">
        <f>IF(J65="","",IF(ngay(TEXT(J65,"d"),TEXT(J65,"m"),TEXT(J65,"yyyy"),7)=1,ngay(TEXT(J65,"d"),TEXT(J65,"m"),TEXT(J65,"yyyy"),7)&amp;"/"&amp;thang(TEXT(J65,"d"),TEXT(J65,"m"),TEXT(J65,"yyyy"),7),ngay(TEXT(J65,"d"),TEXT(J65,"m"),TEXT(J65,"yyyy"),7)))</f>
        <v/>
      </c>
      <c r="K66" s="85" t="str">
        <f>IF(K65="","",IF(ngay(TEXT(K65,"d"),TEXT(K65,"m"),TEXT(K65,"yyyy"),7)=1,ngay(TEXT(K65,"d"),TEXT(K65,"m"),TEXT(K65,"yyyy"),7)&amp;"/"&amp;thang(TEXT(K65,"d"),TEXT(K65,"m"),TEXT(K65,"yyyy"),7),ngay(TEXT(K65,"d"),TEXT(K65,"m"),TEXT(K65,"yyyy"),7)))</f>
        <v/>
      </c>
      <c r="L66" s="85" t="str">
        <f>IF(L65="","",IF(ngay(TEXT(L65,"d"),TEXT(L65,"m"),TEXT(L65,"yyyy"),7)=1,ngay(TEXT(L65,"d"),TEXT(L65,"m"),TEXT(L65,"yyyy"),7)&amp;"/"&amp;thang(TEXT(L65,"d"),TEXT(L65,"m"),TEXT(L65,"yyyy"),7),ngay(TEXT(L65,"d"),TEXT(L65,"m"),TEXT(L65,"yyyy"),7)))</f>
        <v/>
      </c>
      <c r="M66" s="85" t="str">
        <f>IF(M65="","",IF(ngay(TEXT(M65,"d"),TEXT(M65,"m"),TEXT(M65,"yyyy"),7)=1,ngay(TEXT(M65,"d"),TEXT(M65,"m"),TEXT(M65,"yyyy"),7)&amp;"/"&amp;thang(TEXT(M65,"d"),TEXT(M65,"m"),TEXT(M65,"yyyy"),7),ngay(TEXT(M65,"d"),TEXT(M65,"m"),TEXT(M65,"yyyy"),7)))</f>
        <v/>
      </c>
      <c r="N66" s="85" t="str">
        <f>IF(N65="","",IF(ngay(TEXT(N65,"d"),TEXT(N65,"m"),TEXT(N65,"yyyy"),7)=1,ngay(TEXT(N65,"d"),TEXT(N65,"m"),TEXT(N65,"yyyy"),7)&amp;"/"&amp;thang(TEXT(N65,"d"),TEXT(N65,"m"),TEXT(N65,"yyyy"),7),ngay(TEXT(N65,"d"),TEXT(N65,"m"),TEXT(N65,"yyyy"),7)))</f>
        <v/>
      </c>
      <c r="O66" s="85" t="str">
        <f>IF(O65="","",IF(ngay(TEXT(O65,"d"),TEXT(O65,"m"),TEXT(O65,"yyyy"),7)=1,ngay(TEXT(O65,"d"),TEXT(O65,"m"),TEXT(O65,"yyyy"),7)&amp;"/"&amp;thang(TEXT(O65,"d"),TEXT(O65,"m"),TEXT(O65,"yyyy"),7),ngay(TEXT(O65,"d"),TEXT(O65,"m"),TEXT(O65,"yyyy"),7)))</f>
        <v/>
      </c>
      <c r="P66" s="84" t="str">
        <f>IF(P65="","",IF(ngay(TEXT(P65,"d"),TEXT(P65,"m"),TEXT(P65,"yyyy"),7)=1,ngay(TEXT(P65,"d"),TEXT(P65,"m"),TEXT(P65,"yyyy"),7)&amp;"/"&amp;thang(TEXT(P65,"d"),TEXT(P65,"m"),TEXT(P65,"yyyy"),7),ngay(TEXT(P65,"d"),TEXT(P65,"m"),TEXT(P65,"yyyy"),7)))</f>
        <v/>
      </c>
      <c r="Q66" s="87"/>
      <c r="R66" s="86">
        <f>IF(R65="","",IF(ngay(TEXT(R65,"d"),TEXT(R65,"m"),TEXT(R65,"yyyy"),7)=1,ngay(TEXT(R65,"d"),TEXT(R65,"m"),TEXT(R65,"yyyy"),7)&amp;"/"&amp;thang(TEXT(R65,"d"),TEXT(R65,"m"),TEXT(R65,"yyyy"),7),ngay(TEXT(R65,"d"),TEXT(R65,"m"),TEXT(R65,"yyyy"),7)))</f>
        <v>24</v>
      </c>
      <c r="S66" s="85">
        <f>IF(S65="","",IF(ngay(TEXT(S65,"d"),TEXT(S65,"m"),TEXT(S65,"yyyy"),7)=1,ngay(TEXT(S65,"d"),TEXT(S65,"m"),TEXT(S65,"yyyy"),7)&amp;"/"&amp;thang(TEXT(S65,"d"),TEXT(S65,"m"),TEXT(S65,"yyyy"),7),ngay(TEXT(S65,"d"),TEXT(S65,"m"),TEXT(S65,"yyyy"),7)))</f>
        <v>25</v>
      </c>
      <c r="T66" s="85" t="str">
        <f>IF(T65="","",IF(ngay(TEXT(T65,"d"),TEXT(T65,"m"),TEXT(T65,"yyyy"),7)=1,ngay(TEXT(T65,"d"),TEXT(T65,"m"),TEXT(T65,"yyyy"),7)&amp;"/"&amp;thang(TEXT(T65,"d"),TEXT(T65,"m"),TEXT(T65,"yyyy"),7),ngay(TEXT(T65,"d"),TEXT(T65,"m"),TEXT(T65,"yyyy"),7)))</f>
        <v/>
      </c>
      <c r="U66" s="85" t="str">
        <f>IF(U65="","",IF(ngay(TEXT(U65,"d"),TEXT(U65,"m"),TEXT(U65,"yyyy"),7)=1,ngay(TEXT(U65,"d"),TEXT(U65,"m"),TEXT(U65,"yyyy"),7)&amp;"/"&amp;thang(TEXT(U65,"d"),TEXT(U65,"m"),TEXT(U65,"yyyy"),7),ngay(TEXT(U65,"d"),TEXT(U65,"m"),TEXT(U65,"yyyy"),7)))</f>
        <v/>
      </c>
      <c r="V66" s="85" t="str">
        <f>IF(V65="","",IF(ngay(TEXT(V65,"d"),TEXT(V65,"m"),TEXT(V65,"yyyy"),7)=1,ngay(TEXT(V65,"d"),TEXT(V65,"m"),TEXT(V65,"yyyy"),7)&amp;"/"&amp;thang(TEXT(V65,"d"),TEXT(V65,"m"),TEXT(V65,"yyyy"),7),ngay(TEXT(V65,"d"),TEXT(V65,"m"),TEXT(V65,"yyyy"),7)))</f>
        <v/>
      </c>
      <c r="W66" s="85" t="str">
        <f>IF(W65="","",IF(ngay(TEXT(W65,"d"),TEXT(W65,"m"),TEXT(W65,"yyyy"),7)=1,ngay(TEXT(W65,"d"),TEXT(W65,"m"),TEXT(W65,"yyyy"),7)&amp;"/"&amp;thang(TEXT(W65,"d"),TEXT(W65,"m"),TEXT(W65,"yyyy"),7),ngay(TEXT(W65,"d"),TEXT(W65,"m"),TEXT(W65,"yyyy"),7)))</f>
        <v/>
      </c>
      <c r="X66" s="84" t="str">
        <f>IF(X65="","",IF(ngay(TEXT(X65,"d"),TEXT(X65,"m"),TEXT(X65,"yyyy"),7)=1,ngay(TEXT(X65,"d"),TEXT(X65,"m"),TEXT(X65,"yyyy"),7)&amp;"/"&amp;thang(TEXT(X65,"d"),TEXT(X65,"m"),TEXT(X65,"yyyy"),7),ngay(TEXT(X65,"d"),TEXT(X65,"m"),TEXT(X65,"yyyy"),7)))</f>
        <v/>
      </c>
    </row>
    <row r="67" spans="2:24" ht="12.75" x14ac:dyDescent="0.2"/>
  </sheetData>
  <mergeCells count="20">
    <mergeCell ref="J1:P1"/>
    <mergeCell ref="V1:X1"/>
    <mergeCell ref="D3:F3"/>
    <mergeCell ref="J3:K3"/>
    <mergeCell ref="O3:P3"/>
    <mergeCell ref="V3:X3"/>
    <mergeCell ref="B5:X5"/>
    <mergeCell ref="B6:X6"/>
    <mergeCell ref="B8:H8"/>
    <mergeCell ref="J8:P8"/>
    <mergeCell ref="R8:X8"/>
    <mergeCell ref="B23:H23"/>
    <mergeCell ref="J23:P23"/>
    <mergeCell ref="R23:X23"/>
    <mergeCell ref="B38:H38"/>
    <mergeCell ref="J38:P38"/>
    <mergeCell ref="R38:X38"/>
    <mergeCell ref="B53:H53"/>
    <mergeCell ref="J53:P53"/>
    <mergeCell ref="R53:X53"/>
  </mergeCells>
  <conditionalFormatting sqref="B8 J8 R8 B23 J23 R23 B38 J38 R38 B53 J53 R53">
    <cfRule type="expression" dxfId="3" priority="1">
      <formula>$J$3=1</formula>
    </cfRule>
  </conditionalFormatting>
  <conditionalFormatting sqref="B10:H21 B55:H66 J55:P66 R55:X66 J10:P21 R10:X21 B25:H36 J25:P36 R25:X36 B40:H51 J40:P51 R40:X51">
    <cfRule type="cellIs" dxfId="2" priority="2" operator="equal">
      <formula>""</formula>
    </cfRule>
  </conditionalFormatting>
  <hyperlinks>
    <hyperlink ref="V3" r:id="rId1"/>
  </hyperlinks>
  <printOptions horizontalCentered="1"/>
  <pageMargins left="0.1" right="0.1" top="0.15" bottom="0.15" header="0" footer="0"/>
  <pageSetup scale="44" fitToHeight="2" orientation="landscape" r:id="rId2"/>
  <headerFooter>
    <oddFooter>&amp;Chttps://www.dantaichinh.com</oddFooter>
  </headerFooter>
  <rowBreaks count="1" manualBreakCount="1">
    <brk id="36" min="1" max="23" man="1"/>
  </rowBreaks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2017</vt:lpstr>
      <vt:lpstr>2018</vt:lpstr>
      <vt:lpstr>'2017'!Print_Area</vt:lpstr>
      <vt:lpstr>'2018'!Print_Area</vt:lpstr>
      <vt:lpstr>'2017'!Print_Titles</vt:lpstr>
      <vt:lpstr>'2018'!Print_Titles</vt:lpstr>
    </vt:vector>
  </TitlesOfParts>
  <Company>Vertex42.com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Yearly Calendar Template - Portrait</dc:title>
  <dc:creator>Jon Wittwer</dc:creator>
  <dc:description>(c) 2013-2014 Vertex42 LLC. All rights reserved. Free to Print.</dc:description>
  <cp:lastModifiedBy>WIN</cp:lastModifiedBy>
  <cp:lastPrinted>2017-04-14T03:07:14Z</cp:lastPrinted>
  <dcterms:created xsi:type="dcterms:W3CDTF">2008-12-11T21:42:43Z</dcterms:created>
  <dcterms:modified xsi:type="dcterms:W3CDTF">2017-07-11T09:31:49Z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(c) 2013-2014 Vertex42 LLC</vt:lpwstr>
  </property>
  <property fmtid="{D5CDD505-2E9C-101B-9397-08002B2CF9AE}" pid="3" name="Version">
    <vt:lpwstr>1.1.1</vt:lpwstr>
  </property>
  <property fmtid="{D5CDD505-2E9C-101B-9397-08002B2CF9AE}" pid="4" name="SV_QUERY_LIST_4F35BF76-6C0D-4D9B-82B2-816C12CF3733">
    <vt:lpwstr>empty_477D106A-C0D6-4607-AEBD-E2C9D60EA279</vt:lpwstr>
  </property>
</Properties>
</file>