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1" activeTab="16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  <sheet name="TOEIC AK9" sheetId="32" r:id="rId16"/>
    <sheet name="TOEIC BK7" sheetId="33" r:id="rId17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<sst xmlns="http://schemas.openxmlformats.org/spreadsheetml/2006/main" count="2373" uniqueCount="521">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</sst>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7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0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9" fillId="0" borderId="1" xfId="0" applyFont="1" applyBorder="1" applyAlignment="1">
      <alignment horizontal="center"/>
    </xf>
    <xf numFmtId="0" fontId="9" fillId="5" borderId="1" xfId="4" applyFont="1" applyBorder="1" applyAlignment="1">
      <alignment horizontal="left"/>
    </xf>
    <xf numFmtId="49" fontId="9" fillId="16" borderId="1" xfId="0" applyNumberFormat="1" applyFont="1" applyFill="1" applyBorder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Border="1"/>
    <xf numFmtId="0" fontId="9" fillId="0" borderId="1" xfId="0" applyFont="1" applyBorder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9" fillId="0" borderId="1" xfId="0" applyNumberFormat="1" applyFont="1" applyBorder="1" applyAlignment="1"/>
    <xf numFmtId="49" fontId="2" fillId="17" borderId="1" xfId="0" applyNumberFormat="1" applyFont="1" applyFill="1" applyBorder="1" applyAlignment="1">
      <alignment horizontal="left"/>
    </xf>
    <xf numFmtId="0" fontId="9" fillId="18" borderId="5" xfId="0" applyFont="1" applyFill="1" applyBorder="1" applyAlignment="1">
      <alignment horizontal="center"/>
    </xf>
    <xf numFmtId="0" fontId="9" fillId="18" borderId="5" xfId="0" applyFont="1" applyFill="1" applyBorder="1"/>
    <xf numFmtId="14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 applyAlignment="1"/>
    <xf numFmtId="49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/>
    <xf numFmtId="0" fontId="9" fillId="18" borderId="5" xfId="0" applyFont="1" applyFill="1" applyBorder="1" applyAlignment="1">
      <alignment horizontal="left"/>
    </xf>
    <xf numFmtId="0" fontId="9" fillId="18" borderId="0" xfId="0" applyFont="1" applyFill="1"/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/>
    <xf numFmtId="49" fontId="0" fillId="0" borderId="1" xfId="0" applyNumberFormat="1" applyFont="1" applyFill="1" applyBorder="1" applyAlignment="1">
      <alignment horizontal="left"/>
    </xf>
    <xf numFmtId="49" fontId="0" fillId="0" borderId="1" xfId="0" applyNumberFormat="1" applyFont="1" applyFill="1" applyBorder="1"/>
    <xf numFmtId="0" fontId="0" fillId="0" borderId="1" xfId="0" applyFont="1" applyFill="1" applyBorder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0" fontId="25" fillId="17" borderId="1" xfId="0" applyFont="1" applyFill="1" applyBorder="1" applyAlignment="1">
      <alignment horizontal="center"/>
    </xf>
    <xf numFmtId="49" fontId="25" fillId="17" borderId="1" xfId="0" applyNumberFormat="1" applyFont="1" applyFill="1" applyBorder="1" applyAlignment="1">
      <alignment horizontal="center"/>
    </xf>
    <xf numFmtId="0" fontId="0" fillId="4" borderId="1" xfId="3" applyFont="1" applyBorder="1" applyAlignment="1">
      <alignment horizontal="center"/>
    </xf>
    <xf numFmtId="0" fontId="0" fillId="5" borderId="1" xfId="4" applyFont="1" applyBorder="1" applyAlignment="1">
      <alignment horizontal="center"/>
    </xf>
    <xf numFmtId="0" fontId="6" fillId="6" borderId="1" xfId="5" applyFont="1" applyBorder="1" applyAlignment="1">
      <alignment horizontal="center"/>
    </xf>
    <xf numFmtId="0" fontId="0" fillId="3" borderId="1" xfId="2" applyFont="1" applyBorder="1" applyAlignment="1">
      <alignment horizontal="center"/>
    </xf>
    <xf numFmtId="0" fontId="0" fillId="9" borderId="1" xfId="8" applyFont="1" applyBorder="1" applyAlignment="1">
      <alignment horizontal="center"/>
    </xf>
    <xf numFmtId="0" fontId="0" fillId="10" borderId="1" xfId="9" applyFont="1" applyBorder="1" applyAlignment="1">
      <alignment horizontal="center"/>
    </xf>
    <xf numFmtId="0" fontId="6" fillId="11" borderId="1" xfId="10" applyFont="1" applyBorder="1" applyAlignment="1">
      <alignment horizontal="center"/>
    </xf>
    <xf numFmtId="49" fontId="25" fillId="17" borderId="2" xfId="0" applyNumberFormat="1" applyFont="1" applyFill="1" applyBorder="1" applyAlignment="1">
      <alignment horizontal="left"/>
    </xf>
    <xf numFmtId="49" fontId="25" fillId="17" borderId="4" xfId="0" applyNumberFormat="1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14" fontId="0" fillId="0" borderId="0" xfId="0" applyNumberFormat="1" applyFont="1" applyAlignment="1">
      <alignment horizontal="left"/>
    </xf>
    <xf numFmtId="49" fontId="26" fillId="0" borderId="0" xfId="0" applyNumberFormat="1" applyFont="1" applyBorder="1"/>
    <xf numFmtId="49" fontId="0" fillId="0" borderId="0" xfId="0" applyNumberFormat="1" applyFont="1"/>
    <xf numFmtId="49" fontId="0" fillId="0" borderId="0" xfId="0" applyNumberFormat="1"/>
    <xf numFmtId="0" fontId="1" fillId="0" borderId="1" xfId="0" applyFont="1" applyBorder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49" fontId="0" fillId="0" borderId="0" xfId="0" applyNumberFormat="1" applyFont="1" applyFill="1" applyAlignment="1">
      <alignment horizontal="left"/>
    </xf>
    <xf numFmtId="49" fontId="0" fillId="0" borderId="0" xfId="0" applyNumberFormat="1" applyFont="1" applyFill="1"/>
    <xf numFmtId="49" fontId="0" fillId="0" borderId="0" xfId="0" applyNumberFormat="1" applyFont="1" applyFill="1" applyAlignment="1">
      <alignment horizontal="center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6" fillId="8" borderId="1" xfId="7" applyFont="1" applyBorder="1" applyAlignment="1">
      <alignment horizontal="center" vertical="center" wrapText="1"/>
    </xf>
    <xf numFmtId="0" fontId="6" fillId="8" borderId="1" xfId="7" applyFont="1" applyBorder="1" applyAlignment="1">
      <alignment horizontal="center" vertical="center"/>
    </xf>
    <xf numFmtId="0" fontId="5" fillId="2" borderId="1" xfId="1" applyFont="1" applyBorder="1" applyAlignment="1">
      <alignment horizontal="center"/>
    </xf>
    <xf numFmtId="0" fontId="6" fillId="7" borderId="1" xfId="6" applyFont="1" applyBorder="1" applyAlignment="1">
      <alignment horizontal="center"/>
    </xf>
    <xf numFmtId="0" fontId="0" fillId="0" borderId="1" xfId="0" applyBorder="1" applyAlignment="1">
      <alignment horizontal="left"/>
    </xf>
    <xf numFmtId="49" fontId="0" fillId="0" borderId="1" xfId="0" applyNumberFormat="1" applyBorder="1" applyAlignment="1">
      <alignment horizontal="center"/>
    </xf>
    <xf numFmtId="0" fontId="2" fillId="0" borderId="1" xfId="0" applyFont="1" applyBorder="1"/>
    <xf numFmtId="0" fontId="1" fillId="0" borderId="1" xfId="0" applyFont="1" applyBorder="1" applyAlignment="1">
      <alignment horizontal="left"/>
    </xf>
    <xf numFmtId="49" fontId="1" fillId="0" borderId="1" xfId="0" applyNumberFormat="1" applyFont="1" applyBorder="1" applyAlignment="1">
      <alignment horizontal="left"/>
    </xf>
    <xf numFmtId="49" fontId="0" fillId="0" borderId="1" xfId="0" applyNumberFormat="1" applyBorder="1"/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7"/>
  <sheetViews>
    <sheetView workbookViewId="0">
      <selection activeCell="J5" sqref="J5"/>
    </sheetView>
  </sheetViews>
  <sheetFormatPr defaultRowHeight="15.75" x14ac:dyDescent="0.25"/>
  <cols>
    <col min="1" max="1" width="5.7109375" style="52" customWidth="1"/>
    <col min="2" max="2" width="24.140625" style="17" customWidth="1"/>
    <col min="3" max="3" width="16.7109375" style="17" customWidth="1"/>
    <col min="4" max="4" width="17.7109375" style="17" customWidth="1"/>
    <col min="5" max="5" width="36.140625" style="17" customWidth="1"/>
    <col min="6" max="6" width="19.140625" style="17" customWidth="1"/>
    <col min="7" max="7" width="30.5703125" style="17" customWidth="1"/>
    <col min="8" max="8" width="22.28515625" style="195" customWidth="1"/>
    <col min="9" max="9" width="22.5703125" style="17" customWidth="1"/>
    <col min="10" max="10" width="19.7109375" style="17" customWidth="1"/>
    <col min="11" max="16384" width="9.140625" style="17"/>
  </cols>
  <sheetData>
    <row r="1" spans="1:12" x14ac:dyDescent="0.25">
      <c r="A1" s="125" t="s">
        <v>6</v>
      </c>
      <c r="B1" s="123" t="s">
        <v>5</v>
      </c>
      <c r="C1" s="123" t="s">
        <v>139</v>
      </c>
      <c r="D1" s="123" t="s">
        <v>140</v>
      </c>
      <c r="E1" s="123" t="s">
        <v>117</v>
      </c>
      <c r="F1" s="123" t="s">
        <v>141</v>
      </c>
      <c r="G1" s="123" t="s">
        <v>146</v>
      </c>
      <c r="H1" s="193" t="s">
        <v>142</v>
      </c>
      <c r="I1" s="123" t="s">
        <v>144</v>
      </c>
      <c r="J1" s="123" t="s">
        <v>208</v>
      </c>
    </row>
    <row r="2" spans="1:12" x14ac:dyDescent="0.25">
      <c r="A2" s="192">
        <v>1</v>
      </c>
      <c r="B2" s="124" t="s">
        <v>108</v>
      </c>
      <c r="C2" s="124" t="s">
        <v>109</v>
      </c>
      <c r="D2" s="124" t="s">
        <v>110</v>
      </c>
      <c r="E2" s="124" t="s">
        <v>120</v>
      </c>
      <c r="F2" s="18" t="s">
        <v>79</v>
      </c>
      <c r="G2" s="18" t="s">
        <v>149</v>
      </c>
      <c r="H2" s="130" t="s">
        <v>143</v>
      </c>
      <c r="I2" s="18" t="s">
        <v>297</v>
      </c>
      <c r="J2" s="18"/>
    </row>
    <row r="3" spans="1:12" s="134" customFormat="1" ht="21" customHeight="1" x14ac:dyDescent="0.25">
      <c r="A3" s="131">
        <v>2</v>
      </c>
      <c r="B3" s="132" t="s">
        <v>63</v>
      </c>
      <c r="C3" s="133" t="s">
        <v>85</v>
      </c>
      <c r="D3" s="133" t="s">
        <v>86</v>
      </c>
      <c r="E3" s="133" t="s">
        <v>125</v>
      </c>
      <c r="F3" s="133" t="s">
        <v>89</v>
      </c>
      <c r="G3" s="133" t="s">
        <v>154</v>
      </c>
      <c r="H3" s="194" t="s">
        <v>171</v>
      </c>
      <c r="I3" s="133" t="s">
        <v>299</v>
      </c>
      <c r="J3" s="132" t="s">
        <v>209</v>
      </c>
    </row>
    <row r="4" spans="1:12" s="213" customFormat="1" x14ac:dyDescent="0.25">
      <c r="A4" s="206">
        <v>3</v>
      </c>
      <c r="B4" s="207" t="s">
        <v>225</v>
      </c>
      <c r="C4" s="208">
        <v>35560</v>
      </c>
      <c r="D4" s="209" t="s">
        <v>262</v>
      </c>
      <c r="E4" s="210" t="s">
        <v>261</v>
      </c>
      <c r="F4" s="210" t="s">
        <v>69</v>
      </c>
      <c r="G4" s="211" t="s">
        <v>174</v>
      </c>
      <c r="H4" s="212" t="s">
        <v>292</v>
      </c>
      <c r="I4" s="207" t="s">
        <v>293</v>
      </c>
      <c r="J4" s="207" t="s">
        <v>496</v>
      </c>
    </row>
    <row r="5" spans="1:12" s="127" customFormat="1" x14ac:dyDescent="0.25">
      <c r="A5" s="126">
        <v>4</v>
      </c>
      <c r="B5" s="127" t="s">
        <v>195</v>
      </c>
      <c r="F5" s="127" t="s">
        <v>294</v>
      </c>
      <c r="G5" s="127" t="s">
        <v>176</v>
      </c>
      <c r="H5" s="128" t="s">
        <v>296</v>
      </c>
      <c r="I5" s="128" t="s">
        <v>295</v>
      </c>
      <c r="K5" s="196"/>
      <c r="L5" s="196"/>
    </row>
    <row r="6" spans="1:12" s="18" customFormat="1" x14ac:dyDescent="0.25">
      <c r="A6" s="197">
        <v>5</v>
      </c>
      <c r="B6" s="18" t="s">
        <v>210</v>
      </c>
      <c r="C6" s="130" t="s">
        <v>287</v>
      </c>
      <c r="D6" s="204" t="s">
        <v>288</v>
      </c>
      <c r="E6" s="18" t="s">
        <v>289</v>
      </c>
      <c r="G6" s="18" t="s">
        <v>300</v>
      </c>
      <c r="H6" s="130" t="s">
        <v>292</v>
      </c>
      <c r="I6" s="18" t="s">
        <v>298</v>
      </c>
    </row>
    <row r="7" spans="1:12" s="222" customFormat="1" ht="15" x14ac:dyDescent="0.25">
      <c r="A7" s="221">
        <v>1</v>
      </c>
      <c r="B7" s="222" t="s">
        <v>188</v>
      </c>
      <c r="C7" s="223" t="s">
        <v>256</v>
      </c>
      <c r="D7" s="224" t="s">
        <v>189</v>
      </c>
      <c r="E7" s="224" t="s">
        <v>257</v>
      </c>
      <c r="F7" s="223" t="s">
        <v>89</v>
      </c>
      <c r="G7" s="222" t="s">
        <v>493</v>
      </c>
      <c r="H7" s="225" t="s">
        <v>494</v>
      </c>
      <c r="I7" s="222" t="s">
        <v>495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262" t="s">
        <v>165</v>
      </c>
      <c r="B2" s="262"/>
      <c r="C2" s="262"/>
      <c r="D2" s="262"/>
      <c r="E2" s="262"/>
      <c r="F2" s="262"/>
      <c r="G2" s="38"/>
    </row>
    <row r="3" spans="1:8" x14ac:dyDescent="0.25">
      <c r="B3" s="69" t="s">
        <v>166</v>
      </c>
      <c r="C3" s="70">
        <f ca="1">MONTH(TODAY())</f>
        <v>3</v>
      </c>
      <c r="D3" s="80"/>
      <c r="E3" s="67" t="s">
        <v>167</v>
      </c>
      <c r="G3" t="s">
        <v>227</v>
      </c>
      <c r="H3" s="71">
        <f ca="1">TODAY()</f>
        <v>43162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/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43262</v>
      </c>
      <c r="F8" s="39" t="str">
        <f t="shared" ca="1" si="1"/>
        <v/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43216</v>
      </c>
      <c r="F10" s="39" t="str">
        <f t="shared" ca="1" si="1"/>
        <v/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43257</v>
      </c>
      <c r="F11" s="39" t="str">
        <f t="shared" ca="1" si="1"/>
        <v/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43449</v>
      </c>
      <c r="F15" s="93" t="str">
        <f t="shared" ca="1" si="1"/>
        <v/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43132</v>
      </c>
      <c r="F16" s="88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43138</v>
      </c>
      <c r="F17" s="39" t="str">
        <f t="shared" ca="1" si="1"/>
        <v>Đã xong</v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43283</v>
      </c>
      <c r="F21" s="39" t="str">
        <f t="shared" ca="1" si="1"/>
        <v/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43201</v>
      </c>
      <c r="F22" s="93" t="str">
        <f t="shared" ca="1" si="1"/>
        <v/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43411</v>
      </c>
      <c r="F23" s="88" t="str">
        <f t="shared" ca="1" si="1"/>
        <v/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43107</v>
      </c>
      <c r="F24" s="39" t="str">
        <f t="shared" ca="1" si="1"/>
        <v>Đã xong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43377</v>
      </c>
      <c r="F27" s="39" t="str">
        <f t="shared" ca="1" si="1"/>
        <v/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43365</v>
      </c>
      <c r="F28" s="39" t="str">
        <f t="shared" ca="1" si="1"/>
        <v/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43252</v>
      </c>
      <c r="F29" s="39" t="str">
        <f t="shared" ca="1" si="1"/>
        <v/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43388</v>
      </c>
      <c r="F30" s="39" t="str">
        <f t="shared" ca="1" si="1"/>
        <v/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43156</v>
      </c>
      <c r="F31" s="39" t="str">
        <f t="shared" ca="1" si="1"/>
        <v>Đã xong</v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43200</v>
      </c>
      <c r="F32" s="39" t="str">
        <f t="shared" ca="1" si="1"/>
        <v/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43188</v>
      </c>
      <c r="F33" s="39" t="str">
        <f t="shared" ca="1" si="1"/>
        <v>Trong tháng có SN</v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43418</v>
      </c>
      <c r="F34" s="39" t="str">
        <f t="shared" ca="1" si="1"/>
        <v/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43125</v>
      </c>
      <c r="F35" s="39" t="str">
        <f t="shared" ca="1" si="1"/>
        <v>Đã xong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43390</v>
      </c>
      <c r="F36" s="39" t="str">
        <f t="shared" ca="1" si="1"/>
        <v/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43307</v>
      </c>
      <c r="F37" s="39" t="str">
        <f t="shared" ca="1" si="1"/>
        <v/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43378</v>
      </c>
      <c r="F38" s="39" t="str">
        <f t="shared" ca="1" si="1"/>
        <v/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43421</v>
      </c>
      <c r="F39" s="39" t="str">
        <f t="shared" ca="1" si="1"/>
        <v/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43347</v>
      </c>
      <c r="F40" s="39" t="str">
        <f t="shared" ca="1" si="1"/>
        <v/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43435</v>
      </c>
      <c r="F41" s="93" t="str">
        <f t="shared" ca="1" si="1"/>
        <v/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43237</v>
      </c>
      <c r="F44" s="39" t="str">
        <f t="shared" ca="1" si="1"/>
        <v/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43353</v>
      </c>
      <c r="F45" s="39" t="str">
        <f t="shared" ca="1" si="1"/>
        <v/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43242</v>
      </c>
      <c r="F46" s="39" t="str">
        <f t="shared" ca="1" si="1"/>
        <v/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43181</v>
      </c>
      <c r="F47" s="39" t="str">
        <f t="shared" ca="1" si="1"/>
        <v>Trong tháng có SN</v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43364</v>
      </c>
      <c r="F48" s="39" t="str">
        <f t="shared" ca="1" si="1"/>
        <v/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5" customWidth="1"/>
  </cols>
  <sheetData>
    <row r="1" spans="1:21" ht="26.25" x14ac:dyDescent="0.4">
      <c r="B1" s="5" t="s">
        <v>51</v>
      </c>
    </row>
    <row r="2" spans="1:21" ht="15.75" x14ac:dyDescent="0.25">
      <c r="J2" s="264" t="s">
        <v>7</v>
      </c>
      <c r="K2" s="264"/>
      <c r="L2" s="264"/>
      <c r="M2" s="264"/>
      <c r="N2" s="265" t="s">
        <v>8</v>
      </c>
      <c r="O2" s="265"/>
      <c r="P2" s="265"/>
      <c r="Q2" s="266" t="s">
        <v>9</v>
      </c>
      <c r="R2" s="266" t="s">
        <v>10</v>
      </c>
      <c r="S2" s="266" t="s">
        <v>11</v>
      </c>
      <c r="T2" s="266" t="s">
        <v>12</v>
      </c>
      <c r="U2" s="263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66"/>
      <c r="R3" s="266"/>
      <c r="S3" s="266"/>
      <c r="T3" s="266"/>
      <c r="U3" s="263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86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86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86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86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86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86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86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74" t="s">
        <v>6</v>
      </c>
      <c r="B3" s="274" t="s">
        <v>5</v>
      </c>
      <c r="C3" s="24"/>
      <c r="D3" s="24"/>
      <c r="E3" s="24"/>
      <c r="F3" s="24"/>
      <c r="G3" s="276"/>
      <c r="H3" s="276"/>
      <c r="I3" s="276"/>
      <c r="J3" s="273"/>
      <c r="K3" s="268"/>
      <c r="L3" s="269"/>
      <c r="M3" s="273"/>
      <c r="N3" s="268"/>
      <c r="O3" s="269"/>
      <c r="P3" s="273"/>
      <c r="Q3" s="268"/>
      <c r="R3" s="269"/>
      <c r="S3" s="273"/>
      <c r="T3" s="268"/>
      <c r="U3" s="269"/>
      <c r="V3" s="273"/>
      <c r="W3" s="268"/>
      <c r="X3" s="269"/>
      <c r="Y3" s="273"/>
      <c r="Z3" s="268"/>
      <c r="AA3" s="269"/>
      <c r="AB3" s="273"/>
      <c r="AC3" s="268"/>
      <c r="AD3" s="269"/>
      <c r="AE3" s="273"/>
      <c r="AF3" s="268"/>
      <c r="AG3" s="269"/>
      <c r="AH3" s="273"/>
      <c r="AI3" s="268"/>
      <c r="AJ3" s="269"/>
      <c r="AK3" s="273"/>
      <c r="AL3" s="268"/>
      <c r="AM3" s="269"/>
      <c r="AN3" s="273"/>
      <c r="AO3" s="268"/>
      <c r="AP3" s="269"/>
      <c r="AQ3" s="273"/>
      <c r="AR3" s="268"/>
      <c r="AS3" s="269"/>
      <c r="AT3" s="273"/>
      <c r="AU3" s="268"/>
      <c r="AV3" s="269"/>
      <c r="AW3" s="273"/>
      <c r="AX3" s="268"/>
      <c r="AY3" s="269"/>
      <c r="AZ3" s="273"/>
      <c r="BA3" s="268"/>
      <c r="BB3" s="269"/>
      <c r="BC3" s="270" t="s">
        <v>116</v>
      </c>
      <c r="BD3" s="271"/>
      <c r="BE3" s="272"/>
      <c r="BF3" s="267">
        <v>42930</v>
      </c>
      <c r="BG3" s="268"/>
      <c r="BH3" s="269"/>
      <c r="BI3" s="273" t="s">
        <v>147</v>
      </c>
      <c r="BJ3" s="268"/>
      <c r="BK3" s="269"/>
      <c r="BL3" s="273" t="s">
        <v>148</v>
      </c>
      <c r="BM3" s="268"/>
      <c r="BN3" s="269"/>
      <c r="BO3" s="273" t="s">
        <v>170</v>
      </c>
      <c r="BP3" s="268"/>
      <c r="BQ3" s="269"/>
      <c r="BR3" s="267">
        <v>42940</v>
      </c>
      <c r="BS3" s="268"/>
      <c r="BT3" s="269"/>
      <c r="BU3" s="267">
        <v>42942</v>
      </c>
      <c r="BV3" s="268"/>
      <c r="BW3" s="269"/>
      <c r="BX3" s="267">
        <v>42944</v>
      </c>
      <c r="BY3" s="268"/>
      <c r="BZ3" s="269"/>
      <c r="CA3" s="267">
        <v>42947</v>
      </c>
      <c r="CB3" s="268"/>
      <c r="CC3" s="269"/>
      <c r="CD3" s="26"/>
    </row>
    <row r="4" spans="1:82" s="17" customFormat="1" ht="21" customHeight="1" x14ac:dyDescent="0.25">
      <c r="A4" s="275"/>
      <c r="B4" s="275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5" customWidth="1"/>
  </cols>
  <sheetData>
    <row r="1" spans="1:21" ht="26.25" x14ac:dyDescent="0.4">
      <c r="B1" s="5" t="s">
        <v>326</v>
      </c>
    </row>
    <row r="2" spans="1:21" ht="15.75" x14ac:dyDescent="0.25">
      <c r="J2" s="264" t="s">
        <v>7</v>
      </c>
      <c r="K2" s="264"/>
      <c r="L2" s="264"/>
      <c r="M2" s="264"/>
      <c r="N2" s="265" t="s">
        <v>8</v>
      </c>
      <c r="O2" s="265"/>
      <c r="P2" s="265"/>
      <c r="Q2" s="266" t="s">
        <v>9</v>
      </c>
      <c r="R2" s="266" t="s">
        <v>10</v>
      </c>
      <c r="S2" s="266" t="s">
        <v>11</v>
      </c>
      <c r="T2" s="266" t="s">
        <v>12</v>
      </c>
      <c r="U2" s="263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66"/>
      <c r="R3" s="266"/>
      <c r="S3" s="266"/>
      <c r="T3" s="266"/>
      <c r="U3" s="263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86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86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86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86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86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86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86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74" t="s">
        <v>6</v>
      </c>
      <c r="B3" s="274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76" t="s">
        <v>31</v>
      </c>
      <c r="H3" s="276"/>
      <c r="I3" s="276"/>
      <c r="J3" s="273" t="s">
        <v>32</v>
      </c>
      <c r="K3" s="268"/>
      <c r="L3" s="269"/>
      <c r="M3" s="273" t="s">
        <v>33</v>
      </c>
      <c r="N3" s="268"/>
      <c r="O3" s="269"/>
      <c r="P3" s="273" t="s">
        <v>34</v>
      </c>
      <c r="Q3" s="268"/>
      <c r="R3" s="269"/>
      <c r="S3" s="273" t="s">
        <v>35</v>
      </c>
      <c r="T3" s="268"/>
      <c r="U3" s="269"/>
      <c r="V3" s="273" t="s">
        <v>36</v>
      </c>
      <c r="W3" s="268"/>
      <c r="X3" s="269"/>
      <c r="Y3" s="273" t="s">
        <v>37</v>
      </c>
      <c r="Z3" s="268"/>
      <c r="AA3" s="269"/>
      <c r="AB3" s="273" t="s">
        <v>38</v>
      </c>
      <c r="AC3" s="268"/>
      <c r="AD3" s="269"/>
      <c r="AE3" s="273" t="s">
        <v>39</v>
      </c>
      <c r="AF3" s="268"/>
      <c r="AG3" s="269"/>
      <c r="AH3" s="273" t="s">
        <v>40</v>
      </c>
      <c r="AI3" s="268"/>
      <c r="AJ3" s="269"/>
      <c r="AK3" s="273" t="s">
        <v>41</v>
      </c>
      <c r="AL3" s="268"/>
      <c r="AM3" s="269"/>
      <c r="AN3" s="273" t="s">
        <v>42</v>
      </c>
      <c r="AO3" s="268"/>
      <c r="AP3" s="269"/>
      <c r="AQ3" s="273" t="s">
        <v>43</v>
      </c>
      <c r="AR3" s="268"/>
      <c r="AS3" s="269"/>
      <c r="AT3" s="273" t="s">
        <v>44</v>
      </c>
      <c r="AU3" s="268"/>
      <c r="AV3" s="269"/>
      <c r="AW3" s="273" t="s">
        <v>45</v>
      </c>
      <c r="AX3" s="268"/>
      <c r="AY3" s="269"/>
      <c r="AZ3" s="273" t="s">
        <v>46</v>
      </c>
      <c r="BA3" s="268"/>
      <c r="BB3" s="269"/>
      <c r="BC3" s="273" t="s">
        <v>47</v>
      </c>
      <c r="BD3" s="268"/>
      <c r="BE3" s="269"/>
      <c r="BF3" s="273" t="s">
        <v>48</v>
      </c>
      <c r="BG3" s="268"/>
      <c r="BH3" s="269"/>
      <c r="BI3" s="273" t="s">
        <v>49</v>
      </c>
      <c r="BJ3" s="268"/>
      <c r="BK3" s="269"/>
      <c r="BL3" s="273"/>
      <c r="BM3" s="268"/>
      <c r="BN3" s="269"/>
      <c r="BO3" s="273"/>
      <c r="BP3" s="268"/>
      <c r="BQ3" s="269"/>
      <c r="BR3" s="273"/>
      <c r="BS3" s="268"/>
      <c r="BT3" s="269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74"/>
      <c r="B4" s="274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B15" sqref="B15:F15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88" customWidth="1"/>
    <col min="27" max="16384" width="9.140625" style="1"/>
  </cols>
  <sheetData>
    <row r="1" spans="1:26" x14ac:dyDescent="0.3">
      <c r="B1" s="173" t="s">
        <v>204</v>
      </c>
    </row>
    <row r="2" spans="1:26" x14ac:dyDescent="0.3">
      <c r="O2" s="278" t="s">
        <v>7</v>
      </c>
      <c r="P2" s="278"/>
      <c r="Q2" s="278"/>
      <c r="R2" s="278"/>
      <c r="S2" s="279" t="s">
        <v>8</v>
      </c>
      <c r="T2" s="279"/>
      <c r="U2" s="279"/>
      <c r="V2" s="280" t="s">
        <v>9</v>
      </c>
      <c r="W2" s="280" t="s">
        <v>10</v>
      </c>
      <c r="X2" s="280" t="s">
        <v>11</v>
      </c>
      <c r="Y2" s="280" t="s">
        <v>12</v>
      </c>
      <c r="Z2" s="277" t="s">
        <v>13</v>
      </c>
    </row>
    <row r="3" spans="1:26" ht="21" customHeight="1" x14ac:dyDescent="0.3">
      <c r="A3" s="182" t="s">
        <v>6</v>
      </c>
      <c r="B3" s="182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82" t="s">
        <v>213</v>
      </c>
      <c r="K3" s="182" t="s">
        <v>214</v>
      </c>
      <c r="L3" s="182" t="s">
        <v>183</v>
      </c>
      <c r="M3" s="182" t="s">
        <v>173</v>
      </c>
      <c r="N3" s="182" t="s">
        <v>1</v>
      </c>
      <c r="O3" s="156" t="s">
        <v>14</v>
      </c>
      <c r="P3" s="157" t="s">
        <v>15</v>
      </c>
      <c r="Q3" s="158" t="s">
        <v>16</v>
      </c>
      <c r="R3" s="159" t="s">
        <v>17</v>
      </c>
      <c r="S3" s="160" t="s">
        <v>18</v>
      </c>
      <c r="T3" s="161" t="s">
        <v>19</v>
      </c>
      <c r="U3" s="162" t="s">
        <v>20</v>
      </c>
      <c r="V3" s="280"/>
      <c r="W3" s="280"/>
      <c r="X3" s="280"/>
      <c r="Y3" s="280"/>
      <c r="Z3" s="277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189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88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448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88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88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187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187">
        <v>6</v>
      </c>
      <c r="P15" s="187">
        <v>17</v>
      </c>
      <c r="Q15" s="187">
        <v>10</v>
      </c>
      <c r="R15" s="187">
        <v>12</v>
      </c>
      <c r="S15" s="187">
        <v>17</v>
      </c>
      <c r="T15" s="187">
        <v>8</v>
      </c>
      <c r="U15" s="187">
        <v>15</v>
      </c>
      <c r="V15" s="187">
        <v>45</v>
      </c>
      <c r="W15" s="187">
        <v>40</v>
      </c>
      <c r="X15" s="187">
        <v>215</v>
      </c>
      <c r="Y15" s="187">
        <v>150</v>
      </c>
      <c r="Z15" s="190">
        <v>365</v>
      </c>
    </row>
    <row r="16" spans="1:26" s="135" customFormat="1" ht="21" customHeight="1" x14ac:dyDescent="0.3">
      <c r="A16" s="135">
        <v>13</v>
      </c>
      <c r="B16" s="135" t="s">
        <v>210</v>
      </c>
      <c r="C16" s="136" t="s">
        <v>287</v>
      </c>
      <c r="D16" s="137" t="s">
        <v>288</v>
      </c>
      <c r="E16" s="138" t="s">
        <v>289</v>
      </c>
      <c r="F16" s="139"/>
      <c r="G16" s="139"/>
      <c r="H16" s="139" t="s">
        <v>217</v>
      </c>
      <c r="I16" s="139" t="s">
        <v>218</v>
      </c>
      <c r="J16" s="140">
        <v>1470000</v>
      </c>
      <c r="K16" s="136"/>
      <c r="O16" s="136"/>
      <c r="P16" s="136"/>
      <c r="Q16" s="136"/>
      <c r="R16" s="136"/>
      <c r="S16" s="136"/>
      <c r="T16" s="136"/>
      <c r="U16" s="136"/>
      <c r="Z16" s="191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88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88">
        <v>405</v>
      </c>
    </row>
    <row r="19" spans="1:26" s="135" customFormat="1" ht="21" customHeight="1" x14ac:dyDescent="0.3">
      <c r="A19" s="135">
        <v>16</v>
      </c>
      <c r="B19" s="135" t="s">
        <v>225</v>
      </c>
      <c r="C19" s="141">
        <v>35560</v>
      </c>
      <c r="D19" s="137" t="s">
        <v>262</v>
      </c>
      <c r="E19" s="138" t="s">
        <v>261</v>
      </c>
      <c r="F19" s="139" t="s">
        <v>69</v>
      </c>
      <c r="G19" s="139"/>
      <c r="H19" s="139" t="s">
        <v>217</v>
      </c>
      <c r="I19" s="139" t="s">
        <v>218</v>
      </c>
      <c r="J19" s="140">
        <v>1470000</v>
      </c>
      <c r="K19" s="136"/>
      <c r="O19" s="136"/>
      <c r="P19" s="136"/>
      <c r="Q19" s="136"/>
      <c r="R19" s="136"/>
      <c r="S19" s="136"/>
      <c r="T19" s="136"/>
      <c r="U19" s="136"/>
      <c r="Z19" s="191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88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74" t="s">
        <v>6</v>
      </c>
      <c r="B3" s="274" t="s">
        <v>5</v>
      </c>
      <c r="C3" s="61"/>
      <c r="D3" s="61"/>
      <c r="E3" s="61"/>
      <c r="F3" s="61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6"/>
      <c r="R3" s="276"/>
      <c r="S3" s="276"/>
      <c r="T3" s="276"/>
      <c r="U3" s="276"/>
      <c r="V3" s="276"/>
      <c r="W3" s="276"/>
      <c r="X3" s="276"/>
      <c r="Y3" s="276"/>
      <c r="Z3" s="276"/>
      <c r="AA3" s="276"/>
      <c r="AB3" s="276"/>
      <c r="AC3" s="276"/>
      <c r="AD3" s="276"/>
      <c r="AE3" s="276"/>
      <c r="AF3" s="276"/>
      <c r="AG3" s="276"/>
      <c r="AH3" s="276"/>
      <c r="AI3" s="276"/>
      <c r="AJ3" s="276"/>
      <c r="AK3" s="276"/>
      <c r="AL3" s="276"/>
      <c r="AM3" s="276"/>
      <c r="AN3" s="276"/>
      <c r="AO3" s="276"/>
      <c r="AP3" s="276"/>
      <c r="AQ3" s="276"/>
      <c r="AR3" s="276"/>
      <c r="AS3" s="276"/>
      <c r="AT3" s="276"/>
      <c r="AU3" s="276"/>
      <c r="AV3" s="276"/>
      <c r="AW3" s="276"/>
      <c r="AX3" s="276"/>
      <c r="AY3" s="276"/>
      <c r="AZ3" s="276"/>
      <c r="BA3" s="276"/>
      <c r="BB3" s="276"/>
      <c r="BC3" s="281"/>
      <c r="BD3" s="281"/>
      <c r="BE3" s="281"/>
      <c r="BF3" s="282">
        <v>42976</v>
      </c>
      <c r="BG3" s="276"/>
      <c r="BH3" s="276"/>
      <c r="BI3" s="276"/>
      <c r="BJ3" s="276"/>
      <c r="BK3" s="276"/>
      <c r="BL3" s="276"/>
      <c r="BM3" s="276"/>
      <c r="BN3" s="276"/>
      <c r="BO3" s="276"/>
      <c r="BP3" s="276"/>
      <c r="BQ3" s="276"/>
      <c r="BR3" s="282"/>
      <c r="BS3" s="276"/>
      <c r="BT3" s="276"/>
      <c r="BU3" s="276"/>
      <c r="BV3" s="276"/>
      <c r="BW3" s="276"/>
      <c r="BX3" s="276"/>
      <c r="BY3" s="276"/>
      <c r="BZ3" s="276"/>
      <c r="CA3" s="276"/>
      <c r="CB3" s="276"/>
      <c r="CC3" s="276"/>
      <c r="CD3" s="26"/>
    </row>
    <row r="4" spans="1:82" s="17" customFormat="1" ht="21" customHeight="1" x14ac:dyDescent="0.25">
      <c r="A4" s="274"/>
      <c r="B4" s="274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69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85" customWidth="1"/>
  </cols>
  <sheetData>
    <row r="1" spans="1:25" ht="21" x14ac:dyDescent="0.35">
      <c r="A1" s="17"/>
      <c r="B1" s="283" t="s">
        <v>224</v>
      </c>
      <c r="C1" s="283"/>
      <c r="D1" s="283"/>
      <c r="E1" s="142"/>
      <c r="F1" s="142"/>
      <c r="G1" s="142"/>
      <c r="H1" s="142"/>
      <c r="I1" s="142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183"/>
    </row>
    <row r="2" spans="1:25" ht="15.75" x14ac:dyDescent="0.25">
      <c r="A2" s="17"/>
      <c r="B2" s="17"/>
      <c r="C2" s="17"/>
      <c r="D2" s="142"/>
      <c r="E2" s="142"/>
      <c r="F2" s="142"/>
      <c r="G2" s="142"/>
      <c r="H2" s="142"/>
      <c r="I2" s="142"/>
      <c r="J2" s="52"/>
      <c r="K2" s="17"/>
      <c r="L2" s="17"/>
      <c r="M2" s="17"/>
      <c r="N2" s="264" t="s">
        <v>7</v>
      </c>
      <c r="O2" s="264"/>
      <c r="P2" s="264"/>
      <c r="Q2" s="264"/>
      <c r="R2" s="265" t="s">
        <v>8</v>
      </c>
      <c r="S2" s="265"/>
      <c r="T2" s="265"/>
      <c r="U2" s="266" t="s">
        <v>9</v>
      </c>
      <c r="V2" s="266" t="s">
        <v>10</v>
      </c>
      <c r="W2" s="266" t="s">
        <v>11</v>
      </c>
      <c r="X2" s="266" t="s">
        <v>12</v>
      </c>
      <c r="Y2" s="263" t="s">
        <v>13</v>
      </c>
    </row>
    <row r="3" spans="1:25" s="1" customFormat="1" ht="21" customHeight="1" x14ac:dyDescent="0.3">
      <c r="A3" s="143" t="s">
        <v>6</v>
      </c>
      <c r="B3" s="143" t="s">
        <v>5</v>
      </c>
      <c r="C3" s="143" t="s">
        <v>4</v>
      </c>
      <c r="D3" s="144" t="s">
        <v>3</v>
      </c>
      <c r="E3" s="144" t="s">
        <v>117</v>
      </c>
      <c r="F3" s="144" t="s">
        <v>71</v>
      </c>
      <c r="G3" s="144" t="s">
        <v>211</v>
      </c>
      <c r="H3" s="144" t="s">
        <v>223</v>
      </c>
      <c r="I3" s="144" t="s">
        <v>213</v>
      </c>
      <c r="J3" s="143" t="s">
        <v>214</v>
      </c>
      <c r="K3" s="143" t="s">
        <v>23</v>
      </c>
      <c r="L3" s="143" t="s">
        <v>173</v>
      </c>
      <c r="M3" s="143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66"/>
      <c r="V3" s="266"/>
      <c r="W3" s="266"/>
      <c r="X3" s="266"/>
      <c r="Y3" s="263"/>
    </row>
    <row r="4" spans="1:25" s="1" customFormat="1" ht="21" customHeight="1" x14ac:dyDescent="0.3">
      <c r="A4" s="17">
        <v>1</v>
      </c>
      <c r="B4" s="17" t="s">
        <v>193</v>
      </c>
      <c r="C4" s="145"/>
      <c r="D4" s="166" t="s">
        <v>194</v>
      </c>
      <c r="E4" s="145"/>
      <c r="F4" s="17" t="s">
        <v>290</v>
      </c>
      <c r="G4" s="146">
        <v>2400000</v>
      </c>
      <c r="H4" s="147">
        <v>0.3</v>
      </c>
      <c r="I4" s="146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83"/>
    </row>
    <row r="5" spans="1:25" s="129" customFormat="1" ht="21" customHeight="1" x14ac:dyDescent="0.3">
      <c r="A5" s="148">
        <v>2</v>
      </c>
      <c r="B5" s="148" t="s">
        <v>195</v>
      </c>
      <c r="C5" s="149"/>
      <c r="D5" s="167"/>
      <c r="E5" s="149"/>
      <c r="F5" s="148" t="s">
        <v>290</v>
      </c>
      <c r="G5" s="150">
        <v>2400000</v>
      </c>
      <c r="H5" s="151">
        <v>0.3</v>
      </c>
      <c r="I5" s="150">
        <v>1680000</v>
      </c>
      <c r="J5" s="152"/>
      <c r="K5" s="148"/>
      <c r="L5" s="148"/>
      <c r="M5" s="148"/>
      <c r="N5" s="148"/>
      <c r="O5" s="148"/>
      <c r="P5" s="148"/>
      <c r="Q5" s="148"/>
      <c r="R5" s="148"/>
      <c r="S5" s="148"/>
      <c r="T5" s="148"/>
      <c r="U5" s="148"/>
      <c r="V5" s="148"/>
      <c r="W5" s="148"/>
      <c r="X5" s="148"/>
      <c r="Y5" s="184"/>
    </row>
    <row r="6" spans="1:25" s="1" customFormat="1" ht="21" customHeight="1" x14ac:dyDescent="0.3">
      <c r="A6" s="17">
        <v>3</v>
      </c>
      <c r="B6" s="17" t="s">
        <v>196</v>
      </c>
      <c r="C6" s="145" t="s">
        <v>240</v>
      </c>
      <c r="D6" s="166" t="s">
        <v>197</v>
      </c>
      <c r="E6" s="145" t="s">
        <v>241</v>
      </c>
      <c r="F6" s="17" t="s">
        <v>242</v>
      </c>
      <c r="G6" s="146">
        <v>2400000</v>
      </c>
      <c r="H6" s="147">
        <v>0.3</v>
      </c>
      <c r="I6" s="146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83">
        <v>495</v>
      </c>
    </row>
    <row r="7" spans="1:25" s="1" customFormat="1" ht="21" customHeight="1" x14ac:dyDescent="0.3">
      <c r="A7" s="17">
        <v>4</v>
      </c>
      <c r="B7" s="17" t="s">
        <v>200</v>
      </c>
      <c r="C7" s="145" t="s">
        <v>72</v>
      </c>
      <c r="D7" s="166" t="s">
        <v>201</v>
      </c>
      <c r="E7" s="145" t="s">
        <v>433</v>
      </c>
      <c r="F7" s="17" t="s">
        <v>246</v>
      </c>
      <c r="G7" s="146">
        <v>2400000</v>
      </c>
      <c r="H7" s="147">
        <v>0.3</v>
      </c>
      <c r="I7" s="146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83"/>
    </row>
    <row r="8" spans="1:25" ht="21" customHeight="1" x14ac:dyDescent="0.25">
      <c r="A8" s="17">
        <v>5</v>
      </c>
      <c r="B8" s="17" t="s">
        <v>229</v>
      </c>
      <c r="C8" s="145" t="s">
        <v>243</v>
      </c>
      <c r="D8" s="153" t="s">
        <v>244</v>
      </c>
      <c r="E8" s="153" t="s">
        <v>245</v>
      </c>
      <c r="F8" s="17" t="s">
        <v>246</v>
      </c>
      <c r="G8" s="146">
        <v>2400000</v>
      </c>
      <c r="H8" s="147">
        <v>0.3</v>
      </c>
      <c r="I8" s="146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83"/>
    </row>
    <row r="9" spans="1:25" ht="21" customHeight="1" x14ac:dyDescent="0.25">
      <c r="A9" s="17">
        <v>6</v>
      </c>
      <c r="B9" s="17" t="s">
        <v>230</v>
      </c>
      <c r="C9" s="145" t="s">
        <v>233</v>
      </c>
      <c r="D9" s="153" t="s">
        <v>348</v>
      </c>
      <c r="E9" s="145" t="s">
        <v>234</v>
      </c>
      <c r="F9" s="17" t="s">
        <v>235</v>
      </c>
      <c r="G9" s="146">
        <v>2400000</v>
      </c>
      <c r="H9" s="147">
        <v>0.3</v>
      </c>
      <c r="I9" s="146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83">
        <v>225</v>
      </c>
    </row>
    <row r="10" spans="1:25" ht="21" customHeight="1" x14ac:dyDescent="0.25">
      <c r="A10" s="154" t="s">
        <v>145</v>
      </c>
      <c r="B10" s="145" t="s">
        <v>231</v>
      </c>
      <c r="C10" s="145" t="s">
        <v>236</v>
      </c>
      <c r="D10" s="153" t="s">
        <v>237</v>
      </c>
      <c r="E10" s="145" t="s">
        <v>238</v>
      </c>
      <c r="F10" s="145" t="s">
        <v>239</v>
      </c>
      <c r="G10" s="146">
        <v>2400000</v>
      </c>
      <c r="H10" s="147">
        <v>0.3</v>
      </c>
      <c r="I10" s="146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83">
        <v>455</v>
      </c>
    </row>
    <row r="11" spans="1:25" ht="21" customHeight="1" x14ac:dyDescent="0.25">
      <c r="A11" s="17">
        <v>8</v>
      </c>
      <c r="B11" s="17" t="s">
        <v>232</v>
      </c>
      <c r="C11" s="145"/>
      <c r="D11" s="153" t="s">
        <v>310</v>
      </c>
      <c r="E11" s="145"/>
      <c r="F11" s="17" t="s">
        <v>235</v>
      </c>
      <c r="G11" s="146">
        <v>2400000</v>
      </c>
      <c r="H11" s="147">
        <v>0.3</v>
      </c>
      <c r="I11" s="146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83"/>
    </row>
    <row r="12" spans="1:25" ht="21" customHeight="1" x14ac:dyDescent="0.25">
      <c r="A12" s="154" t="s">
        <v>304</v>
      </c>
      <c r="B12" s="145" t="s">
        <v>305</v>
      </c>
      <c r="C12" s="145" t="s">
        <v>306</v>
      </c>
      <c r="D12" s="153" t="s">
        <v>307</v>
      </c>
      <c r="E12" s="145" t="s">
        <v>308</v>
      </c>
      <c r="F12" s="145" t="s">
        <v>239</v>
      </c>
      <c r="G12" s="146">
        <v>2400000</v>
      </c>
      <c r="H12" s="147">
        <v>0.3</v>
      </c>
      <c r="I12" s="146">
        <v>1680000</v>
      </c>
      <c r="J12" s="142"/>
      <c r="K12" s="145"/>
      <c r="L12" s="145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83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53" t="s">
        <v>312</v>
      </c>
      <c r="E13" s="17"/>
      <c r="F13" s="17"/>
      <c r="G13" s="142"/>
      <c r="H13" s="142"/>
      <c r="I13" s="142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83">
        <v>395</v>
      </c>
    </row>
    <row r="14" spans="1:25" ht="21" customHeight="1" x14ac:dyDescent="0.3">
      <c r="D14" s="168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68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68"/>
    </row>
    <row r="17" spans="4:4" ht="21" customHeight="1" x14ac:dyDescent="0.25">
      <c r="D17" s="168"/>
    </row>
    <row r="18" spans="4:4" ht="21" customHeight="1" x14ac:dyDescent="0.25">
      <c r="D18" s="168"/>
    </row>
    <row r="19" spans="4:4" ht="21" customHeight="1" x14ac:dyDescent="0.25">
      <c r="D19" s="168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274" t="s">
        <v>6</v>
      </c>
      <c r="B3" s="274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276" t="s">
        <v>31</v>
      </c>
      <c r="H3" s="276"/>
      <c r="I3" s="276"/>
      <c r="J3" s="273" t="s">
        <v>32</v>
      </c>
      <c r="K3" s="268"/>
      <c r="L3" s="269"/>
      <c r="M3" s="273" t="s">
        <v>33</v>
      </c>
      <c r="N3" s="268"/>
      <c r="O3" s="269"/>
      <c r="P3" s="273" t="s">
        <v>34</v>
      </c>
      <c r="Q3" s="268"/>
      <c r="R3" s="269"/>
      <c r="S3" s="273" t="s">
        <v>35</v>
      </c>
      <c r="T3" s="268"/>
      <c r="U3" s="269"/>
      <c r="V3" s="273" t="s">
        <v>36</v>
      </c>
      <c r="W3" s="268"/>
      <c r="X3" s="269"/>
      <c r="Y3" s="273" t="s">
        <v>37</v>
      </c>
      <c r="Z3" s="268"/>
      <c r="AA3" s="269"/>
      <c r="AB3" s="273" t="s">
        <v>38</v>
      </c>
      <c r="AC3" s="268"/>
      <c r="AD3" s="269"/>
      <c r="AE3" s="273" t="s">
        <v>39</v>
      </c>
      <c r="AF3" s="268"/>
      <c r="AG3" s="269"/>
      <c r="AH3" s="273" t="s">
        <v>40</v>
      </c>
      <c r="AI3" s="268"/>
      <c r="AJ3" s="269"/>
      <c r="AK3" s="273" t="s">
        <v>41</v>
      </c>
      <c r="AL3" s="268"/>
      <c r="AM3" s="269"/>
      <c r="AN3" s="273" t="s">
        <v>42</v>
      </c>
      <c r="AO3" s="268"/>
      <c r="AP3" s="269"/>
      <c r="AQ3" s="273" t="s">
        <v>43</v>
      </c>
      <c r="AR3" s="268"/>
      <c r="AS3" s="269"/>
      <c r="AT3" s="273" t="s">
        <v>44</v>
      </c>
      <c r="AU3" s="268"/>
      <c r="AV3" s="269"/>
      <c r="AW3" s="273" t="s">
        <v>45</v>
      </c>
      <c r="AX3" s="268"/>
      <c r="AY3" s="269"/>
      <c r="AZ3" s="273" t="s">
        <v>46</v>
      </c>
      <c r="BA3" s="268"/>
      <c r="BB3" s="269"/>
      <c r="BC3" s="273" t="s">
        <v>47</v>
      </c>
      <c r="BD3" s="268"/>
      <c r="BE3" s="269"/>
      <c r="BF3" s="273" t="s">
        <v>48</v>
      </c>
      <c r="BG3" s="268"/>
      <c r="BH3" s="269"/>
      <c r="BI3" s="273" t="s">
        <v>49</v>
      </c>
      <c r="BJ3" s="268"/>
      <c r="BK3" s="269"/>
      <c r="BL3" s="267">
        <v>42970</v>
      </c>
      <c r="BM3" s="268"/>
      <c r="BN3" s="269"/>
      <c r="BO3" s="267">
        <v>42972</v>
      </c>
      <c r="BP3" s="268"/>
      <c r="BQ3" s="269"/>
      <c r="BR3" s="267">
        <v>42975</v>
      </c>
      <c r="BS3" s="268"/>
      <c r="BT3" s="269"/>
      <c r="BU3" s="267">
        <v>42977</v>
      </c>
      <c r="BV3" s="268"/>
      <c r="BW3" s="269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274"/>
      <c r="B4" s="274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C1" workbookViewId="0">
      <selection activeCell="H7" sqref="H7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65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style="60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287" t="s">
        <v>431</v>
      </c>
      <c r="B1" s="288"/>
      <c r="C1" s="288"/>
      <c r="D1" s="288"/>
      <c r="E1" s="288"/>
      <c r="F1" s="230"/>
      <c r="G1" s="230"/>
      <c r="H1" s="49"/>
      <c r="I1" s="49"/>
      <c r="J1" s="238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506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288"/>
      <c r="B2" s="288"/>
      <c r="C2" s="288"/>
      <c r="D2" s="288"/>
      <c r="E2" s="288"/>
      <c r="F2" s="230"/>
      <c r="G2" s="230"/>
      <c r="H2" s="49"/>
      <c r="I2" s="49"/>
      <c r="J2" s="238"/>
      <c r="K2" s="289" t="s">
        <v>7</v>
      </c>
      <c r="L2" s="289"/>
      <c r="M2" s="289"/>
      <c r="N2" s="289"/>
      <c r="O2" s="290" t="s">
        <v>8</v>
      </c>
      <c r="P2" s="290"/>
      <c r="Q2" s="290"/>
      <c r="R2" s="285" t="s">
        <v>323</v>
      </c>
      <c r="S2" s="285" t="s">
        <v>324</v>
      </c>
      <c r="T2" s="284" t="s">
        <v>11</v>
      </c>
      <c r="U2" s="284" t="s">
        <v>12</v>
      </c>
      <c r="V2" s="285" t="s">
        <v>325</v>
      </c>
      <c r="W2" s="228"/>
      <c r="X2" s="289" t="s">
        <v>7</v>
      </c>
      <c r="Y2" s="289"/>
      <c r="Z2" s="289"/>
      <c r="AA2" s="289"/>
      <c r="AB2" s="290" t="s">
        <v>8</v>
      </c>
      <c r="AC2" s="290"/>
      <c r="AD2" s="290"/>
      <c r="AE2" s="285" t="s">
        <v>323</v>
      </c>
      <c r="AF2" s="285" t="s">
        <v>324</v>
      </c>
      <c r="AG2" s="284" t="s">
        <v>11</v>
      </c>
      <c r="AH2" s="284" t="s">
        <v>12</v>
      </c>
      <c r="AI2" s="285" t="s">
        <v>325</v>
      </c>
    </row>
    <row r="3" spans="1:35" s="60" customFormat="1" ht="18.75" x14ac:dyDescent="0.3">
      <c r="A3" s="231" t="s">
        <v>6</v>
      </c>
      <c r="B3" s="231" t="s">
        <v>5</v>
      </c>
      <c r="C3" s="232" t="s">
        <v>4</v>
      </c>
      <c r="D3" s="232" t="s">
        <v>3</v>
      </c>
      <c r="E3" s="232" t="s">
        <v>117</v>
      </c>
      <c r="F3" s="232" t="s">
        <v>71</v>
      </c>
      <c r="G3" s="232" t="s">
        <v>106</v>
      </c>
      <c r="H3" s="231" t="s">
        <v>2</v>
      </c>
      <c r="I3" s="231" t="s">
        <v>173</v>
      </c>
      <c r="J3" s="231" t="s">
        <v>1</v>
      </c>
      <c r="K3" s="174" t="s">
        <v>14</v>
      </c>
      <c r="L3" s="175" t="s">
        <v>15</v>
      </c>
      <c r="M3" s="176" t="s">
        <v>16</v>
      </c>
      <c r="N3" s="177" t="s">
        <v>17</v>
      </c>
      <c r="O3" s="178" t="s">
        <v>18</v>
      </c>
      <c r="P3" s="179" t="s">
        <v>19</v>
      </c>
      <c r="Q3" s="180" t="s">
        <v>20</v>
      </c>
      <c r="R3" s="284"/>
      <c r="S3" s="284"/>
      <c r="T3" s="284"/>
      <c r="U3" s="284"/>
      <c r="V3" s="284"/>
      <c r="W3" s="229"/>
      <c r="X3" s="174" t="s">
        <v>14</v>
      </c>
      <c r="Y3" s="175" t="s">
        <v>15</v>
      </c>
      <c r="Z3" s="176" t="s">
        <v>16</v>
      </c>
      <c r="AA3" s="177" t="s">
        <v>17</v>
      </c>
      <c r="AB3" s="178" t="s">
        <v>18</v>
      </c>
      <c r="AC3" s="179" t="s">
        <v>19</v>
      </c>
      <c r="AD3" s="180" t="s">
        <v>20</v>
      </c>
      <c r="AE3" s="284"/>
      <c r="AF3" s="284"/>
      <c r="AG3" s="284"/>
      <c r="AH3" s="284"/>
      <c r="AI3" s="284"/>
    </row>
    <row r="4" spans="1:35" ht="18.75" x14ac:dyDescent="0.3">
      <c r="A4" s="49">
        <v>1</v>
      </c>
      <c r="B4" s="21" t="s">
        <v>301</v>
      </c>
      <c r="C4" s="233">
        <v>34005</v>
      </c>
      <c r="D4" s="234" t="s">
        <v>302</v>
      </c>
      <c r="E4" s="235" t="s">
        <v>303</v>
      </c>
      <c r="F4" s="21" t="s">
        <v>372</v>
      </c>
      <c r="G4" s="49"/>
      <c r="H4" s="49" t="s">
        <v>53</v>
      </c>
      <c r="I4" s="49" t="s">
        <v>309</v>
      </c>
      <c r="J4" s="238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86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322</v>
      </c>
      <c r="C5" s="235" t="s">
        <v>400</v>
      </c>
      <c r="D5" s="234" t="s">
        <v>320</v>
      </c>
      <c r="E5" s="235" t="s">
        <v>121</v>
      </c>
      <c r="F5" s="235" t="s">
        <v>399</v>
      </c>
      <c r="G5" s="230"/>
      <c r="H5" s="49" t="s">
        <v>53</v>
      </c>
      <c r="I5" s="49" t="s">
        <v>309</v>
      </c>
      <c r="J5" s="238"/>
      <c r="K5" s="236">
        <v>4</v>
      </c>
      <c r="L5" s="236">
        <v>12</v>
      </c>
      <c r="M5" s="236">
        <v>12</v>
      </c>
      <c r="N5" s="236">
        <v>11</v>
      </c>
      <c r="O5" s="236">
        <v>20</v>
      </c>
      <c r="P5" s="236">
        <v>2</v>
      </c>
      <c r="Q5" s="236">
        <v>16</v>
      </c>
      <c r="R5" s="236">
        <v>39</v>
      </c>
      <c r="S5" s="236">
        <v>38</v>
      </c>
      <c r="T5" s="236">
        <v>180</v>
      </c>
      <c r="U5" s="236">
        <v>140</v>
      </c>
      <c r="V5" s="236">
        <v>320</v>
      </c>
      <c r="W5" s="286"/>
      <c r="X5" s="237">
        <v>3</v>
      </c>
      <c r="Y5" s="237">
        <v>21</v>
      </c>
      <c r="Z5" s="237">
        <v>11</v>
      </c>
      <c r="AA5" s="237">
        <v>12</v>
      </c>
      <c r="AB5" s="237">
        <v>19</v>
      </c>
      <c r="AC5" s="237">
        <v>4</v>
      </c>
      <c r="AD5" s="237">
        <v>20</v>
      </c>
      <c r="AE5" s="237">
        <v>47</v>
      </c>
      <c r="AF5" s="237">
        <v>43</v>
      </c>
      <c r="AG5" s="237">
        <v>230</v>
      </c>
      <c r="AH5" s="237">
        <v>170</v>
      </c>
      <c r="AI5" s="237">
        <v>400</v>
      </c>
    </row>
    <row r="6" spans="1:35" ht="18.75" x14ac:dyDescent="0.3">
      <c r="A6" s="49">
        <v>3</v>
      </c>
      <c r="B6" s="21" t="s">
        <v>319</v>
      </c>
      <c r="C6" s="235" t="s">
        <v>398</v>
      </c>
      <c r="D6" s="234" t="s">
        <v>321</v>
      </c>
      <c r="E6" s="235" t="s">
        <v>121</v>
      </c>
      <c r="F6" s="235" t="s">
        <v>399</v>
      </c>
      <c r="G6" s="230"/>
      <c r="H6" s="49" t="s">
        <v>53</v>
      </c>
      <c r="I6" s="49" t="s">
        <v>309</v>
      </c>
      <c r="J6" s="238"/>
      <c r="K6" s="236">
        <v>0</v>
      </c>
      <c r="L6" s="236">
        <v>14</v>
      </c>
      <c r="M6" s="236">
        <v>8</v>
      </c>
      <c r="N6" s="236">
        <v>7</v>
      </c>
      <c r="O6" s="236">
        <v>15</v>
      </c>
      <c r="P6" s="236">
        <v>5</v>
      </c>
      <c r="Q6" s="236">
        <v>19</v>
      </c>
      <c r="R6" s="236">
        <v>29</v>
      </c>
      <c r="S6" s="236">
        <v>39</v>
      </c>
      <c r="T6" s="236">
        <v>125</v>
      </c>
      <c r="U6" s="236">
        <v>145</v>
      </c>
      <c r="V6" s="236">
        <v>270</v>
      </c>
      <c r="W6" s="286"/>
      <c r="X6" s="237">
        <v>0</v>
      </c>
      <c r="Y6" s="237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333</v>
      </c>
      <c r="C7" s="235" t="s">
        <v>387</v>
      </c>
      <c r="D7" s="234" t="s">
        <v>336</v>
      </c>
      <c r="E7" s="235" t="s">
        <v>371</v>
      </c>
      <c r="F7" s="235" t="s">
        <v>372</v>
      </c>
      <c r="G7" s="230"/>
      <c r="H7" s="49" t="s">
        <v>53</v>
      </c>
      <c r="I7" s="49" t="s">
        <v>332</v>
      </c>
      <c r="J7" s="238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286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334</v>
      </c>
      <c r="C8" s="235" t="s">
        <v>386</v>
      </c>
      <c r="D8" s="234" t="s">
        <v>337</v>
      </c>
      <c r="E8" s="235" t="s">
        <v>335</v>
      </c>
      <c r="F8" s="235" t="s">
        <v>372</v>
      </c>
      <c r="G8" s="230"/>
      <c r="H8" s="49" t="s">
        <v>53</v>
      </c>
      <c r="I8" s="49" t="s">
        <v>332</v>
      </c>
      <c r="J8" s="238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286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338</v>
      </c>
      <c r="C9" s="235" t="s">
        <v>382</v>
      </c>
      <c r="D9" s="234" t="s">
        <v>339</v>
      </c>
      <c r="E9" s="235" t="s">
        <v>383</v>
      </c>
      <c r="F9" s="235" t="s">
        <v>380</v>
      </c>
      <c r="G9" s="230"/>
      <c r="H9" s="49" t="s">
        <v>53</v>
      </c>
      <c r="I9" s="49" t="s">
        <v>332</v>
      </c>
      <c r="J9" s="238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86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340</v>
      </c>
      <c r="C10" s="235" t="s">
        <v>381</v>
      </c>
      <c r="D10" s="234" t="s">
        <v>341</v>
      </c>
      <c r="E10" s="235" t="s">
        <v>342</v>
      </c>
      <c r="F10" s="235" t="s">
        <v>380</v>
      </c>
      <c r="G10" s="230"/>
      <c r="H10" s="49" t="s">
        <v>53</v>
      </c>
      <c r="I10" s="49" t="s">
        <v>332</v>
      </c>
      <c r="J10" s="238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86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345</v>
      </c>
      <c r="C11" s="235" t="s">
        <v>390</v>
      </c>
      <c r="D11" s="234" t="s">
        <v>347</v>
      </c>
      <c r="E11" s="235" t="s">
        <v>391</v>
      </c>
      <c r="F11" s="21" t="s">
        <v>372</v>
      </c>
      <c r="G11" s="230"/>
      <c r="H11" s="49" t="s">
        <v>53</v>
      </c>
      <c r="I11" s="49" t="s">
        <v>346</v>
      </c>
      <c r="J11" s="238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286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350</v>
      </c>
      <c r="C12" s="235" t="s">
        <v>396</v>
      </c>
      <c r="D12" s="234" t="s">
        <v>349</v>
      </c>
      <c r="E12" s="235" t="s">
        <v>397</v>
      </c>
      <c r="F12" s="21" t="s">
        <v>394</v>
      </c>
      <c r="G12" s="230"/>
      <c r="H12" s="49" t="s">
        <v>53</v>
      </c>
      <c r="I12" s="49" t="s">
        <v>332</v>
      </c>
      <c r="J12" s="238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286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354</v>
      </c>
      <c r="C13" s="235" t="s">
        <v>375</v>
      </c>
      <c r="D13" s="234" t="s">
        <v>356</v>
      </c>
      <c r="E13" s="235" t="s">
        <v>378</v>
      </c>
      <c r="F13" s="235" t="s">
        <v>374</v>
      </c>
      <c r="G13" s="230"/>
      <c r="H13" s="49" t="s">
        <v>53</v>
      </c>
      <c r="I13" s="49" t="s">
        <v>332</v>
      </c>
      <c r="J13" s="238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86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355</v>
      </c>
      <c r="C14" s="235" t="s">
        <v>373</v>
      </c>
      <c r="D14" s="234" t="s">
        <v>357</v>
      </c>
      <c r="E14" s="235" t="s">
        <v>379</v>
      </c>
      <c r="F14" s="235" t="s">
        <v>374</v>
      </c>
      <c r="G14" s="230"/>
      <c r="H14" s="49" t="s">
        <v>53</v>
      </c>
      <c r="I14" s="49" t="s">
        <v>332</v>
      </c>
      <c r="J14" s="238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86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358</v>
      </c>
      <c r="C15" s="235" t="s">
        <v>388</v>
      </c>
      <c r="D15" s="234" t="s">
        <v>376</v>
      </c>
      <c r="E15" s="235" t="s">
        <v>377</v>
      </c>
      <c r="F15" s="21" t="s">
        <v>380</v>
      </c>
      <c r="G15" s="230"/>
      <c r="H15" s="49" t="s">
        <v>53</v>
      </c>
      <c r="I15" s="49" t="s">
        <v>346</v>
      </c>
      <c r="J15" s="238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86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35" t="s">
        <v>136</v>
      </c>
      <c r="D16" s="234" t="s">
        <v>137</v>
      </c>
      <c r="E16" s="235" t="s">
        <v>359</v>
      </c>
      <c r="F16" s="21" t="s">
        <v>389</v>
      </c>
      <c r="G16" s="230"/>
      <c r="H16" s="49" t="s">
        <v>53</v>
      </c>
      <c r="I16" s="49" t="s">
        <v>360</v>
      </c>
      <c r="J16" s="238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86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361</v>
      </c>
      <c r="C17" s="235" t="s">
        <v>384</v>
      </c>
      <c r="D17" s="234" t="s">
        <v>385</v>
      </c>
      <c r="E17" s="235" t="s">
        <v>362</v>
      </c>
      <c r="F17" s="21" t="s">
        <v>372</v>
      </c>
      <c r="G17" s="230"/>
      <c r="H17" s="49" t="s">
        <v>53</v>
      </c>
      <c r="I17" s="49" t="s">
        <v>309</v>
      </c>
      <c r="J17" s="238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86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363</v>
      </c>
      <c r="C18" s="235" t="s">
        <v>392</v>
      </c>
      <c r="D18" s="234" t="s">
        <v>393</v>
      </c>
      <c r="E18" s="235" t="s">
        <v>364</v>
      </c>
      <c r="F18" s="21" t="s">
        <v>394</v>
      </c>
      <c r="G18" s="230"/>
      <c r="H18" s="49" t="s">
        <v>53</v>
      </c>
      <c r="I18" s="49" t="s">
        <v>332</v>
      </c>
      <c r="J18" s="238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286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365</v>
      </c>
      <c r="C19" s="235" t="s">
        <v>395</v>
      </c>
      <c r="D19" s="234" t="s">
        <v>367</v>
      </c>
      <c r="E19" s="235" t="s">
        <v>366</v>
      </c>
      <c r="F19" s="21" t="s">
        <v>394</v>
      </c>
      <c r="G19" s="230"/>
      <c r="H19" s="49" t="s">
        <v>53</v>
      </c>
      <c r="I19" s="49" t="s">
        <v>332</v>
      </c>
      <c r="J19" s="238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286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424</v>
      </c>
      <c r="C20" s="235" t="s">
        <v>423</v>
      </c>
      <c r="D20" s="234" t="s">
        <v>420</v>
      </c>
      <c r="E20" s="235" t="s">
        <v>421</v>
      </c>
      <c r="F20" s="21" t="s">
        <v>394</v>
      </c>
      <c r="G20" s="230"/>
      <c r="H20" s="49" t="s">
        <v>53</v>
      </c>
      <c r="I20" s="49" t="s">
        <v>422</v>
      </c>
      <c r="J20" s="238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86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426</v>
      </c>
      <c r="C21" s="235" t="s">
        <v>428</v>
      </c>
      <c r="D21" s="234" t="s">
        <v>429</v>
      </c>
      <c r="E21" s="235" t="s">
        <v>427</v>
      </c>
      <c r="F21" s="21" t="s">
        <v>380</v>
      </c>
      <c r="G21" s="230"/>
      <c r="H21" s="49" t="s">
        <v>53</v>
      </c>
      <c r="I21" s="49" t="s">
        <v>309</v>
      </c>
      <c r="J21" s="238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86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430</v>
      </c>
      <c r="C22" s="235" t="s">
        <v>384</v>
      </c>
      <c r="D22" s="234" t="s">
        <v>434</v>
      </c>
      <c r="E22" s="235" t="s">
        <v>362</v>
      </c>
      <c r="F22" s="21" t="s">
        <v>372</v>
      </c>
      <c r="G22" s="230"/>
      <c r="H22" s="49" t="s">
        <v>53</v>
      </c>
      <c r="I22" s="49" t="s">
        <v>309</v>
      </c>
      <c r="J22" s="238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86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435</v>
      </c>
      <c r="C23" s="235" t="s">
        <v>436</v>
      </c>
      <c r="D23" s="234" t="s">
        <v>437</v>
      </c>
      <c r="E23" s="235" t="s">
        <v>438</v>
      </c>
      <c r="F23" s="21" t="s">
        <v>372</v>
      </c>
      <c r="G23" s="230"/>
      <c r="H23" s="49" t="s">
        <v>53</v>
      </c>
      <c r="I23" s="49" t="s">
        <v>309</v>
      </c>
      <c r="J23" s="238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86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  <c r="W24" s="155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73" t="s">
        <v>432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278" t="s">
        <v>7</v>
      </c>
      <c r="L2" s="278"/>
      <c r="M2" s="278"/>
      <c r="N2" s="278"/>
      <c r="O2" s="279" t="s">
        <v>8</v>
      </c>
      <c r="P2" s="279"/>
      <c r="Q2" s="279"/>
      <c r="R2" s="280" t="s">
        <v>9</v>
      </c>
      <c r="S2" s="280" t="s">
        <v>10</v>
      </c>
      <c r="T2" s="280" t="s">
        <v>11</v>
      </c>
      <c r="U2" s="280" t="s">
        <v>12</v>
      </c>
      <c r="V2" s="280" t="s">
        <v>13</v>
      </c>
    </row>
    <row r="3" spans="1:22" s="2" customFormat="1" x14ac:dyDescent="0.3">
      <c r="A3" s="226" t="s">
        <v>6</v>
      </c>
      <c r="B3" s="226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226" t="s">
        <v>2</v>
      </c>
      <c r="I3" s="226" t="s">
        <v>173</v>
      </c>
      <c r="J3" s="226" t="s">
        <v>1</v>
      </c>
      <c r="K3" s="156" t="s">
        <v>14</v>
      </c>
      <c r="L3" s="157" t="s">
        <v>15</v>
      </c>
      <c r="M3" s="158" t="s">
        <v>16</v>
      </c>
      <c r="N3" s="159" t="s">
        <v>17</v>
      </c>
      <c r="O3" s="160" t="s">
        <v>18</v>
      </c>
      <c r="P3" s="161" t="s">
        <v>19</v>
      </c>
      <c r="Q3" s="162" t="s">
        <v>20</v>
      </c>
      <c r="R3" s="280"/>
      <c r="S3" s="280"/>
      <c r="T3" s="280"/>
      <c r="U3" s="280"/>
      <c r="V3" s="280"/>
    </row>
    <row r="4" spans="1:22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H4" s="2" t="s">
        <v>53</v>
      </c>
      <c r="I4" s="2" t="s">
        <v>309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227">
        <v>300</v>
      </c>
    </row>
    <row r="5" spans="1:22" x14ac:dyDescent="0.3">
      <c r="A5" s="2">
        <v>2</v>
      </c>
      <c r="B5" s="155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H5" s="2" t="s">
        <v>53</v>
      </c>
      <c r="I5" s="2" t="s">
        <v>309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227">
        <v>185</v>
      </c>
    </row>
    <row r="6" spans="1:22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V6" s="227"/>
    </row>
    <row r="7" spans="1:22" ht="21" customHeight="1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64" t="s">
        <v>407</v>
      </c>
      <c r="G7" s="33"/>
      <c r="H7" s="2" t="s">
        <v>53</v>
      </c>
      <c r="I7" s="2" t="s">
        <v>309</v>
      </c>
      <c r="V7" s="227"/>
    </row>
    <row r="8" spans="1:22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227">
        <v>235</v>
      </c>
    </row>
    <row r="9" spans="1:22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227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  <c r="V10" s="227"/>
    </row>
    <row r="11" spans="1:22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227">
        <v>285</v>
      </c>
    </row>
    <row r="12" spans="1:22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227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227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topLeftCell="B1" workbookViewId="0">
      <selection activeCell="N15" sqref="N15"/>
    </sheetView>
  </sheetViews>
  <sheetFormatPr defaultRowHeight="15" x14ac:dyDescent="0.25"/>
  <cols>
    <col min="2" max="2" width="27.85546875" customWidth="1"/>
    <col min="3" max="3" width="16.28515625" style="172" customWidth="1"/>
    <col min="4" max="4" width="20.85546875" style="172" customWidth="1"/>
    <col min="5" max="5" width="37.5703125" customWidth="1"/>
    <col min="6" max="6" width="43.8554687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73" t="s">
        <v>503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78" t="s">
        <v>7</v>
      </c>
      <c r="L2" s="278"/>
      <c r="M2" s="278"/>
      <c r="N2" s="278"/>
      <c r="O2" s="279" t="s">
        <v>8</v>
      </c>
      <c r="P2" s="279"/>
      <c r="Q2" s="279"/>
      <c r="R2" s="291" t="s">
        <v>323</v>
      </c>
      <c r="S2" s="291" t="s">
        <v>324</v>
      </c>
      <c r="T2" s="280" t="s">
        <v>11</v>
      </c>
      <c r="U2" s="280" t="s">
        <v>12</v>
      </c>
      <c r="V2" s="291" t="s">
        <v>325</v>
      </c>
    </row>
    <row r="3" spans="1:22" s="22" customFormat="1" ht="18.75" x14ac:dyDescent="0.3">
      <c r="A3" s="170" t="s">
        <v>6</v>
      </c>
      <c r="B3" s="170" t="s">
        <v>5</v>
      </c>
      <c r="C3" s="171" t="s">
        <v>4</v>
      </c>
      <c r="D3" s="171" t="s">
        <v>3</v>
      </c>
      <c r="E3" s="171" t="s">
        <v>117</v>
      </c>
      <c r="F3" s="171" t="s">
        <v>71</v>
      </c>
      <c r="G3" s="171" t="s">
        <v>106</v>
      </c>
      <c r="H3" s="170" t="s">
        <v>2</v>
      </c>
      <c r="I3" s="170" t="s">
        <v>173</v>
      </c>
      <c r="J3" s="170" t="s">
        <v>1</v>
      </c>
      <c r="K3" s="174" t="s">
        <v>14</v>
      </c>
      <c r="L3" s="175" t="s">
        <v>15</v>
      </c>
      <c r="M3" s="176" t="s">
        <v>16</v>
      </c>
      <c r="N3" s="177" t="s">
        <v>17</v>
      </c>
      <c r="O3" s="178" t="s">
        <v>18</v>
      </c>
      <c r="P3" s="179" t="s">
        <v>19</v>
      </c>
      <c r="Q3" s="180" t="s">
        <v>20</v>
      </c>
      <c r="R3" s="280"/>
      <c r="S3" s="280"/>
      <c r="T3" s="280"/>
      <c r="U3" s="280"/>
      <c r="V3" s="280"/>
    </row>
    <row r="4" spans="1:22" ht="18.75" x14ac:dyDescent="0.3">
      <c r="A4" s="2">
        <v>1</v>
      </c>
      <c r="B4" s="1" t="s">
        <v>313</v>
      </c>
      <c r="C4" s="163">
        <v>35107</v>
      </c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 t="s">
        <v>484</v>
      </c>
      <c r="D5" s="220" t="s">
        <v>440</v>
      </c>
      <c r="E5" s="3" t="s">
        <v>485</v>
      </c>
      <c r="F5" s="3" t="s">
        <v>486</v>
      </c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63">
        <v>35471</v>
      </c>
      <c r="D6" s="220" t="s">
        <v>262</v>
      </c>
      <c r="E6" s="3" t="s">
        <v>261</v>
      </c>
      <c r="F6" s="3" t="s">
        <v>69</v>
      </c>
      <c r="G6" s="33"/>
      <c r="H6" s="2"/>
      <c r="I6" s="2" t="s">
        <v>447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441</v>
      </c>
      <c r="C7" s="34" t="s">
        <v>476</v>
      </c>
      <c r="D7" s="34" t="s">
        <v>442</v>
      </c>
      <c r="E7" s="3" t="s">
        <v>477</v>
      </c>
      <c r="F7" s="3" t="s">
        <v>235</v>
      </c>
      <c r="G7" s="33"/>
      <c r="H7" s="2" t="s">
        <v>53</v>
      </c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443</v>
      </c>
      <c r="C8" s="34" t="s">
        <v>478</v>
      </c>
      <c r="D8" s="34" t="s">
        <v>445</v>
      </c>
      <c r="E8" s="3" t="s">
        <v>477</v>
      </c>
      <c r="F8" s="3" t="s">
        <v>235</v>
      </c>
      <c r="G8" s="33"/>
      <c r="H8" s="2" t="s">
        <v>53</v>
      </c>
      <c r="I8" s="2" t="s">
        <v>332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s="1" customFormat="1" ht="18.75" x14ac:dyDescent="0.3">
      <c r="A9" s="2">
        <v>6</v>
      </c>
      <c r="B9" s="1" t="s">
        <v>444</v>
      </c>
      <c r="C9" s="163">
        <v>35217</v>
      </c>
      <c r="D9" s="220" t="s">
        <v>446</v>
      </c>
      <c r="E9" s="1" t="s">
        <v>477</v>
      </c>
      <c r="F9" s="1" t="s">
        <v>235</v>
      </c>
      <c r="G9" s="2"/>
      <c r="H9" s="2" t="s">
        <v>53</v>
      </c>
      <c r="I9" s="2" t="s">
        <v>332</v>
      </c>
    </row>
    <row r="10" spans="1:22" ht="18.75" x14ac:dyDescent="0.3">
      <c r="A10" s="2">
        <v>7</v>
      </c>
      <c r="B10" s="1" t="s">
        <v>449</v>
      </c>
      <c r="C10" s="77" t="s">
        <v>487</v>
      </c>
      <c r="D10" s="220" t="s">
        <v>450</v>
      </c>
      <c r="E10" s="1" t="s">
        <v>488</v>
      </c>
      <c r="F10" s="1" t="s">
        <v>489</v>
      </c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452</v>
      </c>
      <c r="C11" s="163">
        <v>34820</v>
      </c>
      <c r="D11" s="34" t="s">
        <v>455</v>
      </c>
      <c r="E11" s="1" t="s">
        <v>479</v>
      </c>
      <c r="F11" s="1" t="s">
        <v>480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453</v>
      </c>
      <c r="C12" s="77" t="s">
        <v>481</v>
      </c>
      <c r="D12" s="220" t="s">
        <v>456</v>
      </c>
      <c r="E12" s="1" t="s">
        <v>482</v>
      </c>
      <c r="F12" s="1" t="s">
        <v>235</v>
      </c>
      <c r="G12" s="2"/>
      <c r="H12" s="2" t="s">
        <v>53</v>
      </c>
      <c r="I12" s="2" t="s">
        <v>309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 t="s">
        <v>454</v>
      </c>
      <c r="C13" s="163">
        <v>35318</v>
      </c>
      <c r="D13" s="34" t="s">
        <v>457</v>
      </c>
      <c r="E13" s="1" t="s">
        <v>483</v>
      </c>
      <c r="F13" s="1" t="s">
        <v>235</v>
      </c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491</v>
      </c>
      <c r="C14" s="77" t="s">
        <v>501</v>
      </c>
      <c r="D14" s="34" t="s">
        <v>492</v>
      </c>
      <c r="E14" s="1" t="s">
        <v>502</v>
      </c>
      <c r="G14" s="2"/>
      <c r="H14" s="2" t="s">
        <v>53</v>
      </c>
      <c r="I14" s="2" t="s">
        <v>309</v>
      </c>
    </row>
    <row r="15" spans="1:22" s="1" customFormat="1" ht="18.75" x14ac:dyDescent="0.3">
      <c r="A15" s="2">
        <v>12</v>
      </c>
      <c r="B15" s="1" t="s">
        <v>497</v>
      </c>
      <c r="C15" s="163">
        <v>32606</v>
      </c>
      <c r="D15" s="34" t="s">
        <v>498</v>
      </c>
      <c r="E15" s="1" t="s">
        <v>499</v>
      </c>
      <c r="F15" s="1" t="s">
        <v>500</v>
      </c>
      <c r="G15" s="2"/>
      <c r="H15" s="2" t="s">
        <v>53</v>
      </c>
      <c r="I15" s="2" t="s">
        <v>332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topLeftCell="C1" workbookViewId="0">
      <selection activeCell="J8" sqref="J8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72" customWidth="1"/>
    <col min="4" max="4" width="23.140625" customWidth="1"/>
    <col min="5" max="5" width="48.28515625" customWidth="1"/>
    <col min="6" max="6" width="31.42578125" style="172" customWidth="1"/>
    <col min="7" max="7" width="17.42578125" customWidth="1"/>
    <col min="8" max="8" width="14.7109375" customWidth="1"/>
    <col min="9" max="9" width="17.28515625" customWidth="1"/>
    <col min="10" max="10" width="15" style="60" customWidth="1"/>
  </cols>
  <sheetData>
    <row r="1" spans="1:22" ht="18.75" x14ac:dyDescent="0.3">
      <c r="A1" s="2"/>
      <c r="B1" s="173" t="s">
        <v>504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4"/>
      <c r="G2" s="33"/>
      <c r="H2" s="2"/>
      <c r="I2" s="2"/>
      <c r="J2" s="2"/>
      <c r="K2" s="289" t="s">
        <v>7</v>
      </c>
      <c r="L2" s="289"/>
      <c r="M2" s="289"/>
      <c r="N2" s="289"/>
      <c r="O2" s="290" t="s">
        <v>8</v>
      </c>
      <c r="P2" s="290"/>
      <c r="Q2" s="290"/>
      <c r="R2" s="285" t="s">
        <v>323</v>
      </c>
      <c r="S2" s="285" t="s">
        <v>324</v>
      </c>
      <c r="T2" s="284" t="s">
        <v>11</v>
      </c>
      <c r="U2" s="284" t="s">
        <v>12</v>
      </c>
      <c r="V2" s="285" t="s">
        <v>325</v>
      </c>
    </row>
    <row r="3" spans="1:22" ht="18.75" x14ac:dyDescent="0.3">
      <c r="A3" s="170" t="s">
        <v>6</v>
      </c>
      <c r="B3" s="170" t="s">
        <v>5</v>
      </c>
      <c r="C3" s="205" t="s">
        <v>4</v>
      </c>
      <c r="D3" s="171" t="s">
        <v>3</v>
      </c>
      <c r="E3" s="171" t="s">
        <v>117</v>
      </c>
      <c r="F3" s="205" t="s">
        <v>71</v>
      </c>
      <c r="G3" s="171" t="s">
        <v>106</v>
      </c>
      <c r="H3" s="170" t="s">
        <v>2</v>
      </c>
      <c r="I3" s="170" t="s">
        <v>173</v>
      </c>
      <c r="J3" s="181" t="s">
        <v>1</v>
      </c>
      <c r="K3" s="174" t="s">
        <v>14</v>
      </c>
      <c r="L3" s="175" t="s">
        <v>15</v>
      </c>
      <c r="M3" s="176" t="s">
        <v>16</v>
      </c>
      <c r="N3" s="177" t="s">
        <v>17</v>
      </c>
      <c r="O3" s="178" t="s">
        <v>18</v>
      </c>
      <c r="P3" s="179" t="s">
        <v>19</v>
      </c>
      <c r="Q3" s="180" t="s">
        <v>20</v>
      </c>
      <c r="R3" s="284"/>
      <c r="S3" s="284"/>
      <c r="T3" s="284"/>
      <c r="U3" s="284"/>
      <c r="V3" s="284"/>
    </row>
    <row r="4" spans="1:22" s="219" customFormat="1" ht="18.75" x14ac:dyDescent="0.3">
      <c r="A4" s="214">
        <v>1</v>
      </c>
      <c r="B4" s="215" t="s">
        <v>188</v>
      </c>
      <c r="C4" s="216" t="s">
        <v>256</v>
      </c>
      <c r="D4" s="217" t="s">
        <v>189</v>
      </c>
      <c r="E4" s="218" t="s">
        <v>257</v>
      </c>
      <c r="F4" s="216" t="s">
        <v>89</v>
      </c>
      <c r="G4" s="214"/>
      <c r="H4" s="214" t="s">
        <v>53</v>
      </c>
      <c r="I4" s="214" t="s">
        <v>451</v>
      </c>
      <c r="J4" s="214"/>
      <c r="K4" s="215"/>
      <c r="L4" s="215"/>
      <c r="M4" s="215"/>
      <c r="N4" s="215"/>
      <c r="O4" s="215"/>
      <c r="P4" s="215"/>
      <c r="Q4" s="215"/>
      <c r="R4" s="215"/>
      <c r="S4" s="215"/>
      <c r="T4" s="215"/>
      <c r="U4" s="215"/>
      <c r="V4" s="215"/>
    </row>
    <row r="5" spans="1:22" ht="18.75" x14ac:dyDescent="0.3">
      <c r="A5" s="2">
        <v>2</v>
      </c>
      <c r="B5" s="1" t="s">
        <v>202</v>
      </c>
      <c r="C5" s="163">
        <v>34705</v>
      </c>
      <c r="D5" s="74" t="s">
        <v>467</v>
      </c>
      <c r="E5" s="34" t="s">
        <v>468</v>
      </c>
      <c r="F5" s="34" t="s">
        <v>260</v>
      </c>
      <c r="G5" s="33"/>
      <c r="H5" s="2" t="s">
        <v>53</v>
      </c>
      <c r="I5" s="2" t="s">
        <v>451</v>
      </c>
      <c r="J5" s="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466</v>
      </c>
      <c r="C6" s="163">
        <v>34983</v>
      </c>
      <c r="D6" s="34" t="s">
        <v>458</v>
      </c>
      <c r="E6" s="3" t="s">
        <v>469</v>
      </c>
      <c r="F6" s="34" t="s">
        <v>260</v>
      </c>
      <c r="G6" s="33"/>
      <c r="H6" s="2" t="s">
        <v>53</v>
      </c>
      <c r="I6" s="2" t="s">
        <v>309</v>
      </c>
      <c r="J6" s="2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459</v>
      </c>
      <c r="C7" s="34" t="s">
        <v>470</v>
      </c>
      <c r="D7" s="34" t="s">
        <v>460</v>
      </c>
      <c r="E7" s="3" t="s">
        <v>469</v>
      </c>
      <c r="F7" s="34" t="s">
        <v>471</v>
      </c>
      <c r="G7" s="33"/>
      <c r="H7" s="2" t="s">
        <v>53</v>
      </c>
      <c r="I7" s="2" t="s">
        <v>332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203" customFormat="1" ht="18.75" x14ac:dyDescent="0.3">
      <c r="A8" s="198">
        <v>5</v>
      </c>
      <c r="B8" s="199" t="s">
        <v>463</v>
      </c>
      <c r="C8" s="200" t="s">
        <v>473</v>
      </c>
      <c r="D8" s="200" t="s">
        <v>461</v>
      </c>
      <c r="E8" s="201" t="s">
        <v>462</v>
      </c>
      <c r="F8" s="200" t="s">
        <v>472</v>
      </c>
      <c r="G8" s="202"/>
      <c r="H8" s="198" t="s">
        <v>53</v>
      </c>
      <c r="I8" s="198" t="s">
        <v>309</v>
      </c>
      <c r="J8" s="198"/>
      <c r="K8" s="199"/>
      <c r="L8" s="199"/>
      <c r="M8" s="199"/>
      <c r="N8" s="199"/>
      <c r="O8" s="199"/>
      <c r="P8" s="199"/>
      <c r="Q8" s="199"/>
      <c r="R8" s="199"/>
      <c r="S8" s="199"/>
      <c r="T8" s="199"/>
      <c r="U8" s="199"/>
      <c r="V8" s="199"/>
    </row>
    <row r="9" spans="1:22" ht="18.75" x14ac:dyDescent="0.3">
      <c r="A9" s="2">
        <v>6</v>
      </c>
      <c r="B9" s="1" t="s">
        <v>52</v>
      </c>
      <c r="C9" s="77" t="s">
        <v>96</v>
      </c>
      <c r="D9" s="34" t="s">
        <v>92</v>
      </c>
      <c r="E9" s="1" t="s">
        <v>128</v>
      </c>
      <c r="F9" s="77" t="s">
        <v>76</v>
      </c>
      <c r="G9" s="2"/>
      <c r="H9" s="2" t="s">
        <v>53</v>
      </c>
      <c r="I9" s="2" t="s">
        <v>490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8" t="s">
        <v>63</v>
      </c>
      <c r="C10" s="59" t="s">
        <v>85</v>
      </c>
      <c r="D10" s="75" t="s">
        <v>86</v>
      </c>
      <c r="E10" s="59" t="s">
        <v>125</v>
      </c>
      <c r="F10" s="59" t="s">
        <v>89</v>
      </c>
      <c r="G10" s="2"/>
      <c r="H10" s="2" t="s">
        <v>53</v>
      </c>
      <c r="I10" s="2" t="s">
        <v>451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464</v>
      </c>
      <c r="C11" s="77" t="s">
        <v>474</v>
      </c>
      <c r="D11" s="75" t="s">
        <v>465</v>
      </c>
      <c r="E11" s="1" t="s">
        <v>475</v>
      </c>
      <c r="F11" s="77" t="s">
        <v>89</v>
      </c>
      <c r="G11" s="2"/>
      <c r="H11" s="2" t="s">
        <v>53</v>
      </c>
      <c r="I11" s="2" t="s">
        <v>332</v>
      </c>
      <c r="J11" s="2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220</v>
      </c>
      <c r="C12" s="77" t="s">
        <v>249</v>
      </c>
      <c r="D12" s="75" t="s">
        <v>505</v>
      </c>
      <c r="E12" s="1"/>
      <c r="F12" s="77"/>
      <c r="G12" s="2"/>
      <c r="H12" s="2"/>
      <c r="I12" s="2"/>
      <c r="J12" s="2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/>
      <c r="C13" s="77"/>
      <c r="D13" s="77"/>
      <c r="E13" s="1"/>
      <c r="F13" s="77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72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7"/>
  <sheetViews>
    <sheetView workbookViewId="0">
      <selection activeCell="F10" sqref="F10"/>
    </sheetView>
  </sheetViews>
  <sheetFormatPr defaultRowHeight="15" x14ac:dyDescent="0.25"/>
  <cols>
    <col min="1" max="1" width="6.28515625" style="60" customWidth="1"/>
    <col min="2" max="2" width="26.28515625" customWidth="1"/>
    <col min="3" max="3" width="11.85546875" bestFit="1" customWidth="1"/>
    <col min="4" max="4" width="12.42578125" style="254" customWidth="1"/>
    <col min="5" max="5" width="8.85546875" bestFit="1" customWidth="1"/>
    <col min="6" max="6" width="15.5703125" bestFit="1" customWidth="1"/>
    <col min="7" max="7" width="12.85546875" bestFit="1" customWidth="1"/>
    <col min="8" max="8" width="9.7109375" bestFit="1" customWidth="1"/>
    <col min="9" max="9" width="16.5703125" style="60" bestFit="1" customWidth="1"/>
    <col min="10" max="10" width="10.7109375" bestFit="1" customWidth="1"/>
  </cols>
  <sheetData>
    <row r="1" spans="1:22" ht="18.75" x14ac:dyDescent="0.3">
      <c r="A1" s="255"/>
      <c r="B1" s="298" t="s">
        <v>508</v>
      </c>
      <c r="C1" s="299"/>
      <c r="D1" s="300"/>
      <c r="E1" s="230"/>
      <c r="F1" s="230"/>
      <c r="G1" s="230"/>
      <c r="H1" s="255"/>
      <c r="I1" s="255"/>
      <c r="J1" s="21"/>
      <c r="K1" s="255"/>
      <c r="L1" s="255"/>
      <c r="M1" s="255"/>
      <c r="N1" s="255"/>
      <c r="O1" s="255"/>
      <c r="P1" s="255"/>
      <c r="Q1" s="255"/>
      <c r="R1" s="21"/>
      <c r="S1" s="21"/>
      <c r="T1" s="21"/>
      <c r="U1" s="21"/>
      <c r="V1" s="21"/>
    </row>
    <row r="2" spans="1:22" ht="18.75" x14ac:dyDescent="0.3">
      <c r="A2" s="255"/>
      <c r="B2" s="21"/>
      <c r="C2" s="299"/>
      <c r="D2" s="300"/>
      <c r="E2" s="230"/>
      <c r="F2" s="230"/>
      <c r="G2" s="230"/>
      <c r="H2" s="255"/>
      <c r="I2" s="255"/>
      <c r="J2" s="21"/>
      <c r="K2" s="289" t="s">
        <v>7</v>
      </c>
      <c r="L2" s="289"/>
      <c r="M2" s="289"/>
      <c r="N2" s="289"/>
      <c r="O2" s="290" t="s">
        <v>8</v>
      </c>
      <c r="P2" s="290"/>
      <c r="Q2" s="290"/>
      <c r="R2" s="285" t="s">
        <v>323</v>
      </c>
      <c r="S2" s="285" t="s">
        <v>324</v>
      </c>
      <c r="T2" s="284" t="s">
        <v>11</v>
      </c>
      <c r="U2" s="284" t="s">
        <v>12</v>
      </c>
      <c r="V2" s="285" t="s">
        <v>325</v>
      </c>
    </row>
    <row r="3" spans="1:22" s="165" customFormat="1" x14ac:dyDescent="0.25">
      <c r="A3" s="239" t="s">
        <v>6</v>
      </c>
      <c r="B3" s="239" t="s">
        <v>5</v>
      </c>
      <c r="C3" s="240" t="s">
        <v>4</v>
      </c>
      <c r="D3" s="240" t="s">
        <v>3</v>
      </c>
      <c r="E3" s="240" t="s">
        <v>117</v>
      </c>
      <c r="F3" s="240" t="s">
        <v>71</v>
      </c>
      <c r="G3" s="240" t="s">
        <v>106</v>
      </c>
      <c r="H3" s="239" t="s">
        <v>2</v>
      </c>
      <c r="I3" s="239" t="s">
        <v>173</v>
      </c>
      <c r="J3" s="239" t="s">
        <v>1</v>
      </c>
      <c r="K3" s="241" t="s">
        <v>14</v>
      </c>
      <c r="L3" s="242" t="s">
        <v>15</v>
      </c>
      <c r="M3" s="243" t="s">
        <v>16</v>
      </c>
      <c r="N3" s="244" t="s">
        <v>17</v>
      </c>
      <c r="O3" s="245" t="s">
        <v>18</v>
      </c>
      <c r="P3" s="246" t="s">
        <v>19</v>
      </c>
      <c r="Q3" s="247" t="s">
        <v>20</v>
      </c>
      <c r="R3" s="284"/>
      <c r="S3" s="284"/>
      <c r="T3" s="284"/>
      <c r="U3" s="284"/>
      <c r="V3" s="284"/>
    </row>
    <row r="4" spans="1:22" x14ac:dyDescent="0.25">
      <c r="A4" s="19">
        <v>1</v>
      </c>
      <c r="B4" s="22" t="s">
        <v>520</v>
      </c>
      <c r="C4" s="22"/>
      <c r="D4" s="301" t="s">
        <v>519</v>
      </c>
      <c r="E4" s="22"/>
      <c r="F4" s="22"/>
      <c r="G4" s="22"/>
      <c r="H4" s="22"/>
      <c r="I4" s="19" t="s">
        <v>309</v>
      </c>
      <c r="J4" s="22"/>
      <c r="K4" s="19">
        <v>4</v>
      </c>
      <c r="L4" s="19">
        <v>11</v>
      </c>
      <c r="M4" s="19">
        <v>4</v>
      </c>
      <c r="N4" s="19">
        <v>8</v>
      </c>
      <c r="O4" s="19">
        <v>15</v>
      </c>
      <c r="P4" s="19">
        <v>4</v>
      </c>
      <c r="Q4" s="19">
        <v>13</v>
      </c>
      <c r="R4" s="19">
        <f>SUM(K4:N4)</f>
        <v>27</v>
      </c>
      <c r="S4" s="19">
        <f>SUM(O4:Q4)</f>
        <v>32</v>
      </c>
      <c r="T4" s="19">
        <v>115</v>
      </c>
      <c r="U4" s="19">
        <v>100</v>
      </c>
      <c r="V4" s="19">
        <f>T4+U4</f>
        <v>215</v>
      </c>
    </row>
    <row r="5" spans="1:22" x14ac:dyDescent="0.25">
      <c r="A5" s="19">
        <v>2</v>
      </c>
      <c r="B5" s="22" t="s">
        <v>509</v>
      </c>
      <c r="C5" s="22"/>
      <c r="D5" s="301" t="s">
        <v>510</v>
      </c>
      <c r="E5" s="22"/>
      <c r="F5" s="22"/>
      <c r="G5" s="22"/>
      <c r="H5" s="22"/>
      <c r="I5" s="19" t="s">
        <v>309</v>
      </c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</row>
    <row r="6" spans="1:22" x14ac:dyDescent="0.25">
      <c r="A6" s="19">
        <v>3</v>
      </c>
      <c r="B6" s="296" t="s">
        <v>515</v>
      </c>
      <c r="C6" s="22"/>
      <c r="D6" s="297" t="s">
        <v>517</v>
      </c>
      <c r="E6" s="22"/>
      <c r="F6" s="22"/>
      <c r="G6" s="22"/>
      <c r="H6" s="22"/>
      <c r="I6" s="19" t="s">
        <v>309</v>
      </c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</row>
    <row r="7" spans="1:22" x14ac:dyDescent="0.25">
      <c r="A7" s="19">
        <v>4</v>
      </c>
      <c r="B7" s="296" t="s">
        <v>516</v>
      </c>
      <c r="C7" s="22"/>
      <c r="D7" s="297" t="s">
        <v>518</v>
      </c>
      <c r="E7" s="22"/>
      <c r="F7" s="22"/>
      <c r="G7" s="22"/>
      <c r="H7" s="22"/>
      <c r="I7" s="19" t="s">
        <v>309</v>
      </c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7"/>
  <sheetViews>
    <sheetView tabSelected="1" workbookViewId="0">
      <selection activeCell="E17" sqref="E17"/>
    </sheetView>
  </sheetViews>
  <sheetFormatPr defaultRowHeight="15" x14ac:dyDescent="0.25"/>
  <cols>
    <col min="1" max="1" width="9.140625" style="165"/>
    <col min="2" max="2" width="29.7109375" style="165" customWidth="1"/>
    <col min="3" max="3" width="18.140625" style="165" customWidth="1"/>
    <col min="4" max="4" width="20.85546875" style="165" customWidth="1"/>
    <col min="5" max="5" width="41.28515625" style="165" customWidth="1"/>
    <col min="6" max="6" width="30" style="165" customWidth="1"/>
    <col min="7" max="7" width="19.5703125" style="165" customWidth="1"/>
    <col min="8" max="8" width="13" style="165" customWidth="1"/>
    <col min="9" max="9" width="17.140625" style="165" customWidth="1"/>
    <col min="10" max="16384" width="9.140625" style="165"/>
  </cols>
  <sheetData>
    <row r="1" spans="1:21" ht="18.75" x14ac:dyDescent="0.3">
      <c r="A1" s="250"/>
      <c r="B1" s="173" t="s">
        <v>507</v>
      </c>
      <c r="C1" s="256"/>
      <c r="D1" s="169"/>
      <c r="E1" s="169"/>
      <c r="F1" s="168"/>
      <c r="G1" s="169"/>
      <c r="H1" s="250"/>
      <c r="I1" s="250"/>
      <c r="J1" s="250"/>
      <c r="K1" s="250"/>
      <c r="L1" s="250"/>
      <c r="M1" s="250"/>
      <c r="N1" s="250"/>
      <c r="O1" s="250"/>
      <c r="P1" s="250"/>
    </row>
    <row r="2" spans="1:21" x14ac:dyDescent="0.25">
      <c r="A2" s="250"/>
      <c r="C2" s="256"/>
      <c r="D2" s="168"/>
      <c r="E2" s="169"/>
      <c r="F2" s="168"/>
      <c r="G2" s="169"/>
      <c r="H2" s="250"/>
      <c r="I2" s="250"/>
      <c r="J2" s="294" t="s">
        <v>7</v>
      </c>
      <c r="K2" s="294"/>
      <c r="L2" s="294"/>
      <c r="M2" s="294"/>
      <c r="N2" s="295" t="s">
        <v>8</v>
      </c>
      <c r="O2" s="295"/>
      <c r="P2" s="295"/>
      <c r="Q2" s="292" t="s">
        <v>323</v>
      </c>
      <c r="R2" s="292" t="s">
        <v>324</v>
      </c>
      <c r="S2" s="293" t="s">
        <v>11</v>
      </c>
      <c r="T2" s="293" t="s">
        <v>12</v>
      </c>
      <c r="U2" s="292" t="s">
        <v>325</v>
      </c>
    </row>
    <row r="3" spans="1:21" x14ac:dyDescent="0.25">
      <c r="A3" s="239" t="s">
        <v>6</v>
      </c>
      <c r="B3" s="239" t="s">
        <v>5</v>
      </c>
      <c r="C3" s="248" t="s">
        <v>4</v>
      </c>
      <c r="D3" s="240" t="s">
        <v>3</v>
      </c>
      <c r="E3" s="249" t="s">
        <v>117</v>
      </c>
      <c r="F3" s="240" t="s">
        <v>71</v>
      </c>
      <c r="G3" s="240" t="s">
        <v>106</v>
      </c>
      <c r="H3" s="239" t="s">
        <v>2</v>
      </c>
      <c r="I3" s="239" t="s">
        <v>173</v>
      </c>
      <c r="J3" s="241" t="s">
        <v>14</v>
      </c>
      <c r="K3" s="242" t="s">
        <v>15</v>
      </c>
      <c r="L3" s="243" t="s">
        <v>16</v>
      </c>
      <c r="M3" s="244" t="s">
        <v>17</v>
      </c>
      <c r="N3" s="245" t="s">
        <v>18</v>
      </c>
      <c r="O3" s="246" t="s">
        <v>19</v>
      </c>
      <c r="P3" s="247" t="s">
        <v>20</v>
      </c>
      <c r="Q3" s="293"/>
      <c r="R3" s="293"/>
      <c r="S3" s="293"/>
      <c r="T3" s="293"/>
      <c r="U3" s="293"/>
    </row>
    <row r="4" spans="1:21" x14ac:dyDescent="0.25">
      <c r="A4" s="250">
        <v>1</v>
      </c>
      <c r="B4" s="165" t="s">
        <v>363</v>
      </c>
      <c r="C4" s="251">
        <v>35013</v>
      </c>
      <c r="D4" s="252" t="s">
        <v>393</v>
      </c>
      <c r="E4" s="168" t="s">
        <v>364</v>
      </c>
      <c r="F4" s="168"/>
      <c r="G4" s="169"/>
      <c r="H4" s="250" t="s">
        <v>53</v>
      </c>
      <c r="I4" s="250" t="s">
        <v>451</v>
      </c>
    </row>
    <row r="5" spans="1:21" x14ac:dyDescent="0.25">
      <c r="A5" s="250">
        <v>2</v>
      </c>
      <c r="B5" s="165" t="s">
        <v>334</v>
      </c>
      <c r="C5" s="251">
        <v>34824</v>
      </c>
      <c r="D5" s="168" t="s">
        <v>337</v>
      </c>
      <c r="E5" s="253" t="s">
        <v>335</v>
      </c>
      <c r="F5" s="168"/>
      <c r="G5" s="169"/>
      <c r="H5" s="250" t="s">
        <v>53</v>
      </c>
      <c r="I5" s="250" t="s">
        <v>451</v>
      </c>
    </row>
    <row r="6" spans="1:21" x14ac:dyDescent="0.25">
      <c r="A6" s="250">
        <v>3</v>
      </c>
      <c r="B6" s="165" t="s">
        <v>511</v>
      </c>
      <c r="C6" s="168"/>
      <c r="D6" s="168" t="s">
        <v>512</v>
      </c>
      <c r="E6" s="253" t="s">
        <v>513</v>
      </c>
      <c r="F6" s="168"/>
      <c r="G6" s="169"/>
      <c r="H6" s="250" t="s">
        <v>53</v>
      </c>
      <c r="I6" s="250" t="s">
        <v>514</v>
      </c>
    </row>
    <row r="7" spans="1:21" x14ac:dyDescent="0.25">
      <c r="A7" s="257"/>
      <c r="B7" s="258"/>
      <c r="C7" s="259"/>
      <c r="D7" s="259"/>
      <c r="E7" s="260"/>
      <c r="F7" s="259"/>
      <c r="G7" s="261"/>
      <c r="H7" s="257"/>
      <c r="I7" s="257"/>
      <c r="J7" s="258"/>
      <c r="K7" s="258"/>
      <c r="L7" s="258"/>
      <c r="M7" s="258"/>
      <c r="N7" s="258"/>
      <c r="O7" s="258"/>
      <c r="P7" s="258"/>
      <c r="Q7" s="258"/>
      <c r="R7" s="258"/>
      <c r="S7" s="258"/>
      <c r="T7" s="258"/>
      <c r="U7" s="258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  <vt:lpstr>TOEIC AK9</vt:lpstr>
      <vt:lpstr>TOEIC BK7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2018-03-03T08:07:08Z</dcterms:modified>
</cp:coreProperties>
</file>