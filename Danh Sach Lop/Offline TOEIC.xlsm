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2" activeTab="1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Sheet1" sheetId="34" r:id="rId16"/>
    <sheet name="TOEIC AK9" sheetId="32" r:id="rId17"/>
    <sheet name="TOEIC BK7" sheetId="33" r:id="rId18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<sst xmlns="http://schemas.openxmlformats.org/spreadsheetml/2006/main" count="2413" uniqueCount="545">
  <si>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</si>
  <si>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</si>
  <si>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</si>
  <si>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</si>
  <si>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</si>
  <si>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</si>
  <si>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</si>
  <si>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</si>
  <si>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</si>
  <si>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</si>
  <si>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</si>
  <si>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</si>
  <si>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</si>
  <si>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</si>
  <si>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</si>
  <si>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</si>
  <si>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</si>
  <si>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</si>
  <si>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</si>
  <si>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</si>
  <si>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</si>
  <si>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</si>
  <si>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</si>
  <si>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</si>
  <si>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</si>
  <si>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</si>
  <si>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</si>
  <si>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</si>
  <si>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</si>
  <si>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</si>
  <si>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</si>
  <si>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</si>
  <si>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</si>
  <si>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</si>
  <si>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</si>
  <si>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</si>
  <si>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</si>
  <si>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</si>
  <si>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</si>
  <si>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</si>
  <si>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</si>
  <si>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</si>
  <si>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</si>
  <si>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</si>
  <si>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</si>
  <si>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</si>
  <si>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</si>
  <si>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</si>
  <si>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</si>
  <si>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</si>
  <si>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</si>
  <si>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</si>
  <si>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</si>
  <si>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</si>
  <si>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</si>
  <si>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</si>
  <si>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</si>
  <si>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</si>
  <si>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</si>
  <si>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</si>
  <si>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</si>
  <si>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</si>
  <si>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</si>
  <si>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</si>
  <si>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</si>
  <si>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</si>
  <si>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</si>
  <si>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</si>
  <si>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</si>
  <si>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</si>
  <si>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</si>
  <si>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</si>
  <si>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</si>
  <si>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</si>
  <si>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</si>
  <si>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</si>
  <si>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</si>
  <si>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</si>
  <si>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</si>
  <si>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</si>
  <si>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</si>
  <si>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</si>
  <si>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</si>
  <si>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</si>
  <si>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</si>
  <si>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</si>
  <si>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</si>
  <si>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</si>
  <si>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</si>
  <si>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</si>
  <si>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</si>
  <si>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</si>
  <si>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</si>
  <si>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</si>
  <si>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</si>
  <si>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</si>
  <si>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</si>
  <si>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</si>
  <si>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</si>
  <si>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</si>
  <si>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</si>
  <si>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</si>
  <si>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</si>
  <si>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</si>
  <si>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</si>
  <si>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</si>
  <si>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</si>
  <si>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</si>
  <si>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</si>
  <si>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</si>
  <si>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</si>
  <si>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</si>
  <si>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</si>
  <si>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</si>
  <si>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</si>
  <si>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</si>
  <si>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</si>
  <si>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</si>
  <si>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</si>
  <si>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</si>
  <si>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</si>
  <si>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</si>
  <si>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</si>
  <si>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</si>
  <si>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</si>
  <si>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</si>
  <si>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</si>
  <si>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</si>
  <si>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</si>
  <si>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</si>
  <si>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</si>
  <si>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</si>
  <si>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</si>
  <si>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</si>
  <si>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</si>
  <si>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</si>
  <si>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</si>
  <si>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</si>
  <si>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</si>
  <si>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</si>
  <si>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</si>
  <si>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</si>
  <si>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</si>
  <si>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</si>
  <si>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</si>
  <si>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</si>
  <si>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</si>
  <si>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</si>
  <si>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</si>
  <si>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</si>
  <si>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</si>
  <si>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</si>
  <si>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</si>
  <si>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</si>
  <si>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</si>
  <si>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</si>
  <si>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</si>
  <si>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</si>
  <si>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</si>
  <si>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</si>
  <si>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</si>
  <si>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</si>
  <si>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</si>
  <si>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</si>
  <si>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</si>
  <si>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</si>
  <si>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</si>
  <si>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</si>
  <si>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</si>
  <si>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</si>
  <si>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</si>
  <si>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</si>
  <si>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</si>
  <si>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</si>
  <si>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</si>
  <si>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</si>
  <si>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</si>
  <si>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</si>
  <si>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</si>
  <si>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</si>
  <si>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</si>
  <si>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</si>
  <si>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</si>
  <si>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</si>
  <si>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</si>
  <si>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</si>
  <si>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</si>
  <si>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</si>
  <si>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</si>
  <si>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</si>
  <si>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</si>
  <si>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</si>
  <si>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</si>
  <si>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</si>
  <si>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</si>
  <si>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</si>
  <si>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</si>
  <si>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</si>
  <si>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</si>
  <si>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</si>
  <si>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</si>
  <si>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</si>
  <si>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</si>
  <si>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</si>
  <si>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</si>
  <si>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</si>
  <si>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</si>
  <si>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</si>
  <si>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</si>
  <si>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</si>
  <si>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</si>
  <si>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</si>
  <si>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</si>
  <si>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</si>
  <si>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</si>
  <si>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</si>
  <si>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</si>
  <si>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</si>
  <si>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</si>
  <si>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</si>
  <si>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</si>
  <si>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</si>
  <si>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</si>
  <si>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</si>
  <si>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</si>
  <si>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</si>
  <si>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</si>
  <si>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</si>
  <si>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</si>
  <si>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</si>
  <si>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</si>
  <si>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</si>
  <si>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</si>
  <si>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</si>
  <si>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</si>
  <si>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</si>
  <si>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</si>
  <si>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</si>
  <si>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</si>
  <si>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</si>
  <si>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</si>
  <si>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</si>
  <si>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</si>
  <si>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</si>
  <si>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</si>
  <si>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</si>
  <si>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</si>
  <si>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</si>
  <si>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</si>
  <si>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</si>
  <si>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</si>
  <si>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</si>
  <si>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</si>
  <si>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</si>
  <si>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</si>
  <si>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</si>
  <si>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</si>
  <si>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</si>
  <si>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</si>
  <si>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</si>
  <si>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</si>
  <si>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</si>
  <si>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</si>
  <si>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</si>
  <si>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</si>
  <si>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</si>
  <si>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</si>
  <si>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</si>
  <si>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</si>
  <si>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</si>
  <si>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</si>
  <si>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</si>
  <si>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</si>
  <si>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</si>
  <si>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</si>
  <si>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</si>
  <si>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</si>
  <si>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</si>
  <si>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</si>
  <si>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</si>
  <si>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</si>
  <si>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</si>
  <si>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</si>
  <si>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</si>
  <si>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</si>
  <si>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</si>
  <si>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</si>
  <si>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</si>
  <si>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</si>
  <si>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</si>
  <si>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</si>
  <si>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</si>
  <si>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</si>
  <si>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</si>
  <si>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</si>
  <si>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</si>
  <si>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</si>
  <si>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</si>
  <si>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</si>
  <si>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</si>
  <si>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</si>
  <si>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</si>
  <si>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</si>
  <si>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</si>
  <si>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</si>
  <si>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</si>
  <si>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</si>
  <si>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</si>
  <si>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</si>
  <si>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</si>
  <si>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</si>
  <si>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</si>
  <si>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</si>
  <si>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</si>
  <si>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</si>
  <si>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</si>
  <si>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</si>
  <si>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</si>
  <si>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</si>
  <si>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</si>
  <si>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</si>
  <si>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</si>
  <si>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</si>
  <si>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</si>
  <si>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</si>
  <si>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</si>
  <si>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</si>
  <si>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</si>
  <si>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</si>
  <si>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</si>
  <si>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</si>
  <si>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</si>
  <si>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</si>
  <si>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</si>
  <si>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</si>
  <si>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</si>
  <si>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</si>
  <si>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</si>
  <si>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</si>
  <si>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</si>
  <si>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</si>
  <si>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</si>
  <si>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</si>
  <si>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</si>
  <si>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</si>
  <si>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</si>
  <si>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</si>
  <si>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</si>
  <si>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</si>
  <si>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</si>
  <si>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</si>
  <si>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</si>
  <si>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</si>
  <si>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</si>
  <si>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</si>
  <si>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</si>
  <si>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</si>
  <si>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</si>
  <si>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</si>
  <si>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</si>
  <si>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</si>
  <si>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</si>
  <si>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</si>
  <si>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</si>
  <si>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</si>
  <si>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</si>
  <si>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</si>
  <si>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</si>
  <si>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</si>
  <si>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</si>
  <si>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</si>
  <si>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</si>
  <si>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</si>
  <si>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</si>
  <si>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</si>
  <si>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</si>
  <si>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</si>
  <si>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</si>
  <si>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</si>
  <si>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</si>
  <si>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</si>
  <si>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</si>
  <si>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</si>
  <si>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</si>
  <si>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</si>
  <si>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</si>
  <si>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</si>
  <si>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</si>
  <si>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</si>
  <si>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</si>
  <si>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</si>
  <si>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</si>
  <si>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</si>
  <si>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</si>
  <si>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</si>
  <si>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</si>
  <si>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</si>
  <si>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</si>
  <si>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</si>
  <si>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</si>
  <si>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</si>
  <si>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</si>
  <si>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</si>
  <si>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</si>
  <si>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</si>
  <si>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</si>
  <si>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</si>
  <si>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</si>
  <si>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</si>
  <si>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</si>
  <si>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</si>
  <si>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</si>
  <si>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</si>
  <si>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</si>
  <si>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</si>
  <si>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</si>
  <si>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</si>
  <si>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</si>
  <si>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</si>
  <si>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</si>
  <si>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</si>
  <si>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</si>
  <si>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</si>
  <si>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</si>
  <si>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</si>
  <si>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</si>
  <si>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</si>
  <si>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</si>
  <si>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</si>
  <si>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</si>
  <si>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</si>
  <si>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</si>
  <si>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</si>
  <si>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</si>
  <si>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</si>
  <si>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</si>
  <si>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</si>
  <si>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</si>
  <si>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</si>
  <si>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</si>
  <si>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</si>
  <si>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</si>
  <si>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</si>
  <si>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</si>
  <si>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</si>
  <si>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</si>
  <si>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</si>
  <si>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</si>
  <si>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</si>
  <si>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</si>
  <si>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</si>
  <si>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</si>
  <si>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</si>
  <si>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</si>
  <si>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</si>
  <si>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</si>
  <si>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</si>
  <si>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</si>
  <si>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</si>
  <si>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</si>
  <si>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</si>
  <si>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</si>
  <si>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</si>
  <si>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</si>
  <si>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</si>
  <si>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</si>
  <si>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</si>
  <si>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</si>
  <si>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</si>
  <si>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</si>
  <si>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</si>
  <si>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</si>
  <si>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</si>
  <si>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</si>
  <si>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</si>
  <si>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</si>
  <si>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</si>
  <si>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</si>
  <si>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</si>
  <si>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</si>
  <si>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</si>
  <si>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</si>
  <si>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</si>
  <si>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</si>
  <si>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</si>
  <si>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</si>
  <si>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</si>
  <si>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</si>
  <si>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</si>
  <si>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</si>
  <si>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</si>
  <si>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</si>
  <si>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</si>
  <si>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</si>
  <si>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</si>
  <si>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</si>
  <si>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</si>
  <si>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</si>
  <si>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</si>
  <si>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</si>
  <si>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</si>
  <si>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</si>
  <si>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</si>
  <si>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</si>
  <si>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</si>
  <si>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</si>
  <si>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</si>
  <si>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</si>
  <si>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</si>
  <si>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</si>
  <si>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</si>
  <si>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</si>
  <si>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</si>
  <si>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</si>
  <si>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</si>
  <si>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</si>
  <si>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</si>
  <si>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</si>
  <si>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</si>
  <si>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</si>
  <si>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</si>
  <si>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</si>
  <si>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</si>
  <si>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</si>
  <si>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</si>
  <si>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</si>
  <si>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</si>
  <si>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</si>
  <si>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</si>
  <si>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</si>
  <si>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</si>
  <si>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</si>
  <si>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</si>
  <si>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</si>
  <si>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Mai sĩ Phú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</si>
  <si>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</si>
  <si>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</si>
  <si>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</si>
  <si>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</si>
  <si>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</si>
  <si>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</si>
  <si>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</si>
  <si>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26/9/1997</t>
  </si>
  <si>
    <t>Hương Thủy</t>
  </si>
  <si>
    <t xml:space="preserve">6/3 Văn Cao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</si>
</sst>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1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0" fontId="9" fillId="5" borderId="1" xfId="4" applyFont="1" applyBorder="1" applyAlignment="1">
      <alignment horizontal="center"/>
    </xf>
    <xf numFmtId="0" fontId="15" fillId="15" borderId="0" xfId="0" applyFont="1" applyFill="1"/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25" fillId="17" borderId="1" xfId="0" applyFont="1" applyFill="1" applyBorder="1" applyAlignment="1">
      <alignment horizontal="center"/>
    </xf>
    <xf numFmtId="49" fontId="25" fillId="17" borderId="1" xfId="0" applyNumberFormat="1" applyFont="1" applyFill="1" applyBorder="1" applyAlignment="1">
      <alignment horizontal="center"/>
    </xf>
    <xf numFmtId="0" fontId="0" fillId="4" borderId="1" xfId="3" applyFont="1" applyBorder="1" applyAlignment="1">
      <alignment horizontal="center"/>
    </xf>
    <xf numFmtId="0" fontId="0" fillId="5" borderId="1" xfId="4" applyFont="1" applyBorder="1" applyAlignment="1">
      <alignment horizontal="center"/>
    </xf>
    <xf numFmtId="0" fontId="6" fillId="6" borderId="1" xfId="5" applyFont="1" applyBorder="1" applyAlignment="1">
      <alignment horizontal="center"/>
    </xf>
    <xf numFmtId="0" fontId="0" fillId="3" borderId="1" xfId="2" applyFont="1" applyBorder="1" applyAlignment="1">
      <alignment horizontal="center"/>
    </xf>
    <xf numFmtId="0" fontId="0" fillId="9" borderId="1" xfId="8" applyFont="1" applyBorder="1" applyAlignment="1">
      <alignment horizontal="center"/>
    </xf>
    <xf numFmtId="0" fontId="0" fillId="10" borderId="1" xfId="9" applyFont="1" applyBorder="1" applyAlignment="1">
      <alignment horizontal="center"/>
    </xf>
    <xf numFmtId="0" fontId="6" fillId="11" borderId="1" xfId="10" applyFont="1" applyBorder="1" applyAlignment="1">
      <alignment horizontal="center"/>
    </xf>
    <xf numFmtId="49" fontId="25" fillId="17" borderId="2" xfId="0" applyNumberFormat="1" applyFont="1" applyFill="1" applyBorder="1" applyAlignment="1">
      <alignment horizontal="left"/>
    </xf>
    <xf numFmtId="49" fontId="25" fillId="17" borderId="4" xfId="0" applyNumberFormat="1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49" fontId="0" fillId="0" borderId="0" xfId="0" applyNumberFormat="1" applyFont="1" applyFill="1" applyAlignment="1">
      <alignment horizontal="left"/>
    </xf>
    <xf numFmtId="49" fontId="0" fillId="0" borderId="0" xfId="0" applyNumberFormat="1" applyFont="1" applyFill="1"/>
    <xf numFmtId="49" fontId="0" fillId="0" borderId="0" xfId="0" applyNumberFormat="1" applyFont="1" applyFill="1" applyAlignment="1">
      <alignment horizontal="center"/>
    </xf>
    <xf numFmtId="0" fontId="0" fillId="0" borderId="1" xfId="0" applyBorder="1" applyAlignment="1">
      <alignment horizontal="left"/>
    </xf>
    <xf numFmtId="49" fontId="0" fillId="0" borderId="1" xfId="0" applyNumberFormat="1" applyBorder="1" applyAlignment="1">
      <alignment horizontal="center"/>
    </xf>
    <xf numFmtId="0" fontId="2" fillId="0" borderId="1" xfId="0" applyFont="1" applyBorder="1"/>
    <xf numFmtId="0" fontId="1" fillId="0" borderId="1" xfId="0" applyFont="1" applyBorder="1" applyAlignment="1">
      <alignment horizontal="left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/>
    <xf numFmtId="14" fontId="0" fillId="0" borderId="1" xfId="0" applyNumberFormat="1" applyFont="1" applyFill="1" applyBorder="1" applyAlignment="1">
      <alignment horizontal="left"/>
    </xf>
    <xf numFmtId="0" fontId="9" fillId="16" borderId="1" xfId="0" applyFont="1" applyFill="1" applyBorder="1" applyAlignment="1">
      <alignment horizontal="left"/>
    </xf>
    <xf numFmtId="0" fontId="9" fillId="16" borderId="5" xfId="0" applyFont="1" applyFill="1" applyBorder="1" applyAlignment="1">
      <alignment horizontal="center"/>
    </xf>
    <xf numFmtId="0" fontId="9" fillId="16" borderId="5" xfId="0" applyFont="1" applyFill="1" applyBorder="1"/>
    <xf numFmtId="14" fontId="9" fillId="16" borderId="5" xfId="0" applyNumberFormat="1" applyFont="1" applyFill="1" applyBorder="1" applyAlignment="1">
      <alignment horizontal="left"/>
    </xf>
    <xf numFmtId="0" fontId="9" fillId="16" borderId="0" xfId="0" applyFont="1" applyFill="1" applyBorder="1"/>
    <xf numFmtId="49" fontId="9" fillId="16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/>
    <xf numFmtId="49" fontId="0" fillId="16" borderId="1" xfId="0" applyNumberFormat="1" applyFill="1" applyBorder="1"/>
    <xf numFmtId="0" fontId="0" fillId="0" borderId="19" xfId="0" applyFill="1" applyBorder="1" applyAlignment="1">
      <alignment horizontal="left"/>
    </xf>
    <xf numFmtId="0" fontId="0" fillId="0" borderId="0" xfId="0" applyFont="1" applyFill="1" applyBorder="1"/>
    <xf numFmtId="14" fontId="0" fillId="0" borderId="1" xfId="0" applyNumberFormat="1" applyBorder="1"/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6" fillId="8" borderId="1" xfId="7" applyFont="1" applyBorder="1" applyAlignment="1">
      <alignment horizontal="center" vertical="center" wrapText="1"/>
    </xf>
    <xf numFmtId="0" fontId="6" fillId="8" borderId="1" xfId="7" applyFont="1" applyBorder="1" applyAlignment="1">
      <alignment horizontal="center" vertical="center"/>
    </xf>
    <xf numFmtId="0" fontId="5" fillId="2" borderId="1" xfId="1" applyFont="1" applyBorder="1" applyAlignment="1">
      <alignment horizontal="center"/>
    </xf>
    <xf numFmtId="0" fontId="6" fillId="7" borderId="1" xfId="6" applyFont="1" applyBorder="1" applyAlignment="1">
      <alignment horizontal="center"/>
    </xf>
    <xf numFmtId="0" fontId="0" fillId="0" borderId="19" xfId="0" applyFill="1" applyBorder="1"/>
    <xf numFmtId="0" fontId="0" fillId="0" borderId="1" xfId="0" applyFill="1" applyBorder="1" applyAlignment="1">
      <alignment horizontal="left"/>
    </xf>
    <xf numFmtId="0" fontId="0" fillId="0" borderId="20" xfId="0" applyBorder="1" applyAlignment="1">
      <alignment horizontal="center"/>
    </xf>
    <xf numFmtId="0" fontId="0" fillId="0" borderId="20" xfId="0" applyBorder="1"/>
    <xf numFmtId="0" fontId="0" fillId="0" borderId="7" xfId="0" applyFill="1" applyBorder="1"/>
    <xf numFmtId="0" fontId="0" fillId="0" borderId="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49" fontId="0" fillId="0" borderId="1" xfId="0" quotePrefix="1" applyNumberFormat="1" applyBorder="1"/>
    <xf numFmtId="0" fontId="0" fillId="0" borderId="0" xfId="0" applyFont="1" applyFill="1" applyBorder="1" applyAlignment="1">
      <alignment horizontal="center"/>
    </xf>
    <xf numFmtId="49" fontId="0" fillId="0" borderId="0" xfId="0" applyNumberFormat="1" applyFont="1" applyFill="1" applyBorder="1"/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8"/>
  <sheetViews>
    <sheetView topLeftCell="F1" workbookViewId="0">
      <selection activeCell="H17" sqref="H17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89" customWidth="1"/>
    <col min="9" max="9" width="22.5703125" style="17" customWidth="1"/>
    <col min="10" max="10" width="19.7109375" style="17" customWidth="1"/>
    <col min="11" max="16384" width="9.140625" style="17"/>
  </cols>
  <sheetData>
    <row r="1" spans="1:22" x14ac:dyDescent="0.25">
      <c r="A1" s="124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87" t="s">
        <v>142</v>
      </c>
      <c r="I1" s="123" t="s">
        <v>144</v>
      </c>
      <c r="J1" s="123" t="s">
        <v>208</v>
      </c>
    </row>
    <row r="2" spans="1:22" s="129" customFormat="1" x14ac:dyDescent="0.25">
      <c r="A2" s="126">
        <v>1</v>
      </c>
      <c r="B2" s="128" t="s">
        <v>108</v>
      </c>
      <c r="C2" s="128" t="s">
        <v>109</v>
      </c>
      <c r="D2" s="128" t="s">
        <v>110</v>
      </c>
      <c r="E2" s="128" t="s">
        <v>120</v>
      </c>
      <c r="F2" s="127" t="s">
        <v>79</v>
      </c>
      <c r="G2" s="127" t="s">
        <v>149</v>
      </c>
      <c r="H2" s="260" t="s">
        <v>143</v>
      </c>
      <c r="I2" s="127" t="s">
        <v>297</v>
      </c>
      <c r="J2" s="127"/>
    </row>
    <row r="3" spans="1:22" s="129" customFormat="1" ht="21" customHeight="1" x14ac:dyDescent="0.25">
      <c r="A3" s="126">
        <v>2</v>
      </c>
      <c r="B3" s="127" t="s">
        <v>63</v>
      </c>
      <c r="C3" s="128" t="s">
        <v>85</v>
      </c>
      <c r="D3" s="128" t="s">
        <v>86</v>
      </c>
      <c r="E3" s="128" t="s">
        <v>125</v>
      </c>
      <c r="F3" s="128" t="s">
        <v>89</v>
      </c>
      <c r="G3" s="128" t="s">
        <v>154</v>
      </c>
      <c r="H3" s="188" t="s">
        <v>171</v>
      </c>
      <c r="I3" s="128" t="s">
        <v>299</v>
      </c>
      <c r="J3" s="127" t="s">
        <v>209</v>
      </c>
    </row>
    <row r="4" spans="1:22" s="204" customFormat="1" x14ac:dyDescent="0.25">
      <c r="A4" s="197">
        <v>3</v>
      </c>
      <c r="B4" s="198" t="s">
        <v>225</v>
      </c>
      <c r="C4" s="199">
        <v>35560</v>
      </c>
      <c r="D4" s="200" t="s">
        <v>262</v>
      </c>
      <c r="E4" s="201" t="s">
        <v>261</v>
      </c>
      <c r="F4" s="201" t="s">
        <v>69</v>
      </c>
      <c r="G4" s="202" t="s">
        <v>174</v>
      </c>
      <c r="H4" s="203" t="s">
        <v>292</v>
      </c>
      <c r="I4" s="198" t="s">
        <v>293</v>
      </c>
      <c r="J4" s="198" t="s">
        <v>496</v>
      </c>
    </row>
    <row r="5" spans="1:22" s="262" customFormat="1" x14ac:dyDescent="0.25">
      <c r="A5" s="261">
        <v>4</v>
      </c>
      <c r="B5" s="262" t="s">
        <v>195</v>
      </c>
      <c r="F5" s="262" t="s">
        <v>294</v>
      </c>
      <c r="G5" s="262" t="s">
        <v>176</v>
      </c>
      <c r="H5" s="263" t="s">
        <v>296</v>
      </c>
      <c r="I5" s="263" t="s">
        <v>295</v>
      </c>
      <c r="K5" s="264"/>
      <c r="L5" s="264"/>
    </row>
    <row r="6" spans="1:22" s="127" customFormat="1" x14ac:dyDescent="0.25">
      <c r="A6" s="126">
        <v>5</v>
      </c>
      <c r="B6" s="127" t="s">
        <v>210</v>
      </c>
      <c r="C6" s="260" t="s">
        <v>287</v>
      </c>
      <c r="D6" s="265" t="s">
        <v>288</v>
      </c>
      <c r="E6" s="127" t="s">
        <v>289</v>
      </c>
      <c r="G6" s="127" t="s">
        <v>300</v>
      </c>
      <c r="H6" s="260" t="s">
        <v>292</v>
      </c>
      <c r="I6" s="127" t="s">
        <v>298</v>
      </c>
    </row>
    <row r="7" spans="1:22" s="213" customFormat="1" ht="15" x14ac:dyDescent="0.25">
      <c r="A7" s="212">
        <v>1</v>
      </c>
      <c r="B7" s="213" t="s">
        <v>188</v>
      </c>
      <c r="C7" s="214" t="s">
        <v>256</v>
      </c>
      <c r="D7" s="215" t="s">
        <v>189</v>
      </c>
      <c r="E7" s="215" t="s">
        <v>257</v>
      </c>
      <c r="F7" s="214" t="s">
        <v>89</v>
      </c>
      <c r="G7" s="213" t="s">
        <v>493</v>
      </c>
      <c r="H7" s="216" t="s">
        <v>494</v>
      </c>
      <c r="I7" s="213" t="s">
        <v>495</v>
      </c>
    </row>
    <row r="8" spans="1:22" customFormat="1" ht="15" x14ac:dyDescent="0.25">
      <c r="A8" s="19">
        <v>1</v>
      </c>
      <c r="B8" s="22" t="s">
        <v>520</v>
      </c>
      <c r="C8" s="22"/>
      <c r="D8" s="258" t="s">
        <v>519</v>
      </c>
      <c r="E8" s="22"/>
      <c r="F8" s="22"/>
      <c r="G8" s="22" t="s">
        <v>521</v>
      </c>
      <c r="H8" s="259">
        <v>43437</v>
      </c>
      <c r="I8" s="266">
        <v>43443</v>
      </c>
      <c r="J8" s="22"/>
      <c r="K8" s="19">
        <v>4</v>
      </c>
      <c r="L8" s="19">
        <v>11</v>
      </c>
      <c r="M8" s="19">
        <v>4</v>
      </c>
      <c r="N8" s="19">
        <v>8</v>
      </c>
      <c r="O8" s="19">
        <v>15</v>
      </c>
      <c r="P8" s="19">
        <v>4</v>
      </c>
      <c r="Q8" s="19">
        <v>13</v>
      </c>
      <c r="R8" s="19">
        <f>SUM(K8:N8)</f>
        <v>27</v>
      </c>
      <c r="S8" s="19">
        <f>SUM(O8:Q8)</f>
        <v>32</v>
      </c>
      <c r="T8" s="19">
        <v>115</v>
      </c>
      <c r="U8" s="19">
        <v>100</v>
      </c>
      <c r="V8" s="19">
        <f>T8+U8</f>
        <v>215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73" t="s">
        <v>165</v>
      </c>
      <c r="B2" s="273"/>
      <c r="C2" s="273"/>
      <c r="D2" s="273"/>
      <c r="E2" s="273"/>
      <c r="F2" s="273"/>
      <c r="G2" s="38"/>
    </row>
    <row r="3" spans="1:8" x14ac:dyDescent="0.25">
      <c r="B3" s="69" t="s">
        <v>166</v>
      </c>
      <c r="C3" s="70">
        <f ca="1">MONTH(TODAY())</f>
        <v>3</v>
      </c>
      <c r="D3" s="80"/>
      <c r="E3" s="67" t="s">
        <v>167</v>
      </c>
      <c r="G3" t="s">
        <v>227</v>
      </c>
      <c r="H3" s="71">
        <f ca="1">TODAY()</f>
        <v>43182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/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/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/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Chuẩn bị tổ chức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51</v>
      </c>
    </row>
    <row r="2" spans="1:21" ht="15.75" x14ac:dyDescent="0.25">
      <c r="J2" s="275" t="s">
        <v>7</v>
      </c>
      <c r="K2" s="275"/>
      <c r="L2" s="275"/>
      <c r="M2" s="275"/>
      <c r="N2" s="276" t="s">
        <v>8</v>
      </c>
      <c r="O2" s="276"/>
      <c r="P2" s="276"/>
      <c r="Q2" s="277" t="s">
        <v>9</v>
      </c>
      <c r="R2" s="277" t="s">
        <v>10</v>
      </c>
      <c r="S2" s="277" t="s">
        <v>11</v>
      </c>
      <c r="T2" s="277" t="s">
        <v>12</v>
      </c>
      <c r="U2" s="274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77"/>
      <c r="R3" s="277"/>
      <c r="S3" s="277"/>
      <c r="T3" s="277"/>
      <c r="U3" s="274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1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85" t="s">
        <v>6</v>
      </c>
      <c r="B3" s="285" t="s">
        <v>5</v>
      </c>
      <c r="C3" s="24"/>
      <c r="D3" s="24"/>
      <c r="E3" s="24"/>
      <c r="F3" s="24"/>
      <c r="G3" s="287"/>
      <c r="H3" s="287"/>
      <c r="I3" s="287"/>
      <c r="J3" s="284"/>
      <c r="K3" s="279"/>
      <c r="L3" s="280"/>
      <c r="M3" s="284"/>
      <c r="N3" s="279"/>
      <c r="O3" s="280"/>
      <c r="P3" s="284"/>
      <c r="Q3" s="279"/>
      <c r="R3" s="280"/>
      <c r="S3" s="284"/>
      <c r="T3" s="279"/>
      <c r="U3" s="280"/>
      <c r="V3" s="284"/>
      <c r="W3" s="279"/>
      <c r="X3" s="280"/>
      <c r="Y3" s="284"/>
      <c r="Z3" s="279"/>
      <c r="AA3" s="280"/>
      <c r="AB3" s="284"/>
      <c r="AC3" s="279"/>
      <c r="AD3" s="280"/>
      <c r="AE3" s="284"/>
      <c r="AF3" s="279"/>
      <c r="AG3" s="280"/>
      <c r="AH3" s="284"/>
      <c r="AI3" s="279"/>
      <c r="AJ3" s="280"/>
      <c r="AK3" s="284"/>
      <c r="AL3" s="279"/>
      <c r="AM3" s="280"/>
      <c r="AN3" s="284"/>
      <c r="AO3" s="279"/>
      <c r="AP3" s="280"/>
      <c r="AQ3" s="284"/>
      <c r="AR3" s="279"/>
      <c r="AS3" s="280"/>
      <c r="AT3" s="284"/>
      <c r="AU3" s="279"/>
      <c r="AV3" s="280"/>
      <c r="AW3" s="284"/>
      <c r="AX3" s="279"/>
      <c r="AY3" s="280"/>
      <c r="AZ3" s="284"/>
      <c r="BA3" s="279"/>
      <c r="BB3" s="280"/>
      <c r="BC3" s="281" t="s">
        <v>116</v>
      </c>
      <c r="BD3" s="282"/>
      <c r="BE3" s="283"/>
      <c r="BF3" s="278">
        <v>42930</v>
      </c>
      <c r="BG3" s="279"/>
      <c r="BH3" s="280"/>
      <c r="BI3" s="284" t="s">
        <v>147</v>
      </c>
      <c r="BJ3" s="279"/>
      <c r="BK3" s="280"/>
      <c r="BL3" s="284" t="s">
        <v>148</v>
      </c>
      <c r="BM3" s="279"/>
      <c r="BN3" s="280"/>
      <c r="BO3" s="284" t="s">
        <v>170</v>
      </c>
      <c r="BP3" s="279"/>
      <c r="BQ3" s="280"/>
      <c r="BR3" s="278">
        <v>42940</v>
      </c>
      <c r="BS3" s="279"/>
      <c r="BT3" s="280"/>
      <c r="BU3" s="278">
        <v>42942</v>
      </c>
      <c r="BV3" s="279"/>
      <c r="BW3" s="280"/>
      <c r="BX3" s="278">
        <v>42944</v>
      </c>
      <c r="BY3" s="279"/>
      <c r="BZ3" s="280"/>
      <c r="CA3" s="278">
        <v>42947</v>
      </c>
      <c r="CB3" s="279"/>
      <c r="CC3" s="280"/>
      <c r="CD3" s="26"/>
    </row>
    <row r="4" spans="1:82" s="17" customFormat="1" ht="21" customHeight="1" x14ac:dyDescent="0.25">
      <c r="A4" s="286"/>
      <c r="B4" s="286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0" customWidth="1"/>
  </cols>
  <sheetData>
    <row r="1" spans="1:21" ht="26.25" x14ac:dyDescent="0.4">
      <c r="B1" s="5" t="s">
        <v>326</v>
      </c>
    </row>
    <row r="2" spans="1:21" ht="15.75" x14ac:dyDescent="0.25">
      <c r="J2" s="275" t="s">
        <v>7</v>
      </c>
      <c r="K2" s="275"/>
      <c r="L2" s="275"/>
      <c r="M2" s="275"/>
      <c r="N2" s="276" t="s">
        <v>8</v>
      </c>
      <c r="O2" s="276"/>
      <c r="P2" s="276"/>
      <c r="Q2" s="277" t="s">
        <v>9</v>
      </c>
      <c r="R2" s="277" t="s">
        <v>10</v>
      </c>
      <c r="S2" s="277" t="s">
        <v>11</v>
      </c>
      <c r="T2" s="277" t="s">
        <v>12</v>
      </c>
      <c r="U2" s="274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77"/>
      <c r="R3" s="277"/>
      <c r="S3" s="277"/>
      <c r="T3" s="277"/>
      <c r="U3" s="274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1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1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1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1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85" t="s">
        <v>6</v>
      </c>
      <c r="B3" s="285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87" t="s">
        <v>31</v>
      </c>
      <c r="H3" s="287"/>
      <c r="I3" s="287"/>
      <c r="J3" s="284" t="s">
        <v>32</v>
      </c>
      <c r="K3" s="279"/>
      <c r="L3" s="280"/>
      <c r="M3" s="284" t="s">
        <v>33</v>
      </c>
      <c r="N3" s="279"/>
      <c r="O3" s="280"/>
      <c r="P3" s="284" t="s">
        <v>34</v>
      </c>
      <c r="Q3" s="279"/>
      <c r="R3" s="280"/>
      <c r="S3" s="284" t="s">
        <v>35</v>
      </c>
      <c r="T3" s="279"/>
      <c r="U3" s="280"/>
      <c r="V3" s="284" t="s">
        <v>36</v>
      </c>
      <c r="W3" s="279"/>
      <c r="X3" s="280"/>
      <c r="Y3" s="284" t="s">
        <v>37</v>
      </c>
      <c r="Z3" s="279"/>
      <c r="AA3" s="280"/>
      <c r="AB3" s="284" t="s">
        <v>38</v>
      </c>
      <c r="AC3" s="279"/>
      <c r="AD3" s="280"/>
      <c r="AE3" s="284" t="s">
        <v>39</v>
      </c>
      <c r="AF3" s="279"/>
      <c r="AG3" s="280"/>
      <c r="AH3" s="284" t="s">
        <v>40</v>
      </c>
      <c r="AI3" s="279"/>
      <c r="AJ3" s="280"/>
      <c r="AK3" s="284" t="s">
        <v>41</v>
      </c>
      <c r="AL3" s="279"/>
      <c r="AM3" s="280"/>
      <c r="AN3" s="284" t="s">
        <v>42</v>
      </c>
      <c r="AO3" s="279"/>
      <c r="AP3" s="280"/>
      <c r="AQ3" s="284" t="s">
        <v>43</v>
      </c>
      <c r="AR3" s="279"/>
      <c r="AS3" s="280"/>
      <c r="AT3" s="284" t="s">
        <v>44</v>
      </c>
      <c r="AU3" s="279"/>
      <c r="AV3" s="280"/>
      <c r="AW3" s="284" t="s">
        <v>45</v>
      </c>
      <c r="AX3" s="279"/>
      <c r="AY3" s="280"/>
      <c r="AZ3" s="284" t="s">
        <v>46</v>
      </c>
      <c r="BA3" s="279"/>
      <c r="BB3" s="280"/>
      <c r="BC3" s="284" t="s">
        <v>47</v>
      </c>
      <c r="BD3" s="279"/>
      <c r="BE3" s="280"/>
      <c r="BF3" s="284" t="s">
        <v>48</v>
      </c>
      <c r="BG3" s="279"/>
      <c r="BH3" s="280"/>
      <c r="BI3" s="284" t="s">
        <v>49</v>
      </c>
      <c r="BJ3" s="279"/>
      <c r="BK3" s="280"/>
      <c r="BL3" s="284"/>
      <c r="BM3" s="279"/>
      <c r="BN3" s="280"/>
      <c r="BO3" s="284"/>
      <c r="BP3" s="279"/>
      <c r="BQ3" s="280"/>
      <c r="BR3" s="284"/>
      <c r="BS3" s="279"/>
      <c r="BT3" s="280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85"/>
      <c r="B4" s="285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83" customWidth="1"/>
    <col min="27" max="16384" width="9.140625" style="1"/>
  </cols>
  <sheetData>
    <row r="1" spans="1:26" x14ac:dyDescent="0.3">
      <c r="B1" s="168" t="s">
        <v>204</v>
      </c>
    </row>
    <row r="2" spans="1:26" x14ac:dyDescent="0.3">
      <c r="O2" s="289" t="s">
        <v>7</v>
      </c>
      <c r="P2" s="289"/>
      <c r="Q2" s="289"/>
      <c r="R2" s="289"/>
      <c r="S2" s="290" t="s">
        <v>8</v>
      </c>
      <c r="T2" s="290"/>
      <c r="U2" s="290"/>
      <c r="V2" s="291" t="s">
        <v>9</v>
      </c>
      <c r="W2" s="291" t="s">
        <v>10</v>
      </c>
      <c r="X2" s="291" t="s">
        <v>11</v>
      </c>
      <c r="Y2" s="291" t="s">
        <v>12</v>
      </c>
      <c r="Z2" s="288" t="s">
        <v>13</v>
      </c>
    </row>
    <row r="3" spans="1:26" ht="21" customHeight="1" x14ac:dyDescent="0.3">
      <c r="A3" s="177" t="s">
        <v>6</v>
      </c>
      <c r="B3" s="17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7" t="s">
        <v>213</v>
      </c>
      <c r="K3" s="177" t="s">
        <v>214</v>
      </c>
      <c r="L3" s="177" t="s">
        <v>183</v>
      </c>
      <c r="M3" s="177" t="s">
        <v>173</v>
      </c>
      <c r="N3" s="177" t="s">
        <v>1</v>
      </c>
      <c r="O3" s="151" t="s">
        <v>14</v>
      </c>
      <c r="P3" s="152" t="s">
        <v>15</v>
      </c>
      <c r="Q3" s="153" t="s">
        <v>16</v>
      </c>
      <c r="R3" s="154" t="s">
        <v>17</v>
      </c>
      <c r="S3" s="155" t="s">
        <v>18</v>
      </c>
      <c r="T3" s="156" t="s">
        <v>19</v>
      </c>
      <c r="U3" s="157" t="s">
        <v>20</v>
      </c>
      <c r="V3" s="291"/>
      <c r="W3" s="291"/>
      <c r="X3" s="291"/>
      <c r="Y3" s="291"/>
      <c r="Z3" s="288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84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83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83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83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2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2">
        <v>6</v>
      </c>
      <c r="P15" s="182">
        <v>17</v>
      </c>
      <c r="Q15" s="182">
        <v>10</v>
      </c>
      <c r="R15" s="182">
        <v>12</v>
      </c>
      <c r="S15" s="182">
        <v>17</v>
      </c>
      <c r="T15" s="182">
        <v>8</v>
      </c>
      <c r="U15" s="182">
        <v>15</v>
      </c>
      <c r="V15" s="182">
        <v>45</v>
      </c>
      <c r="W15" s="182">
        <v>40</v>
      </c>
      <c r="X15" s="182">
        <v>215</v>
      </c>
      <c r="Y15" s="182">
        <v>150</v>
      </c>
      <c r="Z15" s="185">
        <v>365</v>
      </c>
    </row>
    <row r="16" spans="1:26" s="130" customFormat="1" ht="21" customHeight="1" x14ac:dyDescent="0.3">
      <c r="A16" s="130">
        <v>13</v>
      </c>
      <c r="B16" s="130" t="s">
        <v>210</v>
      </c>
      <c r="C16" s="131" t="s">
        <v>287</v>
      </c>
      <c r="D16" s="132" t="s">
        <v>288</v>
      </c>
      <c r="E16" s="133" t="s">
        <v>289</v>
      </c>
      <c r="F16" s="134"/>
      <c r="G16" s="134"/>
      <c r="H16" s="134" t="s">
        <v>217</v>
      </c>
      <c r="I16" s="134" t="s">
        <v>218</v>
      </c>
      <c r="J16" s="135">
        <v>1470000</v>
      </c>
      <c r="K16" s="131"/>
      <c r="O16" s="131"/>
      <c r="P16" s="131"/>
      <c r="Q16" s="131"/>
      <c r="R16" s="131"/>
      <c r="S16" s="131"/>
      <c r="T16" s="131"/>
      <c r="U16" s="131"/>
      <c r="Z16" s="186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83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83">
        <v>405</v>
      </c>
    </row>
    <row r="19" spans="1:26" s="130" customFormat="1" ht="21" customHeight="1" x14ac:dyDescent="0.3">
      <c r="A19" s="130">
        <v>16</v>
      </c>
      <c r="B19" s="130" t="s">
        <v>225</v>
      </c>
      <c r="C19" s="136">
        <v>35560</v>
      </c>
      <c r="D19" s="132" t="s">
        <v>262</v>
      </c>
      <c r="E19" s="133" t="s">
        <v>261</v>
      </c>
      <c r="F19" s="134" t="s">
        <v>69</v>
      </c>
      <c r="G19" s="134"/>
      <c r="H19" s="134" t="s">
        <v>217</v>
      </c>
      <c r="I19" s="134" t="s">
        <v>218</v>
      </c>
      <c r="J19" s="135">
        <v>1470000</v>
      </c>
      <c r="K19" s="131"/>
      <c r="O19" s="131"/>
      <c r="P19" s="131"/>
      <c r="Q19" s="131"/>
      <c r="R19" s="131"/>
      <c r="S19" s="131"/>
      <c r="T19" s="131"/>
      <c r="U19" s="131"/>
      <c r="Z19" s="186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83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85" t="s">
        <v>6</v>
      </c>
      <c r="B3" s="285" t="s">
        <v>5</v>
      </c>
      <c r="C3" s="61"/>
      <c r="D3" s="61"/>
      <c r="E3" s="61"/>
      <c r="F3" s="61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87"/>
      <c r="R3" s="287"/>
      <c r="S3" s="287"/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7"/>
      <c r="AH3" s="287"/>
      <c r="AI3" s="287"/>
      <c r="AJ3" s="287"/>
      <c r="AK3" s="287"/>
      <c r="AL3" s="287"/>
      <c r="AM3" s="287"/>
      <c r="AN3" s="287"/>
      <c r="AO3" s="287"/>
      <c r="AP3" s="287"/>
      <c r="AQ3" s="287"/>
      <c r="AR3" s="287"/>
      <c r="AS3" s="287"/>
      <c r="AT3" s="287"/>
      <c r="AU3" s="287"/>
      <c r="AV3" s="287"/>
      <c r="AW3" s="287"/>
      <c r="AX3" s="287"/>
      <c r="AY3" s="287"/>
      <c r="AZ3" s="287"/>
      <c r="BA3" s="287"/>
      <c r="BB3" s="287"/>
      <c r="BC3" s="292"/>
      <c r="BD3" s="292"/>
      <c r="BE3" s="292"/>
      <c r="BF3" s="293">
        <v>42976</v>
      </c>
      <c r="BG3" s="287"/>
      <c r="BH3" s="287"/>
      <c r="BI3" s="287"/>
      <c r="BJ3" s="287"/>
      <c r="BK3" s="287"/>
      <c r="BL3" s="287"/>
      <c r="BM3" s="287"/>
      <c r="BN3" s="287"/>
      <c r="BO3" s="287"/>
      <c r="BP3" s="287"/>
      <c r="BQ3" s="287"/>
      <c r="BR3" s="293"/>
      <c r="BS3" s="287"/>
      <c r="BT3" s="287"/>
      <c r="BU3" s="287"/>
      <c r="BV3" s="287"/>
      <c r="BW3" s="287"/>
      <c r="BX3" s="287"/>
      <c r="BY3" s="287"/>
      <c r="BZ3" s="287"/>
      <c r="CA3" s="287"/>
      <c r="CB3" s="287"/>
      <c r="CC3" s="287"/>
      <c r="CD3" s="26"/>
    </row>
    <row r="4" spans="1:82" s="17" customFormat="1" ht="21" customHeight="1" x14ac:dyDescent="0.25">
      <c r="A4" s="285"/>
      <c r="B4" s="285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4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0" customWidth="1"/>
  </cols>
  <sheetData>
    <row r="1" spans="1:25" ht="21" x14ac:dyDescent="0.35">
      <c r="A1" s="17"/>
      <c r="B1" s="294" t="s">
        <v>224</v>
      </c>
      <c r="C1" s="294"/>
      <c r="D1" s="294"/>
      <c r="E1" s="137"/>
      <c r="F1" s="137"/>
      <c r="G1" s="137"/>
      <c r="H1" s="137"/>
      <c r="I1" s="137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8"/>
    </row>
    <row r="2" spans="1:25" ht="15.75" x14ac:dyDescent="0.25">
      <c r="A2" s="17"/>
      <c r="B2" s="17"/>
      <c r="C2" s="17"/>
      <c r="D2" s="137"/>
      <c r="E2" s="137"/>
      <c r="F2" s="137"/>
      <c r="G2" s="137"/>
      <c r="H2" s="137"/>
      <c r="I2" s="137"/>
      <c r="J2" s="52"/>
      <c r="K2" s="17"/>
      <c r="L2" s="17"/>
      <c r="M2" s="17"/>
      <c r="N2" s="275" t="s">
        <v>7</v>
      </c>
      <c r="O2" s="275"/>
      <c r="P2" s="275"/>
      <c r="Q2" s="275"/>
      <c r="R2" s="276" t="s">
        <v>8</v>
      </c>
      <c r="S2" s="276"/>
      <c r="T2" s="276"/>
      <c r="U2" s="277" t="s">
        <v>9</v>
      </c>
      <c r="V2" s="277" t="s">
        <v>10</v>
      </c>
      <c r="W2" s="277" t="s">
        <v>11</v>
      </c>
      <c r="X2" s="277" t="s">
        <v>12</v>
      </c>
      <c r="Y2" s="274" t="s">
        <v>13</v>
      </c>
    </row>
    <row r="3" spans="1:25" s="1" customFormat="1" ht="21" customHeight="1" x14ac:dyDescent="0.3">
      <c r="A3" s="138" t="s">
        <v>6</v>
      </c>
      <c r="B3" s="138" t="s">
        <v>5</v>
      </c>
      <c r="C3" s="138" t="s">
        <v>4</v>
      </c>
      <c r="D3" s="139" t="s">
        <v>3</v>
      </c>
      <c r="E3" s="139" t="s">
        <v>117</v>
      </c>
      <c r="F3" s="139" t="s">
        <v>71</v>
      </c>
      <c r="G3" s="139" t="s">
        <v>211</v>
      </c>
      <c r="H3" s="139" t="s">
        <v>223</v>
      </c>
      <c r="I3" s="139" t="s">
        <v>213</v>
      </c>
      <c r="J3" s="138" t="s">
        <v>214</v>
      </c>
      <c r="K3" s="138" t="s">
        <v>23</v>
      </c>
      <c r="L3" s="138" t="s">
        <v>173</v>
      </c>
      <c r="M3" s="138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77"/>
      <c r="V3" s="277"/>
      <c r="W3" s="277"/>
      <c r="X3" s="277"/>
      <c r="Y3" s="274"/>
    </row>
    <row r="4" spans="1:25" s="1" customFormat="1" ht="21" customHeight="1" x14ac:dyDescent="0.3">
      <c r="A4" s="17">
        <v>1</v>
      </c>
      <c r="B4" s="17" t="s">
        <v>193</v>
      </c>
      <c r="C4" s="140"/>
      <c r="D4" s="161" t="s">
        <v>194</v>
      </c>
      <c r="E4" s="140"/>
      <c r="F4" s="17" t="s">
        <v>290</v>
      </c>
      <c r="G4" s="141">
        <v>2400000</v>
      </c>
      <c r="H4" s="142">
        <v>0.3</v>
      </c>
      <c r="I4" s="141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8"/>
    </row>
    <row r="5" spans="1:25" s="125" customFormat="1" ht="21" customHeight="1" x14ac:dyDescent="0.3">
      <c r="A5" s="143">
        <v>2</v>
      </c>
      <c r="B5" s="143" t="s">
        <v>195</v>
      </c>
      <c r="C5" s="144"/>
      <c r="D5" s="162"/>
      <c r="E5" s="144"/>
      <c r="F5" s="143" t="s">
        <v>290</v>
      </c>
      <c r="G5" s="145">
        <v>2400000</v>
      </c>
      <c r="H5" s="146">
        <v>0.3</v>
      </c>
      <c r="I5" s="145">
        <v>1680000</v>
      </c>
      <c r="J5" s="147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79"/>
    </row>
    <row r="6" spans="1:25" s="1" customFormat="1" ht="21" customHeight="1" x14ac:dyDescent="0.3">
      <c r="A6" s="17">
        <v>3</v>
      </c>
      <c r="B6" s="17" t="s">
        <v>196</v>
      </c>
      <c r="C6" s="140" t="s">
        <v>240</v>
      </c>
      <c r="D6" s="161" t="s">
        <v>197</v>
      </c>
      <c r="E6" s="140" t="s">
        <v>241</v>
      </c>
      <c r="F6" s="17" t="s">
        <v>242</v>
      </c>
      <c r="G6" s="141">
        <v>2400000</v>
      </c>
      <c r="H6" s="142">
        <v>0.3</v>
      </c>
      <c r="I6" s="141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8">
        <v>495</v>
      </c>
    </row>
    <row r="7" spans="1:25" s="1" customFormat="1" ht="21" customHeight="1" x14ac:dyDescent="0.3">
      <c r="A7" s="17">
        <v>4</v>
      </c>
      <c r="B7" s="17" t="s">
        <v>200</v>
      </c>
      <c r="C7" s="140" t="s">
        <v>72</v>
      </c>
      <c r="D7" s="161" t="s">
        <v>201</v>
      </c>
      <c r="E7" s="140" t="s">
        <v>433</v>
      </c>
      <c r="F7" s="17" t="s">
        <v>246</v>
      </c>
      <c r="G7" s="141">
        <v>2400000</v>
      </c>
      <c r="H7" s="142">
        <v>0.3</v>
      </c>
      <c r="I7" s="141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8"/>
    </row>
    <row r="8" spans="1:25" ht="21" customHeight="1" x14ac:dyDescent="0.25">
      <c r="A8" s="17">
        <v>5</v>
      </c>
      <c r="B8" s="17" t="s">
        <v>229</v>
      </c>
      <c r="C8" s="140" t="s">
        <v>243</v>
      </c>
      <c r="D8" s="148" t="s">
        <v>244</v>
      </c>
      <c r="E8" s="148" t="s">
        <v>245</v>
      </c>
      <c r="F8" s="17" t="s">
        <v>246</v>
      </c>
      <c r="G8" s="141">
        <v>2400000</v>
      </c>
      <c r="H8" s="142">
        <v>0.3</v>
      </c>
      <c r="I8" s="141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8"/>
    </row>
    <row r="9" spans="1:25" ht="21" customHeight="1" x14ac:dyDescent="0.25">
      <c r="A9" s="17">
        <v>6</v>
      </c>
      <c r="B9" s="17" t="s">
        <v>230</v>
      </c>
      <c r="C9" s="140" t="s">
        <v>233</v>
      </c>
      <c r="D9" s="148" t="s">
        <v>348</v>
      </c>
      <c r="E9" s="140" t="s">
        <v>234</v>
      </c>
      <c r="F9" s="17" t="s">
        <v>235</v>
      </c>
      <c r="G9" s="141">
        <v>2400000</v>
      </c>
      <c r="H9" s="142">
        <v>0.3</v>
      </c>
      <c r="I9" s="141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8">
        <v>225</v>
      </c>
    </row>
    <row r="10" spans="1:25" ht="21" customHeight="1" x14ac:dyDescent="0.25">
      <c r="A10" s="149" t="s">
        <v>145</v>
      </c>
      <c r="B10" s="140" t="s">
        <v>231</v>
      </c>
      <c r="C10" s="140" t="s">
        <v>236</v>
      </c>
      <c r="D10" s="148" t="s">
        <v>237</v>
      </c>
      <c r="E10" s="140" t="s">
        <v>238</v>
      </c>
      <c r="F10" s="140" t="s">
        <v>239</v>
      </c>
      <c r="G10" s="141">
        <v>2400000</v>
      </c>
      <c r="H10" s="142">
        <v>0.3</v>
      </c>
      <c r="I10" s="141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8">
        <v>455</v>
      </c>
    </row>
    <row r="11" spans="1:25" ht="21" customHeight="1" x14ac:dyDescent="0.25">
      <c r="A11" s="17">
        <v>8</v>
      </c>
      <c r="B11" s="17" t="s">
        <v>232</v>
      </c>
      <c r="C11" s="140"/>
      <c r="D11" s="148" t="s">
        <v>310</v>
      </c>
      <c r="E11" s="140"/>
      <c r="F11" s="17" t="s">
        <v>235</v>
      </c>
      <c r="G11" s="141">
        <v>2400000</v>
      </c>
      <c r="H11" s="142">
        <v>0.3</v>
      </c>
      <c r="I11" s="141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8"/>
    </row>
    <row r="12" spans="1:25" ht="21" customHeight="1" x14ac:dyDescent="0.25">
      <c r="A12" s="149" t="s">
        <v>304</v>
      </c>
      <c r="B12" s="140" t="s">
        <v>305</v>
      </c>
      <c r="C12" s="140" t="s">
        <v>306</v>
      </c>
      <c r="D12" s="148" t="s">
        <v>307</v>
      </c>
      <c r="E12" s="140" t="s">
        <v>308</v>
      </c>
      <c r="F12" s="140" t="s">
        <v>239</v>
      </c>
      <c r="G12" s="141">
        <v>2400000</v>
      </c>
      <c r="H12" s="142">
        <v>0.3</v>
      </c>
      <c r="I12" s="141">
        <v>1680000</v>
      </c>
      <c r="J12" s="137"/>
      <c r="K12" s="140"/>
      <c r="L12" s="140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8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8" t="s">
        <v>312</v>
      </c>
      <c r="E13" s="17"/>
      <c r="F13" s="17"/>
      <c r="G13" s="137"/>
      <c r="H13" s="137"/>
      <c r="I13" s="137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8">
        <v>395</v>
      </c>
    </row>
    <row r="14" spans="1:25" ht="21" customHeight="1" x14ac:dyDescent="0.3">
      <c r="D14" s="163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63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63"/>
    </row>
    <row r="17" spans="4:4" ht="21" customHeight="1" x14ac:dyDescent="0.25">
      <c r="D17" s="163"/>
    </row>
    <row r="18" spans="4:4" ht="21" customHeight="1" x14ac:dyDescent="0.25">
      <c r="D18" s="163"/>
    </row>
    <row r="19" spans="4:4" ht="21" customHeight="1" x14ac:dyDescent="0.25">
      <c r="D19" s="163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85" t="s">
        <v>6</v>
      </c>
      <c r="B3" s="285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87" t="s">
        <v>31</v>
      </c>
      <c r="H3" s="287"/>
      <c r="I3" s="287"/>
      <c r="J3" s="284" t="s">
        <v>32</v>
      </c>
      <c r="K3" s="279"/>
      <c r="L3" s="280"/>
      <c r="M3" s="284" t="s">
        <v>33</v>
      </c>
      <c r="N3" s="279"/>
      <c r="O3" s="280"/>
      <c r="P3" s="284" t="s">
        <v>34</v>
      </c>
      <c r="Q3" s="279"/>
      <c r="R3" s="280"/>
      <c r="S3" s="284" t="s">
        <v>35</v>
      </c>
      <c r="T3" s="279"/>
      <c r="U3" s="280"/>
      <c r="V3" s="284" t="s">
        <v>36</v>
      </c>
      <c r="W3" s="279"/>
      <c r="X3" s="280"/>
      <c r="Y3" s="284" t="s">
        <v>37</v>
      </c>
      <c r="Z3" s="279"/>
      <c r="AA3" s="280"/>
      <c r="AB3" s="284" t="s">
        <v>38</v>
      </c>
      <c r="AC3" s="279"/>
      <c r="AD3" s="280"/>
      <c r="AE3" s="284" t="s">
        <v>39</v>
      </c>
      <c r="AF3" s="279"/>
      <c r="AG3" s="280"/>
      <c r="AH3" s="284" t="s">
        <v>40</v>
      </c>
      <c r="AI3" s="279"/>
      <c r="AJ3" s="280"/>
      <c r="AK3" s="284" t="s">
        <v>41</v>
      </c>
      <c r="AL3" s="279"/>
      <c r="AM3" s="280"/>
      <c r="AN3" s="284" t="s">
        <v>42</v>
      </c>
      <c r="AO3" s="279"/>
      <c r="AP3" s="280"/>
      <c r="AQ3" s="284" t="s">
        <v>43</v>
      </c>
      <c r="AR3" s="279"/>
      <c r="AS3" s="280"/>
      <c r="AT3" s="284" t="s">
        <v>44</v>
      </c>
      <c r="AU3" s="279"/>
      <c r="AV3" s="280"/>
      <c r="AW3" s="284" t="s">
        <v>45</v>
      </c>
      <c r="AX3" s="279"/>
      <c r="AY3" s="280"/>
      <c r="AZ3" s="284" t="s">
        <v>46</v>
      </c>
      <c r="BA3" s="279"/>
      <c r="BB3" s="280"/>
      <c r="BC3" s="284" t="s">
        <v>47</v>
      </c>
      <c r="BD3" s="279"/>
      <c r="BE3" s="280"/>
      <c r="BF3" s="284" t="s">
        <v>48</v>
      </c>
      <c r="BG3" s="279"/>
      <c r="BH3" s="280"/>
      <c r="BI3" s="284" t="s">
        <v>49</v>
      </c>
      <c r="BJ3" s="279"/>
      <c r="BK3" s="280"/>
      <c r="BL3" s="278">
        <v>42970</v>
      </c>
      <c r="BM3" s="279"/>
      <c r="BN3" s="280"/>
      <c r="BO3" s="278">
        <v>42972</v>
      </c>
      <c r="BP3" s="279"/>
      <c r="BQ3" s="280"/>
      <c r="BR3" s="278">
        <v>42975</v>
      </c>
      <c r="BS3" s="279"/>
      <c r="BT3" s="280"/>
      <c r="BU3" s="278">
        <v>42977</v>
      </c>
      <c r="BV3" s="279"/>
      <c r="BW3" s="280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85"/>
      <c r="B4" s="285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7" workbookViewId="0">
      <selection activeCell="C20" sqref="C20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0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98" t="s">
        <v>431</v>
      </c>
      <c r="B1" s="299"/>
      <c r="C1" s="299"/>
      <c r="D1" s="299"/>
      <c r="E1" s="299"/>
      <c r="F1" s="221"/>
      <c r="G1" s="221"/>
      <c r="H1" s="49"/>
      <c r="I1" s="49"/>
      <c r="J1" s="229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99"/>
      <c r="B2" s="299"/>
      <c r="C2" s="299"/>
      <c r="D2" s="299"/>
      <c r="E2" s="299"/>
      <c r="F2" s="221"/>
      <c r="G2" s="221"/>
      <c r="H2" s="49"/>
      <c r="I2" s="49"/>
      <c r="J2" s="229"/>
      <c r="K2" s="300" t="s">
        <v>7</v>
      </c>
      <c r="L2" s="300"/>
      <c r="M2" s="300"/>
      <c r="N2" s="300"/>
      <c r="O2" s="301" t="s">
        <v>8</v>
      </c>
      <c r="P2" s="301"/>
      <c r="Q2" s="301"/>
      <c r="R2" s="296" t="s">
        <v>323</v>
      </c>
      <c r="S2" s="296" t="s">
        <v>324</v>
      </c>
      <c r="T2" s="295" t="s">
        <v>11</v>
      </c>
      <c r="U2" s="295" t="s">
        <v>12</v>
      </c>
      <c r="V2" s="296" t="s">
        <v>325</v>
      </c>
      <c r="W2" s="219"/>
      <c r="X2" s="300" t="s">
        <v>7</v>
      </c>
      <c r="Y2" s="300"/>
      <c r="Z2" s="300"/>
      <c r="AA2" s="300"/>
      <c r="AB2" s="301" t="s">
        <v>8</v>
      </c>
      <c r="AC2" s="301"/>
      <c r="AD2" s="301"/>
      <c r="AE2" s="296" t="s">
        <v>323</v>
      </c>
      <c r="AF2" s="296" t="s">
        <v>324</v>
      </c>
      <c r="AG2" s="295" t="s">
        <v>11</v>
      </c>
      <c r="AH2" s="295" t="s">
        <v>12</v>
      </c>
      <c r="AI2" s="296" t="s">
        <v>325</v>
      </c>
    </row>
    <row r="3" spans="1:35" s="60" customFormat="1" ht="18.75" x14ac:dyDescent="0.3">
      <c r="A3" s="222" t="s">
        <v>6</v>
      </c>
      <c r="B3" s="222" t="s">
        <v>5</v>
      </c>
      <c r="C3" s="223" t="s">
        <v>4</v>
      </c>
      <c r="D3" s="223" t="s">
        <v>3</v>
      </c>
      <c r="E3" s="223" t="s">
        <v>117</v>
      </c>
      <c r="F3" s="223" t="s">
        <v>71</v>
      </c>
      <c r="G3" s="223" t="s">
        <v>106</v>
      </c>
      <c r="H3" s="222" t="s">
        <v>2</v>
      </c>
      <c r="I3" s="222" t="s">
        <v>173</v>
      </c>
      <c r="J3" s="222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95"/>
      <c r="S3" s="295"/>
      <c r="T3" s="295"/>
      <c r="U3" s="295"/>
      <c r="V3" s="295"/>
      <c r="W3" s="220"/>
      <c r="X3" s="169" t="s">
        <v>14</v>
      </c>
      <c r="Y3" s="170" t="s">
        <v>15</v>
      </c>
      <c r="Z3" s="171" t="s">
        <v>16</v>
      </c>
      <c r="AA3" s="172" t="s">
        <v>17</v>
      </c>
      <c r="AB3" s="173" t="s">
        <v>18</v>
      </c>
      <c r="AC3" s="174" t="s">
        <v>19</v>
      </c>
      <c r="AD3" s="175" t="s">
        <v>20</v>
      </c>
      <c r="AE3" s="295"/>
      <c r="AF3" s="295"/>
      <c r="AG3" s="295"/>
      <c r="AH3" s="295"/>
      <c r="AI3" s="295"/>
    </row>
    <row r="4" spans="1:35" ht="18.75" x14ac:dyDescent="0.3">
      <c r="A4" s="49">
        <v>1</v>
      </c>
      <c r="B4" s="21" t="s">
        <v>301</v>
      </c>
      <c r="C4" s="224">
        <v>34005</v>
      </c>
      <c r="D4" s="225" t="s">
        <v>302</v>
      </c>
      <c r="E4" s="226" t="s">
        <v>303</v>
      </c>
      <c r="F4" s="21" t="s">
        <v>372</v>
      </c>
      <c r="G4" s="49"/>
      <c r="H4" s="49" t="s">
        <v>53</v>
      </c>
      <c r="I4" s="49" t="s">
        <v>309</v>
      </c>
      <c r="J4" s="229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97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26" t="s">
        <v>400</v>
      </c>
      <c r="D5" s="225" t="s">
        <v>320</v>
      </c>
      <c r="E5" s="226" t="s">
        <v>121</v>
      </c>
      <c r="F5" s="226" t="s">
        <v>399</v>
      </c>
      <c r="G5" s="221"/>
      <c r="H5" s="49" t="s">
        <v>53</v>
      </c>
      <c r="I5" s="49" t="s">
        <v>309</v>
      </c>
      <c r="J5" s="229"/>
      <c r="K5" s="227">
        <v>4</v>
      </c>
      <c r="L5" s="227">
        <v>12</v>
      </c>
      <c r="M5" s="227">
        <v>12</v>
      </c>
      <c r="N5" s="227">
        <v>11</v>
      </c>
      <c r="O5" s="227">
        <v>20</v>
      </c>
      <c r="P5" s="227">
        <v>2</v>
      </c>
      <c r="Q5" s="227">
        <v>16</v>
      </c>
      <c r="R5" s="227">
        <v>39</v>
      </c>
      <c r="S5" s="227">
        <v>38</v>
      </c>
      <c r="T5" s="227">
        <v>180</v>
      </c>
      <c r="U5" s="227">
        <v>140</v>
      </c>
      <c r="V5" s="227">
        <v>320</v>
      </c>
      <c r="W5" s="297"/>
      <c r="X5" s="228">
        <v>3</v>
      </c>
      <c r="Y5" s="228">
        <v>21</v>
      </c>
      <c r="Z5" s="228">
        <v>11</v>
      </c>
      <c r="AA5" s="228">
        <v>12</v>
      </c>
      <c r="AB5" s="228">
        <v>19</v>
      </c>
      <c r="AC5" s="228">
        <v>4</v>
      </c>
      <c r="AD5" s="228">
        <v>20</v>
      </c>
      <c r="AE5" s="228">
        <v>47</v>
      </c>
      <c r="AF5" s="228">
        <v>43</v>
      </c>
      <c r="AG5" s="228">
        <v>230</v>
      </c>
      <c r="AH5" s="228">
        <v>170</v>
      </c>
      <c r="AI5" s="228">
        <v>400</v>
      </c>
    </row>
    <row r="6" spans="1:35" ht="18.75" x14ac:dyDescent="0.3">
      <c r="A6" s="49">
        <v>3</v>
      </c>
      <c r="B6" s="21" t="s">
        <v>319</v>
      </c>
      <c r="C6" s="226" t="s">
        <v>398</v>
      </c>
      <c r="D6" s="225" t="s">
        <v>321</v>
      </c>
      <c r="E6" s="226" t="s">
        <v>121</v>
      </c>
      <c r="F6" s="226" t="s">
        <v>399</v>
      </c>
      <c r="G6" s="221"/>
      <c r="H6" s="49" t="s">
        <v>53</v>
      </c>
      <c r="I6" s="49" t="s">
        <v>309</v>
      </c>
      <c r="J6" s="229"/>
      <c r="K6" s="227">
        <v>0</v>
      </c>
      <c r="L6" s="227">
        <v>14</v>
      </c>
      <c r="M6" s="227">
        <v>8</v>
      </c>
      <c r="N6" s="227">
        <v>7</v>
      </c>
      <c r="O6" s="227">
        <v>15</v>
      </c>
      <c r="P6" s="227">
        <v>5</v>
      </c>
      <c r="Q6" s="227">
        <v>19</v>
      </c>
      <c r="R6" s="227">
        <v>29</v>
      </c>
      <c r="S6" s="227">
        <v>39</v>
      </c>
      <c r="T6" s="227">
        <v>125</v>
      </c>
      <c r="U6" s="227">
        <v>145</v>
      </c>
      <c r="V6" s="227">
        <v>270</v>
      </c>
      <c r="W6" s="297"/>
      <c r="X6" s="228">
        <v>0</v>
      </c>
      <c r="Y6" s="228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26" t="s">
        <v>387</v>
      </c>
      <c r="D7" s="225" t="s">
        <v>336</v>
      </c>
      <c r="E7" s="226" t="s">
        <v>371</v>
      </c>
      <c r="F7" s="226" t="s">
        <v>372</v>
      </c>
      <c r="G7" s="221"/>
      <c r="H7" s="49" t="s">
        <v>53</v>
      </c>
      <c r="I7" s="49" t="s">
        <v>332</v>
      </c>
      <c r="J7" s="229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97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26" t="s">
        <v>386</v>
      </c>
      <c r="D8" s="225" t="s">
        <v>337</v>
      </c>
      <c r="E8" s="226" t="s">
        <v>335</v>
      </c>
      <c r="F8" s="226" t="s">
        <v>372</v>
      </c>
      <c r="G8" s="221"/>
      <c r="H8" s="49" t="s">
        <v>53</v>
      </c>
      <c r="I8" s="49" t="s">
        <v>332</v>
      </c>
      <c r="J8" s="229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97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26" t="s">
        <v>382</v>
      </c>
      <c r="D9" s="225" t="s">
        <v>339</v>
      </c>
      <c r="E9" s="226" t="s">
        <v>383</v>
      </c>
      <c r="F9" s="226" t="s">
        <v>380</v>
      </c>
      <c r="G9" s="221"/>
      <c r="H9" s="49" t="s">
        <v>53</v>
      </c>
      <c r="I9" s="49" t="s">
        <v>332</v>
      </c>
      <c r="J9" s="229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97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26" t="s">
        <v>381</v>
      </c>
      <c r="D10" s="225" t="s">
        <v>341</v>
      </c>
      <c r="E10" s="226" t="s">
        <v>342</v>
      </c>
      <c r="F10" s="226" t="s">
        <v>380</v>
      </c>
      <c r="G10" s="221"/>
      <c r="H10" s="49" t="s">
        <v>53</v>
      </c>
      <c r="I10" s="49" t="s">
        <v>332</v>
      </c>
      <c r="J10" s="229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97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26" t="s">
        <v>390</v>
      </c>
      <c r="D11" s="225" t="s">
        <v>347</v>
      </c>
      <c r="E11" s="226" t="s">
        <v>391</v>
      </c>
      <c r="F11" s="21" t="s">
        <v>372</v>
      </c>
      <c r="G11" s="221"/>
      <c r="H11" s="49" t="s">
        <v>53</v>
      </c>
      <c r="I11" s="49" t="s">
        <v>346</v>
      </c>
      <c r="J11" s="229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97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26" t="s">
        <v>396</v>
      </c>
      <c r="D12" s="225" t="s">
        <v>349</v>
      </c>
      <c r="E12" s="226" t="s">
        <v>397</v>
      </c>
      <c r="F12" s="21" t="s">
        <v>394</v>
      </c>
      <c r="G12" s="221"/>
      <c r="H12" s="49" t="s">
        <v>53</v>
      </c>
      <c r="I12" s="49" t="s">
        <v>332</v>
      </c>
      <c r="J12" s="229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97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26" t="s">
        <v>375</v>
      </c>
      <c r="D13" s="225" t="s">
        <v>356</v>
      </c>
      <c r="E13" s="226" t="s">
        <v>378</v>
      </c>
      <c r="F13" s="226" t="s">
        <v>374</v>
      </c>
      <c r="G13" s="221"/>
      <c r="H13" s="49" t="s">
        <v>53</v>
      </c>
      <c r="I13" s="49" t="s">
        <v>332</v>
      </c>
      <c r="J13" s="229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97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26" t="s">
        <v>373</v>
      </c>
      <c r="D14" s="225" t="s">
        <v>357</v>
      </c>
      <c r="E14" s="226" t="s">
        <v>379</v>
      </c>
      <c r="F14" s="226" t="s">
        <v>374</v>
      </c>
      <c r="G14" s="221"/>
      <c r="H14" s="49" t="s">
        <v>53</v>
      </c>
      <c r="I14" s="49" t="s">
        <v>332</v>
      </c>
      <c r="J14" s="229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97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26" t="s">
        <v>388</v>
      </c>
      <c r="D15" s="225" t="s">
        <v>376</v>
      </c>
      <c r="E15" s="226" t="s">
        <v>377</v>
      </c>
      <c r="F15" s="21" t="s">
        <v>380</v>
      </c>
      <c r="G15" s="221"/>
      <c r="H15" s="49" t="s">
        <v>53</v>
      </c>
      <c r="I15" s="49" t="s">
        <v>346</v>
      </c>
      <c r="J15" s="229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97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26" t="s">
        <v>136</v>
      </c>
      <c r="D16" s="225" t="s">
        <v>137</v>
      </c>
      <c r="E16" s="226" t="s">
        <v>359</v>
      </c>
      <c r="F16" s="21" t="s">
        <v>389</v>
      </c>
      <c r="G16" s="221"/>
      <c r="H16" s="49" t="s">
        <v>53</v>
      </c>
      <c r="I16" s="49" t="s">
        <v>360</v>
      </c>
      <c r="J16" s="229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97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26" t="s">
        <v>384</v>
      </c>
      <c r="D17" s="225" t="s">
        <v>385</v>
      </c>
      <c r="E17" s="226" t="s">
        <v>362</v>
      </c>
      <c r="F17" s="21" t="s">
        <v>372</v>
      </c>
      <c r="G17" s="221"/>
      <c r="H17" s="49" t="s">
        <v>53</v>
      </c>
      <c r="I17" s="49" t="s">
        <v>309</v>
      </c>
      <c r="J17" s="229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97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26" t="s">
        <v>392</v>
      </c>
      <c r="D18" s="225" t="s">
        <v>393</v>
      </c>
      <c r="E18" s="226" t="s">
        <v>364</v>
      </c>
      <c r="F18" s="21" t="s">
        <v>394</v>
      </c>
      <c r="G18" s="221"/>
      <c r="H18" s="49" t="s">
        <v>53</v>
      </c>
      <c r="I18" s="49" t="s">
        <v>332</v>
      </c>
      <c r="J18" s="229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97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26" t="s">
        <v>395</v>
      </c>
      <c r="D19" s="225" t="s">
        <v>367</v>
      </c>
      <c r="E19" s="226" t="s">
        <v>366</v>
      </c>
      <c r="F19" s="21" t="s">
        <v>394</v>
      </c>
      <c r="G19" s="221"/>
      <c r="H19" s="49" t="s">
        <v>53</v>
      </c>
      <c r="I19" s="49" t="s">
        <v>332</v>
      </c>
      <c r="J19" s="229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97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26" t="s">
        <v>423</v>
      </c>
      <c r="D20" s="225" t="s">
        <v>420</v>
      </c>
      <c r="E20" s="226" t="s">
        <v>421</v>
      </c>
      <c r="F20" s="21" t="s">
        <v>394</v>
      </c>
      <c r="G20" s="221"/>
      <c r="H20" s="49" t="s">
        <v>53</v>
      </c>
      <c r="I20" s="49" t="s">
        <v>422</v>
      </c>
      <c r="J20" s="229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97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26" t="s">
        <v>428</v>
      </c>
      <c r="D21" s="225" t="s">
        <v>429</v>
      </c>
      <c r="E21" s="226" t="s">
        <v>427</v>
      </c>
      <c r="F21" s="21" t="s">
        <v>380</v>
      </c>
      <c r="G21" s="221"/>
      <c r="H21" s="49" t="s">
        <v>53</v>
      </c>
      <c r="I21" s="49" t="s">
        <v>309</v>
      </c>
      <c r="J21" s="229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97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26" t="s">
        <v>384</v>
      </c>
      <c r="D22" s="225" t="s">
        <v>434</v>
      </c>
      <c r="E22" s="226" t="s">
        <v>362</v>
      </c>
      <c r="F22" s="21" t="s">
        <v>372</v>
      </c>
      <c r="G22" s="221"/>
      <c r="H22" s="49" t="s">
        <v>53</v>
      </c>
      <c r="I22" s="49" t="s">
        <v>309</v>
      </c>
      <c r="J22" s="229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97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26" t="s">
        <v>436</v>
      </c>
      <c r="D23" s="225" t="s">
        <v>437</v>
      </c>
      <c r="E23" s="226" t="s">
        <v>438</v>
      </c>
      <c r="F23" s="21" t="s">
        <v>372</v>
      </c>
      <c r="G23" s="221"/>
      <c r="H23" s="49" t="s">
        <v>53</v>
      </c>
      <c r="I23" s="49" t="s">
        <v>309</v>
      </c>
      <c r="J23" s="229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97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8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89" t="s">
        <v>7</v>
      </c>
      <c r="L2" s="289"/>
      <c r="M2" s="289"/>
      <c r="N2" s="289"/>
      <c r="O2" s="290" t="s">
        <v>8</v>
      </c>
      <c r="P2" s="290"/>
      <c r="Q2" s="290"/>
      <c r="R2" s="291" t="s">
        <v>9</v>
      </c>
      <c r="S2" s="291" t="s">
        <v>10</v>
      </c>
      <c r="T2" s="291" t="s">
        <v>11</v>
      </c>
      <c r="U2" s="291" t="s">
        <v>12</v>
      </c>
      <c r="V2" s="291" t="s">
        <v>13</v>
      </c>
    </row>
    <row r="3" spans="1:22" s="2" customFormat="1" x14ac:dyDescent="0.3">
      <c r="A3" s="217" t="s">
        <v>6</v>
      </c>
      <c r="B3" s="217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217" t="s">
        <v>2</v>
      </c>
      <c r="I3" s="217" t="s">
        <v>173</v>
      </c>
      <c r="J3" s="217" t="s">
        <v>1</v>
      </c>
      <c r="K3" s="151" t="s">
        <v>14</v>
      </c>
      <c r="L3" s="152" t="s">
        <v>15</v>
      </c>
      <c r="M3" s="153" t="s">
        <v>16</v>
      </c>
      <c r="N3" s="154" t="s">
        <v>17</v>
      </c>
      <c r="O3" s="155" t="s">
        <v>18</v>
      </c>
      <c r="P3" s="156" t="s">
        <v>19</v>
      </c>
      <c r="Q3" s="157" t="s">
        <v>20</v>
      </c>
      <c r="R3" s="291"/>
      <c r="S3" s="291"/>
      <c r="T3" s="291"/>
      <c r="U3" s="291"/>
      <c r="V3" s="291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218">
        <v>300</v>
      </c>
    </row>
    <row r="5" spans="1:22" x14ac:dyDescent="0.3">
      <c r="A5" s="2">
        <v>2</v>
      </c>
      <c r="B5" s="150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218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218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9" t="s">
        <v>407</v>
      </c>
      <c r="G7" s="33"/>
      <c r="H7" s="2" t="s">
        <v>53</v>
      </c>
      <c r="I7" s="2" t="s">
        <v>309</v>
      </c>
      <c r="V7" s="218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218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218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218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218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218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218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topLeftCell="B1" workbookViewId="0">
      <selection activeCell="N15" sqref="N15"/>
    </sheetView>
  </sheetViews>
  <sheetFormatPr defaultRowHeight="15" x14ac:dyDescent="0.25"/>
  <cols>
    <col min="2" max="2" width="27.85546875" customWidth="1"/>
    <col min="3" max="3" width="16.28515625" style="167" customWidth="1"/>
    <col min="4" max="4" width="20.85546875" style="167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8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89" t="s">
        <v>7</v>
      </c>
      <c r="L2" s="289"/>
      <c r="M2" s="289"/>
      <c r="N2" s="289"/>
      <c r="O2" s="290" t="s">
        <v>8</v>
      </c>
      <c r="P2" s="290"/>
      <c r="Q2" s="290"/>
      <c r="R2" s="302" t="s">
        <v>323</v>
      </c>
      <c r="S2" s="302" t="s">
        <v>324</v>
      </c>
      <c r="T2" s="291" t="s">
        <v>11</v>
      </c>
      <c r="U2" s="291" t="s">
        <v>12</v>
      </c>
      <c r="V2" s="302" t="s">
        <v>325</v>
      </c>
    </row>
    <row r="3" spans="1:22" s="22" customFormat="1" ht="18.75" x14ac:dyDescent="0.3">
      <c r="A3" s="165" t="s">
        <v>6</v>
      </c>
      <c r="B3" s="165" t="s">
        <v>5</v>
      </c>
      <c r="C3" s="166" t="s">
        <v>4</v>
      </c>
      <c r="D3" s="166" t="s">
        <v>3</v>
      </c>
      <c r="E3" s="166" t="s">
        <v>117</v>
      </c>
      <c r="F3" s="166" t="s">
        <v>71</v>
      </c>
      <c r="G3" s="166" t="s">
        <v>106</v>
      </c>
      <c r="H3" s="165" t="s">
        <v>2</v>
      </c>
      <c r="I3" s="165" t="s">
        <v>173</v>
      </c>
      <c r="J3" s="165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91"/>
      <c r="S3" s="291"/>
      <c r="T3" s="291"/>
      <c r="U3" s="291"/>
      <c r="V3" s="291"/>
    </row>
    <row r="4" spans="1:22" ht="18.75" x14ac:dyDescent="0.3">
      <c r="A4" s="2">
        <v>1</v>
      </c>
      <c r="B4" s="1" t="s">
        <v>313</v>
      </c>
      <c r="C4" s="158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211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8">
        <v>35471</v>
      </c>
      <c r="D6" s="211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444</v>
      </c>
      <c r="C9" s="158">
        <v>35217</v>
      </c>
      <c r="D9" s="211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211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8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211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454</v>
      </c>
      <c r="C13" s="158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</row>
    <row r="15" spans="1:22" s="1" customFormat="1" ht="18.75" x14ac:dyDescent="0.3">
      <c r="A15" s="2">
        <v>12</v>
      </c>
      <c r="B15" s="1" t="s">
        <v>497</v>
      </c>
      <c r="C15" s="158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E11" sqref="E11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7" customWidth="1"/>
    <col min="4" max="4" width="23.140625" customWidth="1"/>
    <col min="5" max="5" width="48.28515625" customWidth="1"/>
    <col min="6" max="6" width="31.42578125" style="167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8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300" t="s">
        <v>7</v>
      </c>
      <c r="L2" s="300"/>
      <c r="M2" s="300"/>
      <c r="N2" s="300"/>
      <c r="O2" s="301" t="s">
        <v>8</v>
      </c>
      <c r="P2" s="301"/>
      <c r="Q2" s="301"/>
      <c r="R2" s="296" t="s">
        <v>323</v>
      </c>
      <c r="S2" s="296" t="s">
        <v>324</v>
      </c>
      <c r="T2" s="295" t="s">
        <v>11</v>
      </c>
      <c r="U2" s="295" t="s">
        <v>12</v>
      </c>
      <c r="V2" s="296" t="s">
        <v>325</v>
      </c>
    </row>
    <row r="3" spans="1:22" ht="18.75" x14ac:dyDescent="0.3">
      <c r="A3" s="165" t="s">
        <v>6</v>
      </c>
      <c r="B3" s="165" t="s">
        <v>5</v>
      </c>
      <c r="C3" s="196" t="s">
        <v>4</v>
      </c>
      <c r="D3" s="166" t="s">
        <v>3</v>
      </c>
      <c r="E3" s="166" t="s">
        <v>117</v>
      </c>
      <c r="F3" s="196" t="s">
        <v>71</v>
      </c>
      <c r="G3" s="166" t="s">
        <v>106</v>
      </c>
      <c r="H3" s="165" t="s">
        <v>2</v>
      </c>
      <c r="I3" s="165" t="s">
        <v>173</v>
      </c>
      <c r="J3" s="176" t="s">
        <v>1</v>
      </c>
      <c r="K3" s="169" t="s">
        <v>14</v>
      </c>
      <c r="L3" s="170" t="s">
        <v>15</v>
      </c>
      <c r="M3" s="171" t="s">
        <v>16</v>
      </c>
      <c r="N3" s="172" t="s">
        <v>17</v>
      </c>
      <c r="O3" s="173" t="s">
        <v>18</v>
      </c>
      <c r="P3" s="174" t="s">
        <v>19</v>
      </c>
      <c r="Q3" s="175" t="s">
        <v>20</v>
      </c>
      <c r="R3" s="295"/>
      <c r="S3" s="295"/>
      <c r="T3" s="295"/>
      <c r="U3" s="295"/>
      <c r="V3" s="295"/>
    </row>
    <row r="4" spans="1:22" s="210" customFormat="1" ht="18.75" x14ac:dyDescent="0.3">
      <c r="A4" s="205">
        <v>1</v>
      </c>
      <c r="B4" s="206" t="s">
        <v>188</v>
      </c>
      <c r="C4" s="207" t="s">
        <v>256</v>
      </c>
      <c r="D4" s="208" t="s">
        <v>189</v>
      </c>
      <c r="E4" s="209" t="s">
        <v>257</v>
      </c>
      <c r="F4" s="207" t="s">
        <v>89</v>
      </c>
      <c r="G4" s="205"/>
      <c r="H4" s="205" t="s">
        <v>53</v>
      </c>
      <c r="I4" s="205" t="s">
        <v>451</v>
      </c>
      <c r="J4" s="205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</row>
    <row r="5" spans="1:22" ht="18.75" x14ac:dyDescent="0.3">
      <c r="A5" s="2">
        <v>2</v>
      </c>
      <c r="B5" s="1" t="s">
        <v>202</v>
      </c>
      <c r="C5" s="158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466</v>
      </c>
      <c r="C6" s="158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95" customFormat="1" ht="18.75" x14ac:dyDescent="0.3">
      <c r="A8" s="190">
        <v>5</v>
      </c>
      <c r="B8" s="191" t="s">
        <v>463</v>
      </c>
      <c r="C8" s="192" t="s">
        <v>473</v>
      </c>
      <c r="D8" s="192" t="s">
        <v>461</v>
      </c>
      <c r="E8" s="193" t="s">
        <v>462</v>
      </c>
      <c r="F8" s="192" t="s">
        <v>472</v>
      </c>
      <c r="G8" s="194"/>
      <c r="H8" s="190" t="s">
        <v>53</v>
      </c>
      <c r="I8" s="190" t="s">
        <v>309</v>
      </c>
      <c r="J8" s="190"/>
      <c r="K8" s="191"/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7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H9" sqref="H9"/>
    </sheetView>
  </sheetViews>
  <sheetFormatPr defaultRowHeight="15" x14ac:dyDescent="0.25"/>
  <cols>
    <col min="1" max="1" width="6.28515625" style="60" customWidth="1"/>
    <col min="2" max="2" width="26.28515625" customWidth="1"/>
    <col min="3" max="3" width="11.85546875" bestFit="1" customWidth="1"/>
    <col min="4" max="4" width="12.42578125" style="245" customWidth="1"/>
    <col min="5" max="5" width="24.85546875" customWidth="1"/>
    <col min="6" max="6" width="15.5703125" bestFit="1" customWidth="1"/>
    <col min="7" max="7" width="12.85546875" bestFit="1" customWidth="1"/>
    <col min="8" max="8" width="9.7109375" bestFit="1" customWidth="1"/>
    <col min="9" max="9" width="16.5703125" style="60" bestFit="1" customWidth="1"/>
    <col min="10" max="10" width="10.7109375" bestFit="1" customWidth="1"/>
  </cols>
  <sheetData>
    <row r="1" spans="1:22" ht="18.75" x14ac:dyDescent="0.3">
      <c r="A1" s="246"/>
      <c r="B1" s="255" t="s">
        <v>508</v>
      </c>
      <c r="C1" s="256"/>
      <c r="D1" s="257"/>
      <c r="E1" s="221"/>
      <c r="F1" s="221"/>
      <c r="G1" s="221"/>
      <c r="H1" s="246"/>
      <c r="I1" s="246"/>
      <c r="J1" s="21"/>
      <c r="K1" s="246"/>
      <c r="L1" s="246"/>
      <c r="M1" s="246"/>
      <c r="N1" s="246"/>
      <c r="O1" s="246"/>
      <c r="P1" s="246"/>
      <c r="Q1" s="246"/>
      <c r="R1" s="21"/>
      <c r="S1" s="21"/>
      <c r="T1" s="21"/>
      <c r="U1" s="21"/>
      <c r="V1" s="21"/>
    </row>
    <row r="2" spans="1:22" ht="18.75" x14ac:dyDescent="0.3">
      <c r="A2" s="246"/>
      <c r="B2" s="21"/>
      <c r="C2" s="256"/>
      <c r="D2" s="257"/>
      <c r="E2" s="221"/>
      <c r="F2" s="221"/>
      <c r="G2" s="221"/>
      <c r="H2" s="246"/>
      <c r="I2" s="246"/>
      <c r="J2" s="21"/>
      <c r="K2" s="300" t="s">
        <v>7</v>
      </c>
      <c r="L2" s="300"/>
      <c r="M2" s="300"/>
      <c r="N2" s="300"/>
      <c r="O2" s="301" t="s">
        <v>8</v>
      </c>
      <c r="P2" s="301"/>
      <c r="Q2" s="301"/>
      <c r="R2" s="296" t="s">
        <v>323</v>
      </c>
      <c r="S2" s="296" t="s">
        <v>324</v>
      </c>
      <c r="T2" s="295" t="s">
        <v>11</v>
      </c>
      <c r="U2" s="295" t="s">
        <v>12</v>
      </c>
      <c r="V2" s="296" t="s">
        <v>325</v>
      </c>
    </row>
    <row r="3" spans="1:22" s="160" customFormat="1" x14ac:dyDescent="0.25">
      <c r="A3" s="230" t="s">
        <v>6</v>
      </c>
      <c r="B3" s="230" t="s">
        <v>5</v>
      </c>
      <c r="C3" s="231" t="s">
        <v>4</v>
      </c>
      <c r="D3" s="231" t="s">
        <v>3</v>
      </c>
      <c r="E3" s="231" t="s">
        <v>117</v>
      </c>
      <c r="F3" s="231" t="s">
        <v>71</v>
      </c>
      <c r="G3" s="231" t="s">
        <v>106</v>
      </c>
      <c r="H3" s="230" t="s">
        <v>2</v>
      </c>
      <c r="I3" s="230" t="s">
        <v>173</v>
      </c>
      <c r="J3" s="230" t="s">
        <v>1</v>
      </c>
      <c r="K3" s="232" t="s">
        <v>14</v>
      </c>
      <c r="L3" s="233" t="s">
        <v>15</v>
      </c>
      <c r="M3" s="234" t="s">
        <v>16</v>
      </c>
      <c r="N3" s="235" t="s">
        <v>17</v>
      </c>
      <c r="O3" s="236" t="s">
        <v>18</v>
      </c>
      <c r="P3" s="237" t="s">
        <v>19</v>
      </c>
      <c r="Q3" s="238" t="s">
        <v>20</v>
      </c>
      <c r="R3" s="295"/>
      <c r="S3" s="295"/>
      <c r="T3" s="295"/>
      <c r="U3" s="295"/>
      <c r="V3" s="295"/>
    </row>
    <row r="4" spans="1:22" s="210" customFormat="1" x14ac:dyDescent="0.25">
      <c r="A4" s="267">
        <v>1</v>
      </c>
      <c r="B4" s="268" t="s">
        <v>520</v>
      </c>
      <c r="C4" s="268"/>
      <c r="D4" s="269" t="s">
        <v>519</v>
      </c>
      <c r="E4" s="268"/>
      <c r="F4" s="268"/>
      <c r="G4" s="268"/>
      <c r="H4" s="268"/>
      <c r="I4" s="267" t="s">
        <v>309</v>
      </c>
      <c r="J4" s="268"/>
      <c r="K4" s="267">
        <v>4</v>
      </c>
      <c r="L4" s="267">
        <v>11</v>
      </c>
      <c r="M4" s="267">
        <v>4</v>
      </c>
      <c r="N4" s="267">
        <v>8</v>
      </c>
      <c r="O4" s="267">
        <v>15</v>
      </c>
      <c r="P4" s="267">
        <v>4</v>
      </c>
      <c r="Q4" s="267">
        <v>13</v>
      </c>
      <c r="R4" s="267">
        <f>SUM(K4:N4)</f>
        <v>27</v>
      </c>
      <c r="S4" s="267">
        <f>SUM(O4:Q4)</f>
        <v>32</v>
      </c>
      <c r="T4" s="267">
        <v>115</v>
      </c>
      <c r="U4" s="267">
        <v>100</v>
      </c>
      <c r="V4" s="267">
        <f>T4+U4</f>
        <v>215</v>
      </c>
    </row>
    <row r="5" spans="1:22" x14ac:dyDescent="0.25">
      <c r="A5" s="19">
        <v>2</v>
      </c>
      <c r="B5" s="22" t="s">
        <v>509</v>
      </c>
      <c r="C5" s="22"/>
      <c r="D5" s="258" t="s">
        <v>510</v>
      </c>
      <c r="E5" s="22"/>
      <c r="F5" s="22"/>
      <c r="G5" s="22"/>
      <c r="H5" s="22"/>
      <c r="I5" s="19" t="s">
        <v>309</v>
      </c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</row>
    <row r="6" spans="1:22" x14ac:dyDescent="0.25">
      <c r="A6" s="19">
        <v>3</v>
      </c>
      <c r="B6" s="253" t="s">
        <v>515</v>
      </c>
      <c r="C6" s="272">
        <v>35005</v>
      </c>
      <c r="D6" s="254" t="s">
        <v>517</v>
      </c>
      <c r="E6" s="22" t="s">
        <v>530</v>
      </c>
      <c r="F6" s="22"/>
      <c r="G6" s="19" t="s">
        <v>53</v>
      </c>
      <c r="H6" s="22"/>
      <c r="I6" s="19" t="s">
        <v>309</v>
      </c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</row>
    <row r="7" spans="1:22" x14ac:dyDescent="0.25">
      <c r="A7" s="19">
        <v>4</v>
      </c>
      <c r="B7" s="253" t="s">
        <v>516</v>
      </c>
      <c r="C7" s="22" t="s">
        <v>528</v>
      </c>
      <c r="D7" s="254" t="s">
        <v>518</v>
      </c>
      <c r="E7" s="22" t="s">
        <v>531</v>
      </c>
      <c r="F7" s="22"/>
      <c r="G7" s="19" t="s">
        <v>53</v>
      </c>
      <c r="H7" s="22"/>
      <c r="I7" s="19" t="s">
        <v>309</v>
      </c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</row>
    <row r="8" spans="1:22" s="310" customFormat="1" x14ac:dyDescent="0.25">
      <c r="A8" s="309">
        <v>5</v>
      </c>
      <c r="B8" s="308" t="s">
        <v>522</v>
      </c>
      <c r="C8" s="310" t="s">
        <v>529</v>
      </c>
      <c r="D8" s="254" t="s">
        <v>523</v>
      </c>
      <c r="E8" s="311" t="s">
        <v>533</v>
      </c>
      <c r="F8" s="22"/>
      <c r="G8" s="19" t="s">
        <v>53</v>
      </c>
      <c r="H8" s="22"/>
      <c r="I8" s="19" t="s">
        <v>346</v>
      </c>
      <c r="J8" s="22"/>
      <c r="K8" s="22"/>
    </row>
    <row r="9" spans="1:22" s="314" customFormat="1" x14ac:dyDescent="0.25">
      <c r="A9" s="312">
        <v>6</v>
      </c>
      <c r="B9" s="308" t="s">
        <v>524</v>
      </c>
      <c r="C9" s="22" t="s">
        <v>527</v>
      </c>
      <c r="D9" s="316" t="s">
        <v>525</v>
      </c>
      <c r="E9" s="22" t="s">
        <v>532</v>
      </c>
      <c r="F9" s="22"/>
      <c r="G9" s="19" t="s">
        <v>53</v>
      </c>
      <c r="H9" s="22"/>
      <c r="I9" s="315" t="s">
        <v>309</v>
      </c>
      <c r="J9" s="22"/>
      <c r="K9" s="22"/>
    </row>
    <row r="10" spans="1:22" x14ac:dyDescent="0.25">
      <c r="A10" s="313">
        <v>7</v>
      </c>
      <c r="B10" s="270" t="s">
        <v>534</v>
      </c>
      <c r="C10" s="71">
        <v>35342</v>
      </c>
      <c r="D10" s="245" t="s">
        <v>535</v>
      </c>
      <c r="E10" s="307" t="s">
        <v>536</v>
      </c>
      <c r="G10" s="19" t="s">
        <v>53</v>
      </c>
    </row>
    <row r="11" spans="1:22" x14ac:dyDescent="0.25">
      <c r="A11" s="60">
        <v>8</v>
      </c>
      <c r="B11" s="270" t="s">
        <v>537</v>
      </c>
      <c r="C11" s="71">
        <v>33428</v>
      </c>
      <c r="D11" s="245" t="s">
        <v>538</v>
      </c>
      <c r="E11" s="307" t="s">
        <v>539</v>
      </c>
      <c r="G11" s="19" t="s">
        <v>53</v>
      </c>
    </row>
    <row r="12" spans="1:22" x14ac:dyDescent="0.25">
      <c r="B12" s="310"/>
      <c r="E12" s="60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tabSelected="1" workbookViewId="0">
      <selection activeCell="F12" sqref="F12"/>
    </sheetView>
  </sheetViews>
  <sheetFormatPr defaultRowHeight="15" x14ac:dyDescent="0.25"/>
  <cols>
    <col min="1" max="1" width="9.140625" style="160"/>
    <col min="2" max="2" width="29.7109375" style="160" customWidth="1"/>
    <col min="3" max="3" width="18.140625" style="160" customWidth="1"/>
    <col min="4" max="4" width="20.85546875" style="160" customWidth="1"/>
    <col min="5" max="5" width="41.28515625" style="160" customWidth="1"/>
    <col min="6" max="6" width="30" style="160" customWidth="1"/>
    <col min="7" max="7" width="19.5703125" style="160" customWidth="1"/>
    <col min="8" max="8" width="13" style="160" customWidth="1"/>
    <col min="9" max="9" width="17.140625" style="160" customWidth="1"/>
    <col min="10" max="16384" width="9.140625" style="160"/>
  </cols>
  <sheetData>
    <row r="1" spans="1:21" ht="18.75" x14ac:dyDescent="0.3">
      <c r="A1" s="241"/>
      <c r="B1" s="168" t="s">
        <v>507</v>
      </c>
      <c r="C1" s="247"/>
      <c r="D1" s="164"/>
      <c r="E1" s="164"/>
      <c r="F1" s="163"/>
      <c r="G1" s="164"/>
      <c r="H1" s="241"/>
      <c r="I1" s="241"/>
      <c r="J1" s="241"/>
      <c r="K1" s="241"/>
      <c r="L1" s="241"/>
      <c r="M1" s="241"/>
      <c r="N1" s="241"/>
      <c r="O1" s="241"/>
      <c r="P1" s="241"/>
    </row>
    <row r="2" spans="1:21" x14ac:dyDescent="0.25">
      <c r="A2" s="241"/>
      <c r="C2" s="247"/>
      <c r="D2" s="163"/>
      <c r="E2" s="164"/>
      <c r="F2" s="163"/>
      <c r="G2" s="164"/>
      <c r="H2" s="241"/>
      <c r="I2" s="241"/>
      <c r="J2" s="305" t="s">
        <v>7</v>
      </c>
      <c r="K2" s="305"/>
      <c r="L2" s="305"/>
      <c r="M2" s="305"/>
      <c r="N2" s="306" t="s">
        <v>8</v>
      </c>
      <c r="O2" s="306"/>
      <c r="P2" s="306"/>
      <c r="Q2" s="303" t="s">
        <v>323</v>
      </c>
      <c r="R2" s="303" t="s">
        <v>324</v>
      </c>
      <c r="S2" s="304" t="s">
        <v>11</v>
      </c>
      <c r="T2" s="304" t="s">
        <v>12</v>
      </c>
      <c r="U2" s="303" t="s">
        <v>325</v>
      </c>
    </row>
    <row r="3" spans="1:21" x14ac:dyDescent="0.25">
      <c r="A3" s="230" t="s">
        <v>6</v>
      </c>
      <c r="B3" s="230" t="s">
        <v>5</v>
      </c>
      <c r="C3" s="239" t="s">
        <v>4</v>
      </c>
      <c r="D3" s="231" t="s">
        <v>3</v>
      </c>
      <c r="E3" s="240" t="s">
        <v>117</v>
      </c>
      <c r="F3" s="231" t="s">
        <v>71</v>
      </c>
      <c r="G3" s="231" t="s">
        <v>106</v>
      </c>
      <c r="H3" s="230" t="s">
        <v>2</v>
      </c>
      <c r="I3" s="230" t="s">
        <v>173</v>
      </c>
      <c r="J3" s="232" t="s">
        <v>14</v>
      </c>
      <c r="K3" s="233" t="s">
        <v>15</v>
      </c>
      <c r="L3" s="234" t="s">
        <v>16</v>
      </c>
      <c r="M3" s="235" t="s">
        <v>17</v>
      </c>
      <c r="N3" s="236" t="s">
        <v>18</v>
      </c>
      <c r="O3" s="237" t="s">
        <v>19</v>
      </c>
      <c r="P3" s="238" t="s">
        <v>20</v>
      </c>
      <c r="Q3" s="304"/>
      <c r="R3" s="304"/>
      <c r="S3" s="304"/>
      <c r="T3" s="304"/>
      <c r="U3" s="304"/>
    </row>
    <row r="4" spans="1:21" x14ac:dyDescent="0.25">
      <c r="A4" s="241">
        <v>1</v>
      </c>
      <c r="B4" s="160" t="s">
        <v>363</v>
      </c>
      <c r="C4" s="242">
        <v>35013</v>
      </c>
      <c r="D4" s="243" t="s">
        <v>393</v>
      </c>
      <c r="E4" s="163" t="s">
        <v>364</v>
      </c>
      <c r="F4" s="163"/>
      <c r="G4" s="164"/>
      <c r="H4" s="241" t="s">
        <v>53</v>
      </c>
      <c r="I4" s="241" t="s">
        <v>451</v>
      </c>
    </row>
    <row r="5" spans="1:21" x14ac:dyDescent="0.25">
      <c r="A5" s="241">
        <v>2</v>
      </c>
      <c r="B5" s="160" t="s">
        <v>334</v>
      </c>
      <c r="C5" s="242">
        <v>34824</v>
      </c>
      <c r="D5" s="163" t="s">
        <v>337</v>
      </c>
      <c r="E5" s="244" t="s">
        <v>335</v>
      </c>
      <c r="F5" s="163"/>
      <c r="G5" s="164"/>
      <c r="H5" s="241" t="s">
        <v>53</v>
      </c>
      <c r="I5" s="241" t="s">
        <v>451</v>
      </c>
    </row>
    <row r="6" spans="1:21" x14ac:dyDescent="0.25">
      <c r="A6" s="241">
        <v>3</v>
      </c>
      <c r="B6" s="160" t="s">
        <v>511</v>
      </c>
      <c r="C6" s="163" t="s">
        <v>540</v>
      </c>
      <c r="D6" s="163" t="s">
        <v>512</v>
      </c>
      <c r="E6" s="244" t="s">
        <v>513</v>
      </c>
      <c r="F6" s="163"/>
      <c r="G6" s="164" t="s">
        <v>53</v>
      </c>
      <c r="H6" s="241" t="s">
        <v>53</v>
      </c>
      <c r="I6" s="241" t="s">
        <v>514</v>
      </c>
    </row>
    <row r="7" spans="1:21" x14ac:dyDescent="0.25">
      <c r="A7" s="248">
        <v>4</v>
      </c>
      <c r="B7" s="271" t="s">
        <v>424</v>
      </c>
      <c r="C7" s="250" t="s">
        <v>423</v>
      </c>
      <c r="D7" s="250" t="s">
        <v>526</v>
      </c>
      <c r="E7" s="251" t="s">
        <v>544</v>
      </c>
      <c r="F7" s="250"/>
      <c r="G7" s="252"/>
      <c r="H7" s="248" t="s">
        <v>53</v>
      </c>
      <c r="I7" s="248" t="s">
        <v>514</v>
      </c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</row>
    <row r="8" spans="1:21" x14ac:dyDescent="0.25">
      <c r="A8" s="317">
        <v>5</v>
      </c>
      <c r="B8" s="271" t="s">
        <v>541</v>
      </c>
      <c r="C8" s="160" t="s">
        <v>542</v>
      </c>
      <c r="D8" s="247">
        <v>901901610</v>
      </c>
      <c r="E8" s="318" t="s">
        <v>543</v>
      </c>
      <c r="G8" s="241" t="s">
        <v>53</v>
      </c>
    </row>
    <row r="9" spans="1:21" x14ac:dyDescent="0.25">
      <c r="G9" s="241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Sheet1</vt:lpstr>
      <vt:lpstr>TOEIC AK9</vt:lpstr>
      <vt:lpstr>TOEIC BK7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2018-03-23T01:51:01Z</dcterms:modified>
</cp:coreProperties>
</file>