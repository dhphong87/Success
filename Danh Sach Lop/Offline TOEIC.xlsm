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8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<sst xmlns="http://schemas.openxmlformats.org/spreadsheetml/2006/main" count="2444" uniqueCount="546">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</sst>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workbookViewId="0">
      <selection activeCell="B4" sqref="B4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32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34" customFormat="1" x14ac:dyDescent="0.25">
      <c r="A5" s="233">
        <v>4</v>
      </c>
      <c r="B5" s="234" t="s">
        <v>195</v>
      </c>
      <c r="F5" s="234" t="s">
        <v>294</v>
      </c>
      <c r="G5" s="234" t="s">
        <v>176</v>
      </c>
      <c r="H5" s="235" t="s">
        <v>296</v>
      </c>
      <c r="I5" s="235" t="s">
        <v>295</v>
      </c>
      <c r="K5" s="236"/>
      <c r="L5" s="236"/>
    </row>
    <row r="6" spans="1:22" s="127" customFormat="1" x14ac:dyDescent="0.25">
      <c r="A6" s="126">
        <v>5</v>
      </c>
      <c r="B6" s="127" t="s">
        <v>210</v>
      </c>
      <c r="C6" s="232" t="s">
        <v>287</v>
      </c>
      <c r="D6" s="237" t="s">
        <v>288</v>
      </c>
      <c r="E6" s="127" t="s">
        <v>289</v>
      </c>
      <c r="G6" s="127" t="s">
        <v>300</v>
      </c>
      <c r="H6" s="232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30" t="s">
        <v>519</v>
      </c>
      <c r="E8" s="22"/>
      <c r="F8" s="22"/>
      <c r="G8" s="22" t="s">
        <v>521</v>
      </c>
      <c r="H8" s="231">
        <v>43437</v>
      </c>
      <c r="I8" s="238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2" t="s">
        <v>165</v>
      </c>
      <c r="B2" s="262"/>
      <c r="C2" s="262"/>
      <c r="D2" s="262"/>
      <c r="E2" s="262"/>
      <c r="F2" s="262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43202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24"/>
      <c r="D3" s="24"/>
      <c r="E3" s="24"/>
      <c r="F3" s="24"/>
      <c r="G3" s="276"/>
      <c r="H3" s="276"/>
      <c r="I3" s="276"/>
      <c r="J3" s="273"/>
      <c r="K3" s="268"/>
      <c r="L3" s="269"/>
      <c r="M3" s="273"/>
      <c r="N3" s="268"/>
      <c r="O3" s="269"/>
      <c r="P3" s="273"/>
      <c r="Q3" s="268"/>
      <c r="R3" s="269"/>
      <c r="S3" s="273"/>
      <c r="T3" s="268"/>
      <c r="U3" s="269"/>
      <c r="V3" s="273"/>
      <c r="W3" s="268"/>
      <c r="X3" s="269"/>
      <c r="Y3" s="273"/>
      <c r="Z3" s="268"/>
      <c r="AA3" s="269"/>
      <c r="AB3" s="273"/>
      <c r="AC3" s="268"/>
      <c r="AD3" s="269"/>
      <c r="AE3" s="273"/>
      <c r="AF3" s="268"/>
      <c r="AG3" s="269"/>
      <c r="AH3" s="273"/>
      <c r="AI3" s="268"/>
      <c r="AJ3" s="269"/>
      <c r="AK3" s="273"/>
      <c r="AL3" s="268"/>
      <c r="AM3" s="269"/>
      <c r="AN3" s="273"/>
      <c r="AO3" s="268"/>
      <c r="AP3" s="269"/>
      <c r="AQ3" s="273"/>
      <c r="AR3" s="268"/>
      <c r="AS3" s="269"/>
      <c r="AT3" s="273"/>
      <c r="AU3" s="268"/>
      <c r="AV3" s="269"/>
      <c r="AW3" s="273"/>
      <c r="AX3" s="268"/>
      <c r="AY3" s="269"/>
      <c r="AZ3" s="273"/>
      <c r="BA3" s="268"/>
      <c r="BB3" s="269"/>
      <c r="BC3" s="270" t="s">
        <v>116</v>
      </c>
      <c r="BD3" s="271"/>
      <c r="BE3" s="272"/>
      <c r="BF3" s="267">
        <v>42930</v>
      </c>
      <c r="BG3" s="268"/>
      <c r="BH3" s="269"/>
      <c r="BI3" s="273" t="s">
        <v>147</v>
      </c>
      <c r="BJ3" s="268"/>
      <c r="BK3" s="269"/>
      <c r="BL3" s="273" t="s">
        <v>148</v>
      </c>
      <c r="BM3" s="268"/>
      <c r="BN3" s="269"/>
      <c r="BO3" s="273" t="s">
        <v>170</v>
      </c>
      <c r="BP3" s="268"/>
      <c r="BQ3" s="269"/>
      <c r="BR3" s="267">
        <v>42940</v>
      </c>
      <c r="BS3" s="268"/>
      <c r="BT3" s="269"/>
      <c r="BU3" s="267">
        <v>42942</v>
      </c>
      <c r="BV3" s="268"/>
      <c r="BW3" s="269"/>
      <c r="BX3" s="267">
        <v>42944</v>
      </c>
      <c r="BY3" s="268"/>
      <c r="BZ3" s="269"/>
      <c r="CA3" s="267">
        <v>42947</v>
      </c>
      <c r="CB3" s="268"/>
      <c r="CC3" s="269"/>
      <c r="CD3" s="26"/>
    </row>
    <row r="4" spans="1:82" s="17" customFormat="1" ht="21" customHeight="1" x14ac:dyDescent="0.25">
      <c r="A4" s="275"/>
      <c r="B4" s="27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73"/>
      <c r="BM3" s="268"/>
      <c r="BN3" s="269"/>
      <c r="BO3" s="273"/>
      <c r="BP3" s="268"/>
      <c r="BQ3" s="269"/>
      <c r="BR3" s="273"/>
      <c r="BS3" s="268"/>
      <c r="BT3" s="2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4"/>
      <c r="B4" s="27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78" t="s">
        <v>7</v>
      </c>
      <c r="P2" s="278"/>
      <c r="Q2" s="278"/>
      <c r="R2" s="278"/>
      <c r="S2" s="279" t="s">
        <v>8</v>
      </c>
      <c r="T2" s="279"/>
      <c r="U2" s="279"/>
      <c r="V2" s="280" t="s">
        <v>9</v>
      </c>
      <c r="W2" s="280" t="s">
        <v>10</v>
      </c>
      <c r="X2" s="280" t="s">
        <v>11</v>
      </c>
      <c r="Y2" s="280" t="s">
        <v>12</v>
      </c>
      <c r="Z2" s="27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0"/>
      <c r="W3" s="280"/>
      <c r="X3" s="280"/>
      <c r="Y3" s="280"/>
      <c r="Z3" s="27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61"/>
      <c r="D3" s="61"/>
      <c r="E3" s="61"/>
      <c r="F3" s="61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276"/>
      <c r="AB3" s="276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B3" s="276"/>
      <c r="BC3" s="281"/>
      <c r="BD3" s="281"/>
      <c r="BE3" s="281"/>
      <c r="BF3" s="282">
        <v>42976</v>
      </c>
      <c r="BG3" s="276"/>
      <c r="BH3" s="276"/>
      <c r="BI3" s="276"/>
      <c r="BJ3" s="276"/>
      <c r="BK3" s="276"/>
      <c r="BL3" s="276"/>
      <c r="BM3" s="276"/>
      <c r="BN3" s="276"/>
      <c r="BO3" s="276"/>
      <c r="BP3" s="276"/>
      <c r="BQ3" s="276"/>
      <c r="BR3" s="282"/>
      <c r="BS3" s="276"/>
      <c r="BT3" s="276"/>
      <c r="BU3" s="276"/>
      <c r="BV3" s="276"/>
      <c r="BW3" s="276"/>
      <c r="BX3" s="276"/>
      <c r="BY3" s="276"/>
      <c r="BZ3" s="276"/>
      <c r="CA3" s="276"/>
      <c r="CB3" s="276"/>
      <c r="CC3" s="276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83" t="s">
        <v>224</v>
      </c>
      <c r="C1" s="283"/>
      <c r="D1" s="28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64" t="s">
        <v>7</v>
      </c>
      <c r="O2" s="264"/>
      <c r="P2" s="264"/>
      <c r="Q2" s="264"/>
      <c r="R2" s="265" t="s">
        <v>8</v>
      </c>
      <c r="S2" s="265"/>
      <c r="T2" s="265"/>
      <c r="U2" s="266" t="s">
        <v>9</v>
      </c>
      <c r="V2" s="266" t="s">
        <v>10</v>
      </c>
      <c r="W2" s="266" t="s">
        <v>11</v>
      </c>
      <c r="X2" s="266" t="s">
        <v>12</v>
      </c>
      <c r="Y2" s="26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6"/>
      <c r="V3" s="266"/>
      <c r="W3" s="266"/>
      <c r="X3" s="266"/>
      <c r="Y3" s="26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67">
        <v>42970</v>
      </c>
      <c r="BM3" s="268"/>
      <c r="BN3" s="269"/>
      <c r="BO3" s="267">
        <v>42972</v>
      </c>
      <c r="BP3" s="268"/>
      <c r="BQ3" s="269"/>
      <c r="BR3" s="267">
        <v>42975</v>
      </c>
      <c r="BS3" s="268"/>
      <c r="BT3" s="269"/>
      <c r="BU3" s="267">
        <v>42977</v>
      </c>
      <c r="BV3" s="268"/>
      <c r="BW3" s="26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4"/>
      <c r="B4" s="274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7" t="s">
        <v>431</v>
      </c>
      <c r="B1" s="288"/>
      <c r="C1" s="288"/>
      <c r="D1" s="288"/>
      <c r="E1" s="28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8"/>
      <c r="B2" s="288"/>
      <c r="C2" s="288"/>
      <c r="D2" s="288"/>
      <c r="E2" s="288"/>
      <c r="F2" s="221"/>
      <c r="G2" s="221"/>
      <c r="H2" s="49"/>
      <c r="I2" s="49"/>
      <c r="J2" s="229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  <c r="W2" s="219"/>
      <c r="X2" s="289" t="s">
        <v>7</v>
      </c>
      <c r="Y2" s="289"/>
      <c r="Z2" s="289"/>
      <c r="AA2" s="289"/>
      <c r="AB2" s="290" t="s">
        <v>8</v>
      </c>
      <c r="AC2" s="290"/>
      <c r="AD2" s="290"/>
      <c r="AE2" s="285" t="s">
        <v>323</v>
      </c>
      <c r="AF2" s="285" t="s">
        <v>324</v>
      </c>
      <c r="AG2" s="284" t="s">
        <v>11</v>
      </c>
      <c r="AH2" s="284" t="s">
        <v>12</v>
      </c>
      <c r="AI2" s="28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84"/>
      <c r="AF3" s="284"/>
      <c r="AG3" s="284"/>
      <c r="AH3" s="284"/>
      <c r="AI3" s="28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8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8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8" t="s">
        <v>7</v>
      </c>
      <c r="L2" s="278"/>
      <c r="M2" s="278"/>
      <c r="N2" s="278"/>
      <c r="O2" s="279" t="s">
        <v>8</v>
      </c>
      <c r="P2" s="279"/>
      <c r="Q2" s="279"/>
      <c r="R2" s="280" t="s">
        <v>9</v>
      </c>
      <c r="S2" s="280" t="s">
        <v>10</v>
      </c>
      <c r="T2" s="280" t="s">
        <v>11</v>
      </c>
      <c r="U2" s="280" t="s">
        <v>12</v>
      </c>
      <c r="V2" s="28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0"/>
      <c r="S3" s="280"/>
      <c r="T3" s="280"/>
      <c r="U3" s="280"/>
      <c r="V3" s="28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8" t="s">
        <v>7</v>
      </c>
      <c r="L2" s="278"/>
      <c r="M2" s="278"/>
      <c r="N2" s="278"/>
      <c r="O2" s="279" t="s">
        <v>8</v>
      </c>
      <c r="P2" s="279"/>
      <c r="Q2" s="279"/>
      <c r="R2" s="291" t="s">
        <v>323</v>
      </c>
      <c r="S2" s="291" t="s">
        <v>324</v>
      </c>
      <c r="T2" s="280" t="s">
        <v>11</v>
      </c>
      <c r="U2" s="280" t="s">
        <v>12</v>
      </c>
      <c r="V2" s="29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0"/>
      <c r="S3" s="280"/>
      <c r="T3" s="280"/>
      <c r="U3" s="280"/>
      <c r="V3" s="28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>
        <v>3</v>
      </c>
      <c r="L8" s="191">
        <v>16</v>
      </c>
      <c r="M8" s="191">
        <v>10</v>
      </c>
      <c r="N8" s="191">
        <v>12</v>
      </c>
      <c r="O8" s="191">
        <v>10</v>
      </c>
      <c r="P8" s="191">
        <v>3</v>
      </c>
      <c r="Q8" s="191">
        <v>12</v>
      </c>
      <c r="R8" s="191">
        <v>41</v>
      </c>
      <c r="S8" s="191">
        <v>25</v>
      </c>
      <c r="T8" s="191">
        <v>190</v>
      </c>
      <c r="U8" s="191">
        <v>60</v>
      </c>
      <c r="V8" s="191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11" sqref="D11"/>
    </sheetView>
  </sheetViews>
  <sheetFormatPr defaultRowHeight="15" x14ac:dyDescent="0.25"/>
  <cols>
    <col min="1" max="1" width="6.28515625" style="259" customWidth="1"/>
    <col min="2" max="2" width="26.28515625" style="250" customWidth="1"/>
    <col min="3" max="3" width="20.5703125" style="70" customWidth="1"/>
    <col min="4" max="4" width="28" style="260" customWidth="1"/>
    <col min="5" max="5" width="32.5703125" style="250" customWidth="1"/>
    <col min="6" max="6" width="15.5703125" style="250" bestFit="1" customWidth="1"/>
    <col min="7" max="7" width="12.85546875" style="250" bestFit="1" customWidth="1"/>
    <col min="8" max="8" width="9.7109375" style="250" bestFit="1" customWidth="1"/>
    <col min="9" max="9" width="16.5703125" style="259" bestFit="1" customWidth="1"/>
    <col min="10" max="10" width="10.7109375" style="250" bestFit="1" customWidth="1"/>
    <col min="11" max="22" width="9.28515625" style="250" bestFit="1" customWidth="1"/>
    <col min="23" max="16384" width="9.140625" style="250"/>
  </cols>
  <sheetData>
    <row r="1" spans="1:22" ht="18.75" x14ac:dyDescent="0.3">
      <c r="A1" s="245"/>
      <c r="B1" s="249" t="s">
        <v>508</v>
      </c>
      <c r="C1" s="246"/>
      <c r="D1" s="247"/>
      <c r="E1" s="248"/>
      <c r="F1" s="248"/>
      <c r="G1" s="248"/>
      <c r="H1" s="245"/>
      <c r="I1" s="245"/>
      <c r="J1" s="150"/>
      <c r="K1" s="245"/>
      <c r="L1" s="245"/>
      <c r="M1" s="245"/>
      <c r="N1" s="245"/>
      <c r="O1" s="245"/>
      <c r="P1" s="245"/>
      <c r="Q1" s="245"/>
      <c r="R1" s="150"/>
      <c r="S1" s="150"/>
      <c r="T1" s="150"/>
      <c r="U1" s="150"/>
      <c r="V1" s="150"/>
    </row>
    <row r="2" spans="1:22" ht="18.75" x14ac:dyDescent="0.3">
      <c r="A2" s="245"/>
      <c r="B2" s="150"/>
      <c r="C2" s="246"/>
      <c r="D2" s="247"/>
      <c r="E2" s="248"/>
      <c r="F2" s="248"/>
      <c r="G2" s="248"/>
      <c r="H2" s="245"/>
      <c r="I2" s="245"/>
      <c r="J2" s="150"/>
      <c r="K2" s="294" t="s">
        <v>7</v>
      </c>
      <c r="L2" s="294"/>
      <c r="M2" s="294"/>
      <c r="N2" s="294"/>
      <c r="O2" s="295" t="s">
        <v>8</v>
      </c>
      <c r="P2" s="295"/>
      <c r="Q2" s="295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s="261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</row>
    <row r="4" spans="1:22" s="255" customFormat="1" ht="18.75" x14ac:dyDescent="0.3">
      <c r="A4" s="251">
        <v>1</v>
      </c>
      <c r="B4" s="252" t="s">
        <v>520</v>
      </c>
      <c r="C4" s="253"/>
      <c r="D4" s="254" t="s">
        <v>519</v>
      </c>
      <c r="E4" s="252"/>
      <c r="F4" s="252"/>
      <c r="G4" s="252"/>
      <c r="H4" s="252"/>
      <c r="I4" s="251" t="s">
        <v>309</v>
      </c>
      <c r="J4" s="252"/>
      <c r="K4" s="251">
        <v>4</v>
      </c>
      <c r="L4" s="251">
        <v>11</v>
      </c>
      <c r="M4" s="251">
        <v>4</v>
      </c>
      <c r="N4" s="251">
        <v>8</v>
      </c>
      <c r="O4" s="251">
        <v>15</v>
      </c>
      <c r="P4" s="251">
        <v>4</v>
      </c>
      <c r="Q4" s="251">
        <v>13</v>
      </c>
      <c r="R4" s="251">
        <f>SUM(K4:N4)</f>
        <v>27</v>
      </c>
      <c r="S4" s="251">
        <f>SUM(O4:Q4)</f>
        <v>32</v>
      </c>
      <c r="T4" s="251">
        <v>115</v>
      </c>
      <c r="U4" s="251">
        <v>100</v>
      </c>
      <c r="V4" s="251">
        <f>T4+U4</f>
        <v>215</v>
      </c>
    </row>
    <row r="5" spans="1:22" ht="18.75" x14ac:dyDescent="0.3">
      <c r="A5" s="245">
        <v>2</v>
      </c>
      <c r="B5" s="150" t="s">
        <v>509</v>
      </c>
      <c r="C5" s="246"/>
      <c r="D5" s="247" t="s">
        <v>510</v>
      </c>
      <c r="E5" s="150"/>
      <c r="F5" s="150"/>
      <c r="G5" s="150"/>
      <c r="H5" s="150"/>
      <c r="I5" s="245" t="s">
        <v>309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</row>
    <row r="6" spans="1:22" ht="18.75" x14ac:dyDescent="0.3">
      <c r="A6" s="245">
        <v>3</v>
      </c>
      <c r="B6" s="246" t="s">
        <v>515</v>
      </c>
      <c r="C6" s="256">
        <v>35005</v>
      </c>
      <c r="D6" s="247" t="s">
        <v>517</v>
      </c>
      <c r="E6" s="150" t="s">
        <v>530</v>
      </c>
      <c r="F6" s="150"/>
      <c r="G6" s="245" t="s">
        <v>53</v>
      </c>
      <c r="H6" s="150"/>
      <c r="I6" s="245" t="s">
        <v>309</v>
      </c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8.75" x14ac:dyDescent="0.3">
      <c r="A7" s="245">
        <v>4</v>
      </c>
      <c r="B7" s="246" t="s">
        <v>516</v>
      </c>
      <c r="C7" s="246" t="s">
        <v>528</v>
      </c>
      <c r="D7" s="247" t="s">
        <v>518</v>
      </c>
      <c r="E7" s="150" t="s">
        <v>531</v>
      </c>
      <c r="F7" s="150"/>
      <c r="G7" s="245" t="s">
        <v>53</v>
      </c>
      <c r="H7" s="150"/>
      <c r="I7" s="245" t="s">
        <v>309</v>
      </c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8.75" x14ac:dyDescent="0.3">
      <c r="A8" s="245">
        <v>5</v>
      </c>
      <c r="B8" s="257" t="s">
        <v>522</v>
      </c>
      <c r="C8" s="246" t="s">
        <v>529</v>
      </c>
      <c r="D8" s="247" t="s">
        <v>523</v>
      </c>
      <c r="E8" s="242" t="s">
        <v>533</v>
      </c>
      <c r="F8" s="150"/>
      <c r="G8" s="245" t="s">
        <v>53</v>
      </c>
      <c r="H8" s="150"/>
      <c r="I8" s="245" t="s">
        <v>346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8.75" x14ac:dyDescent="0.3">
      <c r="A9" s="245">
        <v>6</v>
      </c>
      <c r="B9" s="257" t="s">
        <v>524</v>
      </c>
      <c r="C9" s="246" t="s">
        <v>527</v>
      </c>
      <c r="D9" s="258" t="s">
        <v>525</v>
      </c>
      <c r="E9" s="150" t="s">
        <v>532</v>
      </c>
      <c r="F9" s="150"/>
      <c r="G9" s="245" t="s">
        <v>53</v>
      </c>
      <c r="H9" s="150"/>
      <c r="I9" s="245" t="s">
        <v>309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8.75" x14ac:dyDescent="0.3">
      <c r="A10" s="245">
        <v>7</v>
      </c>
      <c r="B10" s="257" t="s">
        <v>534</v>
      </c>
      <c r="C10" s="256">
        <v>35342</v>
      </c>
      <c r="D10" s="247" t="s">
        <v>535</v>
      </c>
      <c r="E10" s="242" t="s">
        <v>536</v>
      </c>
      <c r="F10" s="150"/>
      <c r="G10" s="245" t="s">
        <v>53</v>
      </c>
      <c r="H10" s="150"/>
      <c r="I10" s="245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8.75" x14ac:dyDescent="0.3">
      <c r="A11" s="245">
        <v>8</v>
      </c>
      <c r="B11" s="257" t="s">
        <v>537</v>
      </c>
      <c r="C11" s="256">
        <v>33428</v>
      </c>
      <c r="D11" s="247" t="s">
        <v>538</v>
      </c>
      <c r="E11" s="242" t="s">
        <v>539</v>
      </c>
      <c r="F11" s="150"/>
      <c r="G11" s="245" t="s">
        <v>53</v>
      </c>
      <c r="H11" s="150"/>
      <c r="I11" s="245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ht="18.75" x14ac:dyDescent="0.3">
      <c r="A12" s="245"/>
      <c r="B12" s="150"/>
      <c r="C12" s="246"/>
      <c r="D12" s="247"/>
      <c r="E12" s="245"/>
      <c r="F12" s="150"/>
      <c r="G12" s="150"/>
      <c r="H12" s="150"/>
      <c r="I12" s="245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L13" sqref="A1:XFD104857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363</v>
      </c>
      <c r="C4" s="158">
        <v>35013</v>
      </c>
      <c r="D4" s="241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8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540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90">
        <v>4</v>
      </c>
      <c r="B7" s="242" t="s">
        <v>424</v>
      </c>
      <c r="C7" s="192" t="s">
        <v>423</v>
      </c>
      <c r="D7" s="192" t="s">
        <v>526</v>
      </c>
      <c r="E7" s="193" t="s">
        <v>544</v>
      </c>
      <c r="F7" s="192"/>
      <c r="G7" s="194"/>
      <c r="H7" s="190" t="s">
        <v>53</v>
      </c>
      <c r="I7" s="190" t="s">
        <v>514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 t="s">
        <v>541</v>
      </c>
      <c r="C8" s="1" t="s">
        <v>542</v>
      </c>
      <c r="D8" s="77">
        <v>901901610</v>
      </c>
      <c r="E8" s="244" t="s">
        <v>543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7" sqref="K17"/>
    </sheetView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E17" sqref="E17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545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439</v>
      </c>
      <c r="C4" s="34" t="s">
        <v>484</v>
      </c>
      <c r="D4" s="211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C5" s="158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90">
        <v>4</v>
      </c>
      <c r="B7" s="242"/>
      <c r="C7" s="192"/>
      <c r="D7" s="192"/>
      <c r="E7" s="193"/>
      <c r="F7" s="192"/>
      <c r="G7" s="194"/>
      <c r="H7" s="190"/>
      <c r="I7" s="190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/>
      <c r="D8" s="77"/>
      <c r="E8" s="244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2018-04-12T11:22:24Z</dcterms:modified>
</cp:coreProperties>
</file>