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2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<sst xmlns="http://schemas.openxmlformats.org/spreadsheetml/2006/main" count="2269" uniqueCount="499">
  <si>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</si>
  <si>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</si>
  <si>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</si>
  <si>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</si>
  <si>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</si>
  <si>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</si>
  <si>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</si>
  <si>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</si>
  <si>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</si>
  <si>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</si>
  <si>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</si>
  <si>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</si>
  <si>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</si>
  <si>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</si>
  <si>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</si>
  <si>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</si>
  <si>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</si>
  <si>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</si>
  <si>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</si>
  <si>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</si>
  <si>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</si>
  <si>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</si>
  <si>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</si>
  <si>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</si>
  <si>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</si>
  <si>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</si>
  <si>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</si>
  <si>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</si>
  <si>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</si>
  <si>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</si>
  <si>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</si>
  <si>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</si>
  <si>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</si>
  <si>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</si>
  <si>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</si>
  <si>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</si>
  <si>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</si>
  <si>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</si>
  <si>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</si>
  <si>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</si>
  <si>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</si>
  <si>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</si>
  <si>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</si>
  <si>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</si>
  <si>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</si>
  <si>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</si>
  <si>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</si>
  <si>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</si>
  <si>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</si>
  <si>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</si>
  <si>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</si>
  <si>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</si>
  <si>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</si>
  <si>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</si>
  <si>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</si>
  <si>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</si>
  <si>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</si>
  <si>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</si>
  <si>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</si>
  <si>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</si>
  <si>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</si>
  <si>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</si>
  <si>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</si>
  <si>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</si>
  <si>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</si>
  <si>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</si>
  <si>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</si>
  <si>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</si>
  <si>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</si>
  <si>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</si>
  <si>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</si>
  <si>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</si>
  <si>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</si>
  <si>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</si>
  <si>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</si>
  <si>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</si>
  <si>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</si>
  <si>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</si>
  <si>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</si>
  <si>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</si>
  <si>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</si>
  <si>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</si>
  <si>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</si>
  <si>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</si>
  <si>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</si>
  <si>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</si>
  <si>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</si>
  <si>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</si>
  <si>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</si>
  <si>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</si>
  <si>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</si>
  <si>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</si>
  <si>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</si>
  <si>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</si>
  <si>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</si>
  <si>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</si>
  <si>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</si>
  <si>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</si>
  <si>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</si>
  <si>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</si>
  <si>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</si>
  <si>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</si>
  <si>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</si>
  <si>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</si>
  <si>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</si>
  <si>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</si>
  <si>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</si>
  <si>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</si>
  <si>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</si>
  <si>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</si>
  <si>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</si>
  <si>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</si>
  <si>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</si>
  <si>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</si>
  <si>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</si>
  <si>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</si>
  <si>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</si>
  <si>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</si>
  <si>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</si>
  <si>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</si>
  <si>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</si>
  <si>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</si>
  <si>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</si>
  <si>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</si>
  <si>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</si>
  <si>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</si>
  <si>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</si>
  <si>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</si>
  <si>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</si>
  <si>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</si>
  <si>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</si>
  <si>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</si>
  <si>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</si>
  <si>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</si>
  <si>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</si>
  <si>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</si>
  <si>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</si>
  <si>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</si>
  <si>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</si>
  <si>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</si>
  <si>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</si>
  <si>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</si>
  <si>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</si>
  <si>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</si>
  <si>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</si>
  <si>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</si>
  <si>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</si>
  <si>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</si>
  <si>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</si>
  <si>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</si>
  <si>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</si>
  <si>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</si>
  <si>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</si>
  <si>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</si>
  <si>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</si>
  <si>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</si>
  <si>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</si>
  <si>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</si>
  <si>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</si>
  <si>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</si>
  <si>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</si>
  <si>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</si>
  <si>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</si>
  <si>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</si>
  <si>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</si>
  <si>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</si>
  <si>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</si>
  <si>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</si>
  <si>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</si>
  <si>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</si>
  <si>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</si>
  <si>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</si>
  <si>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</si>
  <si>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</si>
  <si>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</si>
  <si>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</si>
  <si>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</si>
  <si>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</si>
  <si>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</si>
  <si>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</si>
  <si>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</si>
  <si>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</si>
  <si>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</si>
  <si>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</si>
  <si>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</si>
  <si>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</si>
  <si>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</si>
  <si>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</si>
  <si>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</si>
  <si>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</si>
  <si>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</si>
  <si>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</si>
  <si>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</si>
  <si>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</si>
  <si>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</si>
  <si>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</si>
  <si>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</si>
  <si>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</si>
  <si>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</si>
  <si>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</si>
  <si>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</si>
  <si>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</si>
  <si>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</si>
  <si>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</si>
  <si>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</si>
  <si>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</si>
  <si>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</si>
  <si>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</si>
  <si>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</si>
  <si>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</si>
  <si>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</si>
  <si>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</si>
  <si>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</si>
  <si>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</si>
  <si>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</si>
  <si>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</si>
  <si>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</si>
  <si>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</si>
  <si>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</si>
  <si>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</si>
  <si>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</si>
  <si>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</si>
  <si>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</si>
  <si>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</si>
  <si>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</si>
  <si>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</si>
  <si>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</si>
  <si>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</si>
  <si>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</si>
  <si>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</si>
  <si>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</si>
  <si>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</si>
  <si>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</si>
  <si>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</si>
  <si>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</si>
  <si>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</si>
  <si>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</si>
  <si>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</si>
  <si>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</si>
  <si>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</si>
  <si>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</si>
  <si>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</si>
  <si>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</si>
  <si>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</si>
  <si>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</si>
  <si>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</si>
  <si>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</si>
  <si>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</si>
  <si>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</si>
  <si>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</si>
  <si>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</si>
  <si>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</si>
  <si>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</si>
  <si>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</si>
  <si>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</si>
  <si>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</si>
  <si>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</si>
  <si>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</si>
  <si>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</si>
  <si>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</si>
  <si>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</si>
  <si>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</si>
  <si>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</si>
  <si>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</si>
  <si>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</si>
  <si>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</si>
  <si>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</si>
  <si>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</si>
  <si>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</si>
  <si>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</si>
  <si>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</si>
  <si>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</si>
  <si>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</si>
  <si>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</si>
  <si>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</si>
  <si>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</si>
  <si>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</si>
  <si>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</si>
  <si>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</si>
  <si>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</si>
  <si>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</si>
  <si>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</si>
  <si>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</si>
  <si>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</si>
  <si>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</si>
  <si>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</si>
  <si>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</si>
  <si>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</si>
  <si>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</si>
  <si>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</si>
  <si>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</si>
  <si>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</si>
  <si>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</si>
  <si>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</si>
  <si>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</si>
  <si>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</si>
  <si>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</si>
  <si>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</si>
  <si>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</si>
  <si>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</si>
  <si>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</si>
  <si>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</si>
  <si>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</si>
  <si>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</si>
  <si>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</si>
  <si>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</si>
  <si>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</si>
  <si>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</si>
  <si>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</si>
  <si>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</si>
  <si>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</si>
  <si>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</si>
  <si>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</si>
  <si>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</si>
  <si>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</si>
  <si>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</si>
  <si>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</si>
  <si>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</si>
  <si>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</si>
  <si>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</si>
  <si>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</si>
  <si>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</si>
  <si>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</si>
  <si>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</si>
  <si>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</si>
  <si>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</si>
  <si>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</si>
  <si>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</si>
  <si>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</si>
  <si>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</si>
  <si>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</si>
  <si>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</si>
  <si>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</si>
  <si>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</si>
  <si>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</si>
  <si>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</si>
  <si>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</si>
  <si>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</si>
  <si>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</si>
  <si>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</si>
  <si>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</si>
  <si>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</si>
  <si>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</si>
  <si>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</si>
  <si>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</si>
  <si>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</si>
  <si>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</si>
  <si>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</si>
  <si>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</si>
  <si>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</si>
  <si>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</si>
  <si>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</si>
  <si>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</si>
  <si>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</si>
  <si>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</si>
  <si>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</si>
  <si>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</si>
  <si>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</si>
  <si>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</si>
  <si>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</si>
  <si>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</si>
  <si>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</si>
  <si>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</si>
  <si>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</si>
  <si>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</si>
  <si>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</si>
  <si>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</si>
  <si>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</si>
  <si>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</si>
  <si>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</si>
  <si>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</si>
  <si>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</si>
  <si>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</si>
  <si>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</si>
  <si>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</si>
  <si>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</si>
  <si>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</si>
  <si>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</si>
  <si>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</si>
  <si>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</si>
  <si>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</si>
  <si>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</si>
  <si>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</si>
  <si>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</si>
  <si>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</si>
  <si>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</si>
  <si>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</si>
  <si>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</si>
  <si>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</si>
  <si>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</si>
  <si>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</si>
  <si>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</si>
  <si>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</si>
  <si>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</si>
  <si>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</si>
  <si>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</si>
  <si>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</si>
  <si>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</si>
  <si>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</si>
  <si>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</si>
  <si>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</si>
  <si>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</si>
  <si>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</si>
  <si>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</si>
  <si>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</si>
  <si>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</si>
  <si>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</si>
  <si>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</si>
  <si>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</si>
  <si>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</si>
  <si>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</si>
  <si>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</si>
  <si>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</si>
  <si>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</si>
  <si>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</si>
  <si>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</si>
  <si>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</si>
  <si>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</si>
  <si>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</si>
  <si>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</si>
  <si>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</si>
  <si>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</si>
  <si>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</si>
  <si>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</si>
  <si>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</si>
  <si>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</si>
  <si>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</si>
  <si>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</si>
  <si>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</si>
  <si>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</si>
  <si>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</si>
  <si>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</si>
  <si>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</si>
  <si>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</si>
  <si>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</si>
  <si>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</si>
  <si>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</si>
  <si>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</si>
  <si>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</si>
  <si>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</si>
  <si>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</si>
  <si>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Khóa TOEIC A K8 (/2017 - /2017)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</si>
  <si>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</si>
  <si>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</si>
  <si>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</si>
  <si>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</si>
  <si>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</si>
  <si>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</si>
  <si>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</si>
  <si>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</si>
  <si>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</si>
  <si>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</si>
  <si>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Khóa TOEIC B K6 (/2017 - /2017)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</si>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</sst>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5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0" borderId="1" xfId="0" applyFont="1" applyBorder="1" applyAlignment="1">
      <alignment horizontal="center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Border="1"/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9" fillId="0" borderId="1" xfId="0" applyNumberFormat="1" applyFont="1" applyBorder="1" applyAlignment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7"/>
  <sheetViews>
    <sheetView workbookViewId="0">
      <selection activeCell="J5" sqref="J5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97" customWidth="1"/>
    <col min="9" max="9" width="22.5703125" style="17" customWidth="1"/>
    <col min="10" max="10" width="19.7109375" style="17" customWidth="1"/>
    <col min="11" max="16384" width="9.140625" style="17"/>
  </cols>
  <sheetData>
    <row r="1" spans="1:12" x14ac:dyDescent="0.25">
      <c r="A1" s="125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95" t="s">
        <v>142</v>
      </c>
      <c r="I1" s="123" t="s">
        <v>144</v>
      </c>
      <c r="J1" s="123" t="s">
        <v>208</v>
      </c>
    </row>
    <row r="2" spans="1:12" x14ac:dyDescent="0.25">
      <c r="A2" s="194">
        <v>1</v>
      </c>
      <c r="B2" s="124" t="s">
        <v>108</v>
      </c>
      <c r="C2" s="124" t="s">
        <v>109</v>
      </c>
      <c r="D2" s="124" t="s">
        <v>110</v>
      </c>
      <c r="E2" s="124" t="s">
        <v>120</v>
      </c>
      <c r="F2" s="18" t="s">
        <v>79</v>
      </c>
      <c r="G2" s="18" t="s">
        <v>149</v>
      </c>
      <c r="H2" s="130" t="s">
        <v>143</v>
      </c>
      <c r="I2" s="18" t="s">
        <v>297</v>
      </c>
      <c r="J2" s="18"/>
    </row>
    <row r="3" spans="1:12" s="134" customFormat="1" ht="21" customHeight="1" x14ac:dyDescent="0.25">
      <c r="A3" s="131">
        <v>2</v>
      </c>
      <c r="B3" s="132" t="s">
        <v>63</v>
      </c>
      <c r="C3" s="133" t="s">
        <v>85</v>
      </c>
      <c r="D3" s="133" t="s">
        <v>86</v>
      </c>
      <c r="E3" s="133" t="s">
        <v>125</v>
      </c>
      <c r="F3" s="133" t="s">
        <v>89</v>
      </c>
      <c r="G3" s="133" t="s">
        <v>154</v>
      </c>
      <c r="H3" s="196" t="s">
        <v>171</v>
      </c>
      <c r="I3" s="133" t="s">
        <v>299</v>
      </c>
      <c r="J3" s="132" t="s">
        <v>209</v>
      </c>
    </row>
    <row r="4" spans="1:12" s="215" customFormat="1" x14ac:dyDescent="0.25">
      <c r="A4" s="208">
        <v>3</v>
      </c>
      <c r="B4" s="209" t="s">
        <v>225</v>
      </c>
      <c r="C4" s="210">
        <v>35560</v>
      </c>
      <c r="D4" s="211" t="s">
        <v>262</v>
      </c>
      <c r="E4" s="212" t="s">
        <v>261</v>
      </c>
      <c r="F4" s="212" t="s">
        <v>69</v>
      </c>
      <c r="G4" s="213" t="s">
        <v>174</v>
      </c>
      <c r="H4" s="214" t="s">
        <v>292</v>
      </c>
      <c r="I4" s="209" t="s">
        <v>293</v>
      </c>
      <c r="J4" s="209" t="s">
        <v>498</v>
      </c>
    </row>
    <row r="5" spans="1:12" s="127" customFormat="1" x14ac:dyDescent="0.25">
      <c r="A5" s="126">
        <v>4</v>
      </c>
      <c r="B5" s="127" t="s">
        <v>195</v>
      </c>
      <c r="F5" s="127" t="s">
        <v>294</v>
      </c>
      <c r="G5" s="127" t="s">
        <v>176</v>
      </c>
      <c r="H5" s="128" t="s">
        <v>296</v>
      </c>
      <c r="I5" s="128" t="s">
        <v>295</v>
      </c>
      <c r="K5" s="198"/>
      <c r="L5" s="198"/>
    </row>
    <row r="6" spans="1:12" s="18" customFormat="1" x14ac:dyDescent="0.25">
      <c r="A6" s="199">
        <v>5</v>
      </c>
      <c r="B6" s="18" t="s">
        <v>210</v>
      </c>
      <c r="C6" s="130" t="s">
        <v>287</v>
      </c>
      <c r="D6" s="206" t="s">
        <v>288</v>
      </c>
      <c r="E6" s="18" t="s">
        <v>289</v>
      </c>
      <c r="G6" s="18" t="s">
        <v>300</v>
      </c>
      <c r="H6" s="130" t="s">
        <v>292</v>
      </c>
      <c r="I6" s="18" t="s">
        <v>298</v>
      </c>
    </row>
    <row r="7" spans="1:12" s="224" customFormat="1" ht="15" x14ac:dyDescent="0.25">
      <c r="A7" s="223">
        <v>1</v>
      </c>
      <c r="B7" s="224" t="s">
        <v>188</v>
      </c>
      <c r="C7" s="225" t="s">
        <v>256</v>
      </c>
      <c r="D7" s="226" t="s">
        <v>189</v>
      </c>
      <c r="E7" s="226" t="s">
        <v>257</v>
      </c>
      <c r="F7" s="225" t="s">
        <v>89</v>
      </c>
      <c r="G7" s="224" t="s">
        <v>495</v>
      </c>
      <c r="H7" s="227" t="s">
        <v>496</v>
      </c>
      <c r="I7" s="224" t="s">
        <v>497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28" t="s">
        <v>165</v>
      </c>
      <c r="B2" s="228"/>
      <c r="C2" s="228"/>
      <c r="D2" s="228"/>
      <c r="E2" s="228"/>
      <c r="F2" s="228"/>
      <c r="G2" s="38"/>
    </row>
    <row r="3" spans="1:8" x14ac:dyDescent="0.25">
      <c r="B3" s="69" t="s">
        <v>166</v>
      </c>
      <c r="C3" s="70">
        <f ca="1">MONTH(TODAY())</f>
        <v>12</v>
      </c>
      <c r="D3" s="80"/>
      <c r="E3" s="67" t="s">
        <v>167</v>
      </c>
      <c r="G3" t="s">
        <v>227</v>
      </c>
      <c r="H3" s="71">
        <f ca="1">TODAY()</f>
        <v>43088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42897</v>
      </c>
      <c r="F8" s="39" t="str">
        <f t="shared" ca="1" si="1"/>
        <v>Đã xong</v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42892</v>
      </c>
      <c r="F11" s="39" t="str">
        <f t="shared" ca="1" si="1"/>
        <v>Đã xong</v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43053</v>
      </c>
      <c r="F12" s="39" t="str">
        <f t="shared" ca="1" si="1"/>
        <v>Đã xong</v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43061</v>
      </c>
      <c r="F13" s="39" t="str">
        <f t="shared" ca="1" si="1"/>
        <v>Đã xong</v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43084</v>
      </c>
      <c r="F15" s="93" t="str">
        <f t="shared" ca="1" si="1"/>
        <v>Đã xong</v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42767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42773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43079</v>
      </c>
      <c r="F20" s="39" t="str">
        <f t="shared" ca="1" si="1"/>
        <v>Đã xong</v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42836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43046</v>
      </c>
      <c r="F23" s="88" t="str">
        <f t="shared" ca="1" si="1"/>
        <v>Đã xong</v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42742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43091</v>
      </c>
      <c r="F26" s="39" t="str">
        <f t="shared" ca="1" si="1"/>
        <v>Chuẩn bị tổ chức</v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43012</v>
      </c>
      <c r="F27" s="39" t="str">
        <f t="shared" ca="1" si="1"/>
        <v>Đã xong</v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43000</v>
      </c>
      <c r="F28" s="39" t="str">
        <f t="shared" ca="1" si="1"/>
        <v>Đã xong</v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42887</v>
      </c>
      <c r="F29" s="39" t="str">
        <f t="shared" ca="1" si="1"/>
        <v>Đã xong</v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43023</v>
      </c>
      <c r="F30" s="39" t="str">
        <f t="shared" ca="1" si="1"/>
        <v>Đã xong</v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42791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42835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42823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43053</v>
      </c>
      <c r="F34" s="39" t="str">
        <f t="shared" ca="1" si="1"/>
        <v>Đã xong</v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42760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43025</v>
      </c>
      <c r="F36" s="39" t="str">
        <f t="shared" ca="1" si="1"/>
        <v>Đã xong</v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42942</v>
      </c>
      <c r="F37" s="39" t="str">
        <f t="shared" ca="1" si="1"/>
        <v>Đã xong</v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43013</v>
      </c>
      <c r="F38" s="39" t="str">
        <f t="shared" ca="1" si="1"/>
        <v>Đã xong</v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43056</v>
      </c>
      <c r="F39" s="39" t="str">
        <f t="shared" ca="1" si="1"/>
        <v>Đã xong</v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43070</v>
      </c>
      <c r="F41" s="93" t="str">
        <f t="shared" ca="1" si="1"/>
        <v>Đã xong</v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42872</v>
      </c>
      <c r="F44" s="39" t="str">
        <f t="shared" ca="1" si="1"/>
        <v>Đã xong</v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42988</v>
      </c>
      <c r="F45" s="39" t="str">
        <f t="shared" ca="1" si="1"/>
        <v>Đã xong</v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42877</v>
      </c>
      <c r="F46" s="39" t="str">
        <f t="shared" ca="1" si="1"/>
        <v>Đã xong</v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42816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7" customWidth="1"/>
  </cols>
  <sheetData>
    <row r="1" spans="1:21" ht="26.25" x14ac:dyDescent="0.4">
      <c r="B1" s="5" t="s">
        <v>51</v>
      </c>
    </row>
    <row r="2" spans="1:21" ht="15.75" x14ac:dyDescent="0.25">
      <c r="J2" s="230" t="s">
        <v>7</v>
      </c>
      <c r="K2" s="230"/>
      <c r="L2" s="230"/>
      <c r="M2" s="230"/>
      <c r="N2" s="231" t="s">
        <v>8</v>
      </c>
      <c r="O2" s="231"/>
      <c r="P2" s="231"/>
      <c r="Q2" s="232" t="s">
        <v>9</v>
      </c>
      <c r="R2" s="232" t="s">
        <v>10</v>
      </c>
      <c r="S2" s="232" t="s">
        <v>11</v>
      </c>
      <c r="T2" s="232" t="s">
        <v>12</v>
      </c>
      <c r="U2" s="22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32"/>
      <c r="R3" s="232"/>
      <c r="S3" s="232"/>
      <c r="T3" s="232"/>
      <c r="U3" s="229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8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8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8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8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8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8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8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40" t="s">
        <v>6</v>
      </c>
      <c r="B3" s="240" t="s">
        <v>5</v>
      </c>
      <c r="C3" s="24"/>
      <c r="D3" s="24"/>
      <c r="E3" s="24"/>
      <c r="F3" s="24"/>
      <c r="G3" s="242"/>
      <c r="H3" s="242"/>
      <c r="I3" s="242"/>
      <c r="J3" s="239"/>
      <c r="K3" s="234"/>
      <c r="L3" s="235"/>
      <c r="M3" s="239"/>
      <c r="N3" s="234"/>
      <c r="O3" s="235"/>
      <c r="P3" s="239"/>
      <c r="Q3" s="234"/>
      <c r="R3" s="235"/>
      <c r="S3" s="239"/>
      <c r="T3" s="234"/>
      <c r="U3" s="235"/>
      <c r="V3" s="239"/>
      <c r="W3" s="234"/>
      <c r="X3" s="235"/>
      <c r="Y3" s="239"/>
      <c r="Z3" s="234"/>
      <c r="AA3" s="235"/>
      <c r="AB3" s="239"/>
      <c r="AC3" s="234"/>
      <c r="AD3" s="235"/>
      <c r="AE3" s="239"/>
      <c r="AF3" s="234"/>
      <c r="AG3" s="235"/>
      <c r="AH3" s="239"/>
      <c r="AI3" s="234"/>
      <c r="AJ3" s="235"/>
      <c r="AK3" s="239"/>
      <c r="AL3" s="234"/>
      <c r="AM3" s="235"/>
      <c r="AN3" s="239"/>
      <c r="AO3" s="234"/>
      <c r="AP3" s="235"/>
      <c r="AQ3" s="239"/>
      <c r="AR3" s="234"/>
      <c r="AS3" s="235"/>
      <c r="AT3" s="239"/>
      <c r="AU3" s="234"/>
      <c r="AV3" s="235"/>
      <c r="AW3" s="239"/>
      <c r="AX3" s="234"/>
      <c r="AY3" s="235"/>
      <c r="AZ3" s="239"/>
      <c r="BA3" s="234"/>
      <c r="BB3" s="235"/>
      <c r="BC3" s="236" t="s">
        <v>116</v>
      </c>
      <c r="BD3" s="237"/>
      <c r="BE3" s="238"/>
      <c r="BF3" s="233">
        <v>42930</v>
      </c>
      <c r="BG3" s="234"/>
      <c r="BH3" s="235"/>
      <c r="BI3" s="239" t="s">
        <v>147</v>
      </c>
      <c r="BJ3" s="234"/>
      <c r="BK3" s="235"/>
      <c r="BL3" s="239" t="s">
        <v>148</v>
      </c>
      <c r="BM3" s="234"/>
      <c r="BN3" s="235"/>
      <c r="BO3" s="239" t="s">
        <v>170</v>
      </c>
      <c r="BP3" s="234"/>
      <c r="BQ3" s="235"/>
      <c r="BR3" s="233">
        <v>42940</v>
      </c>
      <c r="BS3" s="234"/>
      <c r="BT3" s="235"/>
      <c r="BU3" s="233">
        <v>42942</v>
      </c>
      <c r="BV3" s="234"/>
      <c r="BW3" s="235"/>
      <c r="BX3" s="233">
        <v>42944</v>
      </c>
      <c r="BY3" s="234"/>
      <c r="BZ3" s="235"/>
      <c r="CA3" s="233">
        <v>42947</v>
      </c>
      <c r="CB3" s="234"/>
      <c r="CC3" s="235"/>
      <c r="CD3" s="26"/>
    </row>
    <row r="4" spans="1:82" s="17" customFormat="1" ht="21" customHeight="1" x14ac:dyDescent="0.25">
      <c r="A4" s="241"/>
      <c r="B4" s="241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7" customWidth="1"/>
  </cols>
  <sheetData>
    <row r="1" spans="1:21" ht="26.25" x14ac:dyDescent="0.4">
      <c r="B1" s="5" t="s">
        <v>326</v>
      </c>
    </row>
    <row r="2" spans="1:21" ht="15.75" x14ac:dyDescent="0.25">
      <c r="J2" s="230" t="s">
        <v>7</v>
      </c>
      <c r="K2" s="230"/>
      <c r="L2" s="230"/>
      <c r="M2" s="230"/>
      <c r="N2" s="231" t="s">
        <v>8</v>
      </c>
      <c r="O2" s="231"/>
      <c r="P2" s="231"/>
      <c r="Q2" s="232" t="s">
        <v>9</v>
      </c>
      <c r="R2" s="232" t="s">
        <v>10</v>
      </c>
      <c r="S2" s="232" t="s">
        <v>11</v>
      </c>
      <c r="T2" s="232" t="s">
        <v>12</v>
      </c>
      <c r="U2" s="22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32"/>
      <c r="R3" s="232"/>
      <c r="S3" s="232"/>
      <c r="T3" s="232"/>
      <c r="U3" s="229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8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8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8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8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8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8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8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40" t="s">
        <v>6</v>
      </c>
      <c r="B3" s="240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42" t="s">
        <v>31</v>
      </c>
      <c r="H3" s="242"/>
      <c r="I3" s="242"/>
      <c r="J3" s="239" t="s">
        <v>32</v>
      </c>
      <c r="K3" s="234"/>
      <c r="L3" s="235"/>
      <c r="M3" s="239" t="s">
        <v>33</v>
      </c>
      <c r="N3" s="234"/>
      <c r="O3" s="235"/>
      <c r="P3" s="239" t="s">
        <v>34</v>
      </c>
      <c r="Q3" s="234"/>
      <c r="R3" s="235"/>
      <c r="S3" s="239" t="s">
        <v>35</v>
      </c>
      <c r="T3" s="234"/>
      <c r="U3" s="235"/>
      <c r="V3" s="239" t="s">
        <v>36</v>
      </c>
      <c r="W3" s="234"/>
      <c r="X3" s="235"/>
      <c r="Y3" s="239" t="s">
        <v>37</v>
      </c>
      <c r="Z3" s="234"/>
      <c r="AA3" s="235"/>
      <c r="AB3" s="239" t="s">
        <v>38</v>
      </c>
      <c r="AC3" s="234"/>
      <c r="AD3" s="235"/>
      <c r="AE3" s="239" t="s">
        <v>39</v>
      </c>
      <c r="AF3" s="234"/>
      <c r="AG3" s="235"/>
      <c r="AH3" s="239" t="s">
        <v>40</v>
      </c>
      <c r="AI3" s="234"/>
      <c r="AJ3" s="235"/>
      <c r="AK3" s="239" t="s">
        <v>41</v>
      </c>
      <c r="AL3" s="234"/>
      <c r="AM3" s="235"/>
      <c r="AN3" s="239" t="s">
        <v>42</v>
      </c>
      <c r="AO3" s="234"/>
      <c r="AP3" s="235"/>
      <c r="AQ3" s="239" t="s">
        <v>43</v>
      </c>
      <c r="AR3" s="234"/>
      <c r="AS3" s="235"/>
      <c r="AT3" s="239" t="s">
        <v>44</v>
      </c>
      <c r="AU3" s="234"/>
      <c r="AV3" s="235"/>
      <c r="AW3" s="239" t="s">
        <v>45</v>
      </c>
      <c r="AX3" s="234"/>
      <c r="AY3" s="235"/>
      <c r="AZ3" s="239" t="s">
        <v>46</v>
      </c>
      <c r="BA3" s="234"/>
      <c r="BB3" s="235"/>
      <c r="BC3" s="239" t="s">
        <v>47</v>
      </c>
      <c r="BD3" s="234"/>
      <c r="BE3" s="235"/>
      <c r="BF3" s="239" t="s">
        <v>48</v>
      </c>
      <c r="BG3" s="234"/>
      <c r="BH3" s="235"/>
      <c r="BI3" s="239" t="s">
        <v>49</v>
      </c>
      <c r="BJ3" s="234"/>
      <c r="BK3" s="235"/>
      <c r="BL3" s="239"/>
      <c r="BM3" s="234"/>
      <c r="BN3" s="235"/>
      <c r="BO3" s="239"/>
      <c r="BP3" s="234"/>
      <c r="BQ3" s="235"/>
      <c r="BR3" s="239"/>
      <c r="BS3" s="234"/>
      <c r="BT3" s="23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40"/>
      <c r="B4" s="240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90" customWidth="1"/>
    <col min="27" max="16384" width="9.140625" style="1"/>
  </cols>
  <sheetData>
    <row r="1" spans="1:26" x14ac:dyDescent="0.3">
      <c r="B1" s="175" t="s">
        <v>204</v>
      </c>
    </row>
    <row r="2" spans="1:26" x14ac:dyDescent="0.3">
      <c r="O2" s="244" t="s">
        <v>7</v>
      </c>
      <c r="P2" s="244"/>
      <c r="Q2" s="244"/>
      <c r="R2" s="244"/>
      <c r="S2" s="245" t="s">
        <v>8</v>
      </c>
      <c r="T2" s="245"/>
      <c r="U2" s="245"/>
      <c r="V2" s="246" t="s">
        <v>9</v>
      </c>
      <c r="W2" s="246" t="s">
        <v>10</v>
      </c>
      <c r="X2" s="246" t="s">
        <v>11</v>
      </c>
      <c r="Y2" s="246" t="s">
        <v>12</v>
      </c>
      <c r="Z2" s="243" t="s">
        <v>13</v>
      </c>
    </row>
    <row r="3" spans="1:26" ht="21" customHeight="1" x14ac:dyDescent="0.3">
      <c r="A3" s="184" t="s">
        <v>6</v>
      </c>
      <c r="B3" s="18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84" t="s">
        <v>213</v>
      </c>
      <c r="K3" s="184" t="s">
        <v>214</v>
      </c>
      <c r="L3" s="184" t="s">
        <v>183</v>
      </c>
      <c r="M3" s="184" t="s">
        <v>173</v>
      </c>
      <c r="N3" s="184" t="s">
        <v>1</v>
      </c>
      <c r="O3" s="157" t="s">
        <v>14</v>
      </c>
      <c r="P3" s="158" t="s">
        <v>15</v>
      </c>
      <c r="Q3" s="159" t="s">
        <v>16</v>
      </c>
      <c r="R3" s="160" t="s">
        <v>17</v>
      </c>
      <c r="S3" s="161" t="s">
        <v>18</v>
      </c>
      <c r="T3" s="162" t="s">
        <v>19</v>
      </c>
      <c r="U3" s="163" t="s">
        <v>20</v>
      </c>
      <c r="V3" s="246"/>
      <c r="W3" s="246"/>
      <c r="X3" s="246"/>
      <c r="Y3" s="246"/>
      <c r="Z3" s="243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91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90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449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90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90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9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9">
        <v>6</v>
      </c>
      <c r="P15" s="189">
        <v>17</v>
      </c>
      <c r="Q15" s="189">
        <v>10</v>
      </c>
      <c r="R15" s="189">
        <v>12</v>
      </c>
      <c r="S15" s="189">
        <v>17</v>
      </c>
      <c r="T15" s="189">
        <v>8</v>
      </c>
      <c r="U15" s="189">
        <v>15</v>
      </c>
      <c r="V15" s="189">
        <v>45</v>
      </c>
      <c r="W15" s="189">
        <v>40</v>
      </c>
      <c r="X15" s="189">
        <v>215</v>
      </c>
      <c r="Y15" s="189">
        <v>150</v>
      </c>
      <c r="Z15" s="192">
        <v>365</v>
      </c>
    </row>
    <row r="16" spans="1:26" s="135" customFormat="1" ht="21" customHeight="1" x14ac:dyDescent="0.3">
      <c r="A16" s="135">
        <v>13</v>
      </c>
      <c r="B16" s="135" t="s">
        <v>210</v>
      </c>
      <c r="C16" s="136" t="s">
        <v>287</v>
      </c>
      <c r="D16" s="137" t="s">
        <v>288</v>
      </c>
      <c r="E16" s="138" t="s">
        <v>289</v>
      </c>
      <c r="F16" s="139"/>
      <c r="G16" s="139"/>
      <c r="H16" s="139" t="s">
        <v>217</v>
      </c>
      <c r="I16" s="139" t="s">
        <v>218</v>
      </c>
      <c r="J16" s="140">
        <v>1470000</v>
      </c>
      <c r="K16" s="136"/>
      <c r="O16" s="136"/>
      <c r="P16" s="136"/>
      <c r="Q16" s="136"/>
      <c r="R16" s="136"/>
      <c r="S16" s="136"/>
      <c r="T16" s="136"/>
      <c r="U16" s="136"/>
      <c r="Z16" s="193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90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90">
        <v>405</v>
      </c>
    </row>
    <row r="19" spans="1:26" s="135" customFormat="1" ht="21" customHeight="1" x14ac:dyDescent="0.3">
      <c r="A19" s="135">
        <v>16</v>
      </c>
      <c r="B19" s="135" t="s">
        <v>225</v>
      </c>
      <c r="C19" s="141">
        <v>35560</v>
      </c>
      <c r="D19" s="137" t="s">
        <v>262</v>
      </c>
      <c r="E19" s="138" t="s">
        <v>261</v>
      </c>
      <c r="F19" s="139" t="s">
        <v>69</v>
      </c>
      <c r="G19" s="139"/>
      <c r="H19" s="139" t="s">
        <v>217</v>
      </c>
      <c r="I19" s="139" t="s">
        <v>218</v>
      </c>
      <c r="J19" s="140">
        <v>1470000</v>
      </c>
      <c r="K19" s="136"/>
      <c r="O19" s="136"/>
      <c r="P19" s="136"/>
      <c r="Q19" s="136"/>
      <c r="R19" s="136"/>
      <c r="S19" s="136"/>
      <c r="T19" s="136"/>
      <c r="U19" s="136"/>
      <c r="Z19" s="193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90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40" t="s">
        <v>6</v>
      </c>
      <c r="B3" s="240" t="s">
        <v>5</v>
      </c>
      <c r="C3" s="61"/>
      <c r="D3" s="61"/>
      <c r="E3" s="61"/>
      <c r="F3" s="61"/>
      <c r="G3" s="242"/>
      <c r="H3" s="242"/>
      <c r="I3" s="242"/>
      <c r="J3" s="242"/>
      <c r="K3" s="242"/>
      <c r="L3" s="242"/>
      <c r="M3" s="242"/>
      <c r="N3" s="242"/>
      <c r="O3" s="242"/>
      <c r="P3" s="242"/>
      <c r="Q3" s="242"/>
      <c r="R3" s="242"/>
      <c r="S3" s="242"/>
      <c r="T3" s="242"/>
      <c r="U3" s="242"/>
      <c r="V3" s="242"/>
      <c r="W3" s="242"/>
      <c r="X3" s="242"/>
      <c r="Y3" s="242"/>
      <c r="Z3" s="242"/>
      <c r="AA3" s="242"/>
      <c r="AB3" s="242"/>
      <c r="AC3" s="242"/>
      <c r="AD3" s="242"/>
      <c r="AE3" s="242"/>
      <c r="AF3" s="242"/>
      <c r="AG3" s="242"/>
      <c r="AH3" s="242"/>
      <c r="AI3" s="242"/>
      <c r="AJ3" s="242"/>
      <c r="AK3" s="242"/>
      <c r="AL3" s="242"/>
      <c r="AM3" s="242"/>
      <c r="AN3" s="242"/>
      <c r="AO3" s="242"/>
      <c r="AP3" s="242"/>
      <c r="AQ3" s="242"/>
      <c r="AR3" s="242"/>
      <c r="AS3" s="242"/>
      <c r="AT3" s="242"/>
      <c r="AU3" s="242"/>
      <c r="AV3" s="242"/>
      <c r="AW3" s="242"/>
      <c r="AX3" s="242"/>
      <c r="AY3" s="242"/>
      <c r="AZ3" s="242"/>
      <c r="BA3" s="242"/>
      <c r="BB3" s="242"/>
      <c r="BC3" s="247"/>
      <c r="BD3" s="247"/>
      <c r="BE3" s="247"/>
      <c r="BF3" s="248">
        <v>42976</v>
      </c>
      <c r="BG3" s="242"/>
      <c r="BH3" s="242"/>
      <c r="BI3" s="242"/>
      <c r="BJ3" s="242"/>
      <c r="BK3" s="242"/>
      <c r="BL3" s="242"/>
      <c r="BM3" s="242"/>
      <c r="BN3" s="242"/>
      <c r="BO3" s="242"/>
      <c r="BP3" s="242"/>
      <c r="BQ3" s="242"/>
      <c r="BR3" s="248"/>
      <c r="BS3" s="242"/>
      <c r="BT3" s="242"/>
      <c r="BU3" s="242"/>
      <c r="BV3" s="242"/>
      <c r="BW3" s="242"/>
      <c r="BX3" s="242"/>
      <c r="BY3" s="242"/>
      <c r="BZ3" s="242"/>
      <c r="CA3" s="242"/>
      <c r="CB3" s="242"/>
      <c r="CC3" s="242"/>
      <c r="CD3" s="26"/>
    </row>
    <row r="4" spans="1:82" s="17" customFormat="1" ht="21" customHeight="1" x14ac:dyDescent="0.25">
      <c r="A4" s="240"/>
      <c r="B4" s="240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71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7" customWidth="1"/>
  </cols>
  <sheetData>
    <row r="1" spans="1:25" ht="21" x14ac:dyDescent="0.35">
      <c r="A1" s="17"/>
      <c r="B1" s="249" t="s">
        <v>224</v>
      </c>
      <c r="C1" s="249"/>
      <c r="D1" s="249"/>
      <c r="E1" s="142"/>
      <c r="F1" s="142"/>
      <c r="G1" s="142"/>
      <c r="H1" s="142"/>
      <c r="I1" s="142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85"/>
    </row>
    <row r="2" spans="1:25" ht="15.75" x14ac:dyDescent="0.25">
      <c r="A2" s="17"/>
      <c r="B2" s="17"/>
      <c r="C2" s="17"/>
      <c r="D2" s="142"/>
      <c r="E2" s="142"/>
      <c r="F2" s="142"/>
      <c r="G2" s="142"/>
      <c r="H2" s="142"/>
      <c r="I2" s="142"/>
      <c r="J2" s="52"/>
      <c r="K2" s="17"/>
      <c r="L2" s="17"/>
      <c r="M2" s="17"/>
      <c r="N2" s="230" t="s">
        <v>7</v>
      </c>
      <c r="O2" s="230"/>
      <c r="P2" s="230"/>
      <c r="Q2" s="230"/>
      <c r="R2" s="231" t="s">
        <v>8</v>
      </c>
      <c r="S2" s="231"/>
      <c r="T2" s="231"/>
      <c r="U2" s="232" t="s">
        <v>9</v>
      </c>
      <c r="V2" s="232" t="s">
        <v>10</v>
      </c>
      <c r="W2" s="232" t="s">
        <v>11</v>
      </c>
      <c r="X2" s="232" t="s">
        <v>12</v>
      </c>
      <c r="Y2" s="229" t="s">
        <v>13</v>
      </c>
    </row>
    <row r="3" spans="1:25" s="1" customFormat="1" ht="21" customHeight="1" x14ac:dyDescent="0.3">
      <c r="A3" s="143" t="s">
        <v>6</v>
      </c>
      <c r="B3" s="143" t="s">
        <v>5</v>
      </c>
      <c r="C3" s="143" t="s">
        <v>4</v>
      </c>
      <c r="D3" s="144" t="s">
        <v>3</v>
      </c>
      <c r="E3" s="144" t="s">
        <v>117</v>
      </c>
      <c r="F3" s="144" t="s">
        <v>71</v>
      </c>
      <c r="G3" s="144" t="s">
        <v>211</v>
      </c>
      <c r="H3" s="144" t="s">
        <v>223</v>
      </c>
      <c r="I3" s="144" t="s">
        <v>213</v>
      </c>
      <c r="J3" s="143" t="s">
        <v>214</v>
      </c>
      <c r="K3" s="143" t="s">
        <v>23</v>
      </c>
      <c r="L3" s="143" t="s">
        <v>173</v>
      </c>
      <c r="M3" s="143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32"/>
      <c r="V3" s="232"/>
      <c r="W3" s="232"/>
      <c r="X3" s="232"/>
      <c r="Y3" s="229"/>
    </row>
    <row r="4" spans="1:25" s="1" customFormat="1" ht="21" customHeight="1" x14ac:dyDescent="0.3">
      <c r="A4" s="17">
        <v>1</v>
      </c>
      <c r="B4" s="17" t="s">
        <v>193</v>
      </c>
      <c r="C4" s="145"/>
      <c r="D4" s="168" t="s">
        <v>194</v>
      </c>
      <c r="E4" s="145"/>
      <c r="F4" s="17" t="s">
        <v>290</v>
      </c>
      <c r="G4" s="146">
        <v>2400000</v>
      </c>
      <c r="H4" s="147">
        <v>0.3</v>
      </c>
      <c r="I4" s="146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85"/>
    </row>
    <row r="5" spans="1:25" s="129" customFormat="1" ht="21" customHeight="1" x14ac:dyDescent="0.3">
      <c r="A5" s="148">
        <v>2</v>
      </c>
      <c r="B5" s="148" t="s">
        <v>195</v>
      </c>
      <c r="C5" s="149"/>
      <c r="D5" s="169"/>
      <c r="E5" s="149"/>
      <c r="F5" s="148" t="s">
        <v>290</v>
      </c>
      <c r="G5" s="150">
        <v>2400000</v>
      </c>
      <c r="H5" s="151">
        <v>0.3</v>
      </c>
      <c r="I5" s="150">
        <v>1680000</v>
      </c>
      <c r="J5" s="152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86"/>
    </row>
    <row r="6" spans="1:25" s="1" customFormat="1" ht="21" customHeight="1" x14ac:dyDescent="0.3">
      <c r="A6" s="17">
        <v>3</v>
      </c>
      <c r="B6" s="17" t="s">
        <v>196</v>
      </c>
      <c r="C6" s="145" t="s">
        <v>240</v>
      </c>
      <c r="D6" s="168" t="s">
        <v>197</v>
      </c>
      <c r="E6" s="145" t="s">
        <v>241</v>
      </c>
      <c r="F6" s="17" t="s">
        <v>242</v>
      </c>
      <c r="G6" s="146">
        <v>2400000</v>
      </c>
      <c r="H6" s="147">
        <v>0.3</v>
      </c>
      <c r="I6" s="146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85">
        <v>495</v>
      </c>
    </row>
    <row r="7" spans="1:25" s="1" customFormat="1" ht="21" customHeight="1" x14ac:dyDescent="0.3">
      <c r="A7" s="17">
        <v>4</v>
      </c>
      <c r="B7" s="17" t="s">
        <v>200</v>
      </c>
      <c r="C7" s="145" t="s">
        <v>72</v>
      </c>
      <c r="D7" s="168" t="s">
        <v>201</v>
      </c>
      <c r="E7" s="145" t="s">
        <v>433</v>
      </c>
      <c r="F7" s="17" t="s">
        <v>246</v>
      </c>
      <c r="G7" s="146">
        <v>2400000</v>
      </c>
      <c r="H7" s="147">
        <v>0.3</v>
      </c>
      <c r="I7" s="146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85"/>
    </row>
    <row r="8" spans="1:25" ht="21" customHeight="1" x14ac:dyDescent="0.25">
      <c r="A8" s="17">
        <v>5</v>
      </c>
      <c r="B8" s="17" t="s">
        <v>229</v>
      </c>
      <c r="C8" s="145" t="s">
        <v>243</v>
      </c>
      <c r="D8" s="153" t="s">
        <v>244</v>
      </c>
      <c r="E8" s="153" t="s">
        <v>245</v>
      </c>
      <c r="F8" s="17" t="s">
        <v>246</v>
      </c>
      <c r="G8" s="146">
        <v>2400000</v>
      </c>
      <c r="H8" s="147">
        <v>0.3</v>
      </c>
      <c r="I8" s="146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85"/>
    </row>
    <row r="9" spans="1:25" ht="21" customHeight="1" x14ac:dyDescent="0.25">
      <c r="A9" s="17">
        <v>6</v>
      </c>
      <c r="B9" s="17" t="s">
        <v>230</v>
      </c>
      <c r="C9" s="145" t="s">
        <v>233</v>
      </c>
      <c r="D9" s="153" t="s">
        <v>348</v>
      </c>
      <c r="E9" s="145" t="s">
        <v>234</v>
      </c>
      <c r="F9" s="17" t="s">
        <v>235</v>
      </c>
      <c r="G9" s="146">
        <v>2400000</v>
      </c>
      <c r="H9" s="147">
        <v>0.3</v>
      </c>
      <c r="I9" s="146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85">
        <v>225</v>
      </c>
    </row>
    <row r="10" spans="1:25" ht="21" customHeight="1" x14ac:dyDescent="0.25">
      <c r="A10" s="154" t="s">
        <v>145</v>
      </c>
      <c r="B10" s="145" t="s">
        <v>231</v>
      </c>
      <c r="C10" s="145" t="s">
        <v>236</v>
      </c>
      <c r="D10" s="153" t="s">
        <v>237</v>
      </c>
      <c r="E10" s="145" t="s">
        <v>238</v>
      </c>
      <c r="F10" s="145" t="s">
        <v>239</v>
      </c>
      <c r="G10" s="146">
        <v>2400000</v>
      </c>
      <c r="H10" s="147">
        <v>0.3</v>
      </c>
      <c r="I10" s="146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85">
        <v>455</v>
      </c>
    </row>
    <row r="11" spans="1:25" ht="21" customHeight="1" x14ac:dyDescent="0.25">
      <c r="A11" s="17">
        <v>8</v>
      </c>
      <c r="B11" s="17" t="s">
        <v>232</v>
      </c>
      <c r="C11" s="145"/>
      <c r="D11" s="153" t="s">
        <v>310</v>
      </c>
      <c r="E11" s="145"/>
      <c r="F11" s="17" t="s">
        <v>235</v>
      </c>
      <c r="G11" s="146">
        <v>2400000</v>
      </c>
      <c r="H11" s="147">
        <v>0.3</v>
      </c>
      <c r="I11" s="146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85"/>
    </row>
    <row r="12" spans="1:25" ht="21" customHeight="1" x14ac:dyDescent="0.25">
      <c r="A12" s="154" t="s">
        <v>304</v>
      </c>
      <c r="B12" s="145" t="s">
        <v>305</v>
      </c>
      <c r="C12" s="145" t="s">
        <v>306</v>
      </c>
      <c r="D12" s="153" t="s">
        <v>307</v>
      </c>
      <c r="E12" s="145" t="s">
        <v>308</v>
      </c>
      <c r="F12" s="145" t="s">
        <v>239</v>
      </c>
      <c r="G12" s="146">
        <v>2400000</v>
      </c>
      <c r="H12" s="147">
        <v>0.3</v>
      </c>
      <c r="I12" s="146">
        <v>1680000</v>
      </c>
      <c r="J12" s="142"/>
      <c r="K12" s="145"/>
      <c r="L12" s="145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85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53" t="s">
        <v>312</v>
      </c>
      <c r="E13" s="17"/>
      <c r="F13" s="17"/>
      <c r="G13" s="142"/>
      <c r="H13" s="142"/>
      <c r="I13" s="142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85">
        <v>395</v>
      </c>
    </row>
    <row r="14" spans="1:25" ht="21" customHeight="1" x14ac:dyDescent="0.3">
      <c r="D14" s="170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70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70"/>
    </row>
    <row r="17" spans="4:4" ht="21" customHeight="1" x14ac:dyDescent="0.25">
      <c r="D17" s="170"/>
    </row>
    <row r="18" spans="4:4" ht="21" customHeight="1" x14ac:dyDescent="0.25">
      <c r="D18" s="170"/>
    </row>
    <row r="19" spans="4:4" ht="21" customHeight="1" x14ac:dyDescent="0.25">
      <c r="D19" s="170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40" t="s">
        <v>6</v>
      </c>
      <c r="B3" s="240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42" t="s">
        <v>31</v>
      </c>
      <c r="H3" s="242"/>
      <c r="I3" s="242"/>
      <c r="J3" s="239" t="s">
        <v>32</v>
      </c>
      <c r="K3" s="234"/>
      <c r="L3" s="235"/>
      <c r="M3" s="239" t="s">
        <v>33</v>
      </c>
      <c r="N3" s="234"/>
      <c r="O3" s="235"/>
      <c r="P3" s="239" t="s">
        <v>34</v>
      </c>
      <c r="Q3" s="234"/>
      <c r="R3" s="235"/>
      <c r="S3" s="239" t="s">
        <v>35</v>
      </c>
      <c r="T3" s="234"/>
      <c r="U3" s="235"/>
      <c r="V3" s="239" t="s">
        <v>36</v>
      </c>
      <c r="W3" s="234"/>
      <c r="X3" s="235"/>
      <c r="Y3" s="239" t="s">
        <v>37</v>
      </c>
      <c r="Z3" s="234"/>
      <c r="AA3" s="235"/>
      <c r="AB3" s="239" t="s">
        <v>38</v>
      </c>
      <c r="AC3" s="234"/>
      <c r="AD3" s="235"/>
      <c r="AE3" s="239" t="s">
        <v>39</v>
      </c>
      <c r="AF3" s="234"/>
      <c r="AG3" s="235"/>
      <c r="AH3" s="239" t="s">
        <v>40</v>
      </c>
      <c r="AI3" s="234"/>
      <c r="AJ3" s="235"/>
      <c r="AK3" s="239" t="s">
        <v>41</v>
      </c>
      <c r="AL3" s="234"/>
      <c r="AM3" s="235"/>
      <c r="AN3" s="239" t="s">
        <v>42</v>
      </c>
      <c r="AO3" s="234"/>
      <c r="AP3" s="235"/>
      <c r="AQ3" s="239" t="s">
        <v>43</v>
      </c>
      <c r="AR3" s="234"/>
      <c r="AS3" s="235"/>
      <c r="AT3" s="239" t="s">
        <v>44</v>
      </c>
      <c r="AU3" s="234"/>
      <c r="AV3" s="235"/>
      <c r="AW3" s="239" t="s">
        <v>45</v>
      </c>
      <c r="AX3" s="234"/>
      <c r="AY3" s="235"/>
      <c r="AZ3" s="239" t="s">
        <v>46</v>
      </c>
      <c r="BA3" s="234"/>
      <c r="BB3" s="235"/>
      <c r="BC3" s="239" t="s">
        <v>47</v>
      </c>
      <c r="BD3" s="234"/>
      <c r="BE3" s="235"/>
      <c r="BF3" s="239" t="s">
        <v>48</v>
      </c>
      <c r="BG3" s="234"/>
      <c r="BH3" s="235"/>
      <c r="BI3" s="239" t="s">
        <v>49</v>
      </c>
      <c r="BJ3" s="234"/>
      <c r="BK3" s="235"/>
      <c r="BL3" s="233">
        <v>42970</v>
      </c>
      <c r="BM3" s="234"/>
      <c r="BN3" s="235"/>
      <c r="BO3" s="233">
        <v>42972</v>
      </c>
      <c r="BP3" s="234"/>
      <c r="BQ3" s="235"/>
      <c r="BR3" s="233">
        <v>42975</v>
      </c>
      <c r="BS3" s="234"/>
      <c r="BT3" s="235"/>
      <c r="BU3" s="233">
        <v>42977</v>
      </c>
      <c r="BV3" s="234"/>
      <c r="BW3" s="235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40"/>
      <c r="B4" s="240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workbookViewId="0">
      <pane xSplit="1" topLeftCell="C1" activePane="topRight" state="frozen"/>
      <selection activeCell="A9" sqref="A9"/>
      <selection pane="topRight" activeCell="E2" sqref="E2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7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50" t="s">
        <v>431</v>
      </c>
      <c r="C1" s="250"/>
      <c r="D1" s="250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44" t="s">
        <v>7</v>
      </c>
      <c r="L2" s="244"/>
      <c r="M2" s="244"/>
      <c r="N2" s="244"/>
      <c r="O2" s="245" t="s">
        <v>8</v>
      </c>
      <c r="P2" s="245"/>
      <c r="Q2" s="245"/>
      <c r="R2" s="251" t="s">
        <v>323</v>
      </c>
      <c r="S2" s="251" t="s">
        <v>324</v>
      </c>
      <c r="T2" s="246" t="s">
        <v>11</v>
      </c>
      <c r="U2" s="246" t="s">
        <v>12</v>
      </c>
      <c r="V2" s="251" t="s">
        <v>325</v>
      </c>
    </row>
    <row r="3" spans="1:22" s="60" customFormat="1" ht="18.75" x14ac:dyDescent="0.3">
      <c r="A3" s="166" t="s">
        <v>6</v>
      </c>
      <c r="B3" s="166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66" t="s">
        <v>2</v>
      </c>
      <c r="I3" s="166" t="s">
        <v>173</v>
      </c>
      <c r="J3" s="166" t="s">
        <v>1</v>
      </c>
      <c r="K3" s="157" t="s">
        <v>14</v>
      </c>
      <c r="L3" s="158" t="s">
        <v>15</v>
      </c>
      <c r="M3" s="159" t="s">
        <v>16</v>
      </c>
      <c r="N3" s="160" t="s">
        <v>17</v>
      </c>
      <c r="O3" s="161" t="s">
        <v>18</v>
      </c>
      <c r="P3" s="162" t="s">
        <v>19</v>
      </c>
      <c r="Q3" s="163" t="s">
        <v>20</v>
      </c>
      <c r="R3" s="246"/>
      <c r="S3" s="246"/>
      <c r="T3" s="246"/>
      <c r="U3" s="246"/>
      <c r="V3" s="246"/>
    </row>
    <row r="4" spans="1:22" ht="18.75" x14ac:dyDescent="0.3">
      <c r="A4" s="2">
        <v>1</v>
      </c>
      <c r="B4" s="1" t="s">
        <v>301</v>
      </c>
      <c r="C4" s="164">
        <v>34005</v>
      </c>
      <c r="D4" s="3" t="s">
        <v>302</v>
      </c>
      <c r="E4" s="3" t="s">
        <v>303</v>
      </c>
      <c r="F4" s="1" t="s">
        <v>372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322</v>
      </c>
      <c r="C5" s="3" t="s">
        <v>400</v>
      </c>
      <c r="D5" s="3" t="s">
        <v>320</v>
      </c>
      <c r="E5" s="3" t="s">
        <v>121</v>
      </c>
      <c r="F5" s="3" t="s">
        <v>399</v>
      </c>
      <c r="G5" s="33"/>
      <c r="H5" s="2" t="s">
        <v>53</v>
      </c>
      <c r="I5" s="2" t="s">
        <v>309</v>
      </c>
      <c r="J5" s="1"/>
      <c r="K5" s="156">
        <v>4</v>
      </c>
      <c r="L5" s="156">
        <v>12</v>
      </c>
      <c r="M5" s="156">
        <v>12</v>
      </c>
      <c r="N5" s="156">
        <v>11</v>
      </c>
      <c r="O5" s="156">
        <v>20</v>
      </c>
      <c r="P5" s="156">
        <v>2</v>
      </c>
      <c r="Q5" s="156">
        <v>16</v>
      </c>
      <c r="R5" s="156">
        <v>39</v>
      </c>
      <c r="S5" s="156">
        <v>38</v>
      </c>
      <c r="T5" s="156">
        <v>180</v>
      </c>
      <c r="U5" s="156">
        <v>140</v>
      </c>
      <c r="V5" s="156">
        <v>320</v>
      </c>
    </row>
    <row r="6" spans="1:22" ht="18.75" x14ac:dyDescent="0.3">
      <c r="A6" s="2">
        <v>3</v>
      </c>
      <c r="B6" s="1" t="s">
        <v>319</v>
      </c>
      <c r="C6" s="3" t="s">
        <v>398</v>
      </c>
      <c r="D6" s="3" t="s">
        <v>321</v>
      </c>
      <c r="E6" s="3" t="s">
        <v>121</v>
      </c>
      <c r="F6" s="3" t="s">
        <v>399</v>
      </c>
      <c r="G6" s="33"/>
      <c r="H6" s="2" t="s">
        <v>53</v>
      </c>
      <c r="I6" s="2" t="s">
        <v>309</v>
      </c>
      <c r="J6" s="1"/>
      <c r="K6" s="156">
        <v>0</v>
      </c>
      <c r="L6" s="156">
        <v>14</v>
      </c>
      <c r="M6" s="156">
        <v>8</v>
      </c>
      <c r="N6" s="156">
        <v>7</v>
      </c>
      <c r="O6" s="156">
        <v>15</v>
      </c>
      <c r="P6" s="156">
        <v>5</v>
      </c>
      <c r="Q6" s="156">
        <v>19</v>
      </c>
      <c r="R6" s="156">
        <v>29</v>
      </c>
      <c r="S6" s="156">
        <v>39</v>
      </c>
      <c r="T6" s="156">
        <v>125</v>
      </c>
      <c r="U6" s="156">
        <v>145</v>
      </c>
      <c r="V6" s="156">
        <v>270</v>
      </c>
    </row>
    <row r="7" spans="1:22" s="1" customFormat="1" ht="18.75" x14ac:dyDescent="0.3">
      <c r="A7" s="2">
        <v>4</v>
      </c>
      <c r="B7" s="1" t="s">
        <v>333</v>
      </c>
      <c r="C7" s="3" t="s">
        <v>387</v>
      </c>
      <c r="D7" s="3" t="s">
        <v>336</v>
      </c>
      <c r="E7" s="3" t="s">
        <v>371</v>
      </c>
      <c r="F7" s="3" t="s">
        <v>372</v>
      </c>
      <c r="G7" s="33"/>
      <c r="H7" s="2" t="s">
        <v>53</v>
      </c>
      <c r="I7" s="2" t="s">
        <v>332</v>
      </c>
      <c r="K7" s="155">
        <v>4</v>
      </c>
      <c r="L7" s="155">
        <v>9</v>
      </c>
      <c r="M7" s="155">
        <v>9</v>
      </c>
      <c r="N7" s="155">
        <v>7</v>
      </c>
      <c r="O7" s="155">
        <v>21</v>
      </c>
      <c r="P7" s="155">
        <v>4</v>
      </c>
      <c r="Q7" s="155">
        <v>5</v>
      </c>
      <c r="R7" s="155">
        <v>29</v>
      </c>
      <c r="S7" s="155">
        <v>30</v>
      </c>
      <c r="T7" s="155">
        <v>125</v>
      </c>
      <c r="U7" s="155">
        <v>90</v>
      </c>
      <c r="V7" s="155">
        <v>215</v>
      </c>
    </row>
    <row r="8" spans="1:22" ht="18.75" x14ac:dyDescent="0.3">
      <c r="A8" s="2">
        <v>5</v>
      </c>
      <c r="B8" s="1" t="s">
        <v>334</v>
      </c>
      <c r="C8" s="3" t="s">
        <v>386</v>
      </c>
      <c r="D8" s="3" t="s">
        <v>337</v>
      </c>
      <c r="E8" s="3" t="s">
        <v>335</v>
      </c>
      <c r="F8" s="3" t="s">
        <v>372</v>
      </c>
      <c r="G8" s="33"/>
      <c r="H8" s="2" t="s">
        <v>53</v>
      </c>
      <c r="I8" s="2" t="s">
        <v>332</v>
      </c>
      <c r="J8" s="1"/>
      <c r="K8" s="155">
        <v>4</v>
      </c>
      <c r="L8" s="155">
        <v>9</v>
      </c>
      <c r="M8" s="155">
        <v>9</v>
      </c>
      <c r="N8" s="155">
        <v>8</v>
      </c>
      <c r="O8" s="155">
        <v>19</v>
      </c>
      <c r="P8" s="155">
        <v>1</v>
      </c>
      <c r="Q8" s="155">
        <v>15</v>
      </c>
      <c r="R8" s="155">
        <v>30</v>
      </c>
      <c r="S8" s="155">
        <v>35</v>
      </c>
      <c r="T8" s="155">
        <v>130</v>
      </c>
      <c r="U8" s="155">
        <v>120</v>
      </c>
      <c r="V8" s="155">
        <v>250</v>
      </c>
    </row>
    <row r="9" spans="1:22" ht="18.75" x14ac:dyDescent="0.3">
      <c r="A9" s="2">
        <v>6</v>
      </c>
      <c r="B9" s="1" t="s">
        <v>338</v>
      </c>
      <c r="C9" s="3" t="s">
        <v>382</v>
      </c>
      <c r="D9" s="3" t="s">
        <v>339</v>
      </c>
      <c r="E9" s="3" t="s">
        <v>383</v>
      </c>
      <c r="F9" s="3" t="s">
        <v>380</v>
      </c>
      <c r="G9" s="33"/>
      <c r="H9" s="2" t="s">
        <v>53</v>
      </c>
      <c r="I9" s="2" t="s">
        <v>332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340</v>
      </c>
      <c r="C10" s="3" t="s">
        <v>381</v>
      </c>
      <c r="D10" s="3" t="s">
        <v>341</v>
      </c>
      <c r="E10" s="3" t="s">
        <v>342</v>
      </c>
      <c r="F10" s="3" t="s">
        <v>380</v>
      </c>
      <c r="G10" s="33"/>
      <c r="H10" s="2" t="s">
        <v>53</v>
      </c>
      <c r="I10" s="2" t="s">
        <v>332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345</v>
      </c>
      <c r="C11" s="3" t="s">
        <v>390</v>
      </c>
      <c r="D11" s="3" t="s">
        <v>347</v>
      </c>
      <c r="E11" s="3" t="s">
        <v>391</v>
      </c>
      <c r="F11" s="1" t="s">
        <v>372</v>
      </c>
      <c r="G11" s="33"/>
      <c r="H11" s="2" t="s">
        <v>53</v>
      </c>
      <c r="I11" s="2" t="s">
        <v>346</v>
      </c>
      <c r="J11" s="1"/>
      <c r="K11" s="155">
        <v>4</v>
      </c>
      <c r="L11" s="155">
        <v>11</v>
      </c>
      <c r="M11" s="155">
        <v>5</v>
      </c>
      <c r="N11" s="155">
        <v>12</v>
      </c>
      <c r="O11" s="155">
        <v>17</v>
      </c>
      <c r="P11" s="155">
        <v>3</v>
      </c>
      <c r="Q11" s="155">
        <v>12</v>
      </c>
      <c r="R11" s="155">
        <v>32</v>
      </c>
      <c r="S11" s="155">
        <v>32</v>
      </c>
      <c r="T11" s="155">
        <v>140</v>
      </c>
      <c r="U11" s="155">
        <v>100</v>
      </c>
      <c r="V11" s="155">
        <v>240</v>
      </c>
    </row>
    <row r="12" spans="1:22" ht="18.75" x14ac:dyDescent="0.3">
      <c r="A12" s="2">
        <v>9</v>
      </c>
      <c r="B12" s="1" t="s">
        <v>350</v>
      </c>
      <c r="C12" s="3" t="s">
        <v>396</v>
      </c>
      <c r="D12" s="3" t="s">
        <v>349</v>
      </c>
      <c r="E12" s="3" t="s">
        <v>397</v>
      </c>
      <c r="F12" s="1" t="s">
        <v>394</v>
      </c>
      <c r="G12" s="33"/>
      <c r="H12" s="2" t="s">
        <v>53</v>
      </c>
      <c r="I12" s="2" t="s">
        <v>332</v>
      </c>
      <c r="J12" s="1"/>
      <c r="K12" s="155">
        <v>2</v>
      </c>
      <c r="L12" s="155">
        <v>12</v>
      </c>
      <c r="M12" s="155">
        <v>8</v>
      </c>
      <c r="N12" s="155">
        <v>9</v>
      </c>
      <c r="O12" s="155">
        <v>15</v>
      </c>
      <c r="P12" s="155">
        <v>3</v>
      </c>
      <c r="Q12" s="155">
        <v>12</v>
      </c>
      <c r="R12" s="155">
        <v>31</v>
      </c>
      <c r="S12" s="155">
        <v>30</v>
      </c>
      <c r="T12" s="155">
        <v>135</v>
      </c>
      <c r="U12" s="155">
        <v>90</v>
      </c>
      <c r="V12" s="155">
        <v>225</v>
      </c>
    </row>
    <row r="13" spans="1:22" ht="18.75" x14ac:dyDescent="0.3">
      <c r="A13" s="2">
        <v>10</v>
      </c>
      <c r="B13" s="1" t="s">
        <v>354</v>
      </c>
      <c r="C13" s="3" t="s">
        <v>375</v>
      </c>
      <c r="D13" s="54" t="s">
        <v>356</v>
      </c>
      <c r="E13" s="3" t="s">
        <v>378</v>
      </c>
      <c r="F13" s="3" t="s">
        <v>374</v>
      </c>
      <c r="G13" s="33"/>
      <c r="H13" s="2" t="s">
        <v>53</v>
      </c>
      <c r="I13" s="2" t="s">
        <v>332</v>
      </c>
      <c r="J13" s="1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</row>
    <row r="14" spans="1:22" ht="18.75" x14ac:dyDescent="0.3">
      <c r="A14" s="2">
        <v>11</v>
      </c>
      <c r="B14" s="1" t="s">
        <v>355</v>
      </c>
      <c r="C14" s="3" t="s">
        <v>373</v>
      </c>
      <c r="D14" s="54" t="s">
        <v>357</v>
      </c>
      <c r="E14" s="3" t="s">
        <v>379</v>
      </c>
      <c r="F14" s="3" t="s">
        <v>374</v>
      </c>
      <c r="G14" s="33"/>
      <c r="H14" s="2" t="s">
        <v>53</v>
      </c>
      <c r="I14" s="2" t="s">
        <v>332</v>
      </c>
      <c r="J14" s="1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</row>
    <row r="15" spans="1:22" ht="18.75" x14ac:dyDescent="0.3">
      <c r="A15" s="2">
        <v>12</v>
      </c>
      <c r="B15" s="1" t="s">
        <v>358</v>
      </c>
      <c r="C15" s="3" t="s">
        <v>388</v>
      </c>
      <c r="D15" s="3" t="s">
        <v>376</v>
      </c>
      <c r="E15" s="3" t="s">
        <v>377</v>
      </c>
      <c r="F15" s="1" t="s">
        <v>380</v>
      </c>
      <c r="G15" s="33"/>
      <c r="H15" s="2" t="s">
        <v>53</v>
      </c>
      <c r="I15" s="2" t="s">
        <v>346</v>
      </c>
      <c r="J15" s="1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359</v>
      </c>
      <c r="F16" s="1" t="s">
        <v>389</v>
      </c>
      <c r="G16" s="33"/>
      <c r="H16" s="2" t="s">
        <v>53</v>
      </c>
      <c r="I16" s="2" t="s">
        <v>360</v>
      </c>
      <c r="J16" s="1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</row>
    <row r="17" spans="1:22" ht="18.75" x14ac:dyDescent="0.3">
      <c r="A17" s="2">
        <v>14</v>
      </c>
      <c r="B17" s="1" t="s">
        <v>361</v>
      </c>
      <c r="C17" s="3" t="s">
        <v>384</v>
      </c>
      <c r="D17" s="3" t="s">
        <v>385</v>
      </c>
      <c r="E17" s="3" t="s">
        <v>362</v>
      </c>
      <c r="F17" s="1" t="s">
        <v>372</v>
      </c>
      <c r="G17" s="33"/>
      <c r="H17" s="2" t="s">
        <v>53</v>
      </c>
      <c r="I17" s="2" t="s">
        <v>309</v>
      </c>
      <c r="J17" s="1"/>
      <c r="K17" s="155"/>
      <c r="L17" s="155"/>
      <c r="M17" s="155"/>
      <c r="N17" s="155"/>
      <c r="O17" s="155"/>
      <c r="P17" s="155"/>
      <c r="Q17" s="155"/>
      <c r="R17" s="155"/>
      <c r="S17" s="155"/>
      <c r="T17" s="155"/>
      <c r="U17" s="155"/>
      <c r="V17" s="155"/>
    </row>
    <row r="18" spans="1:22" ht="18.75" x14ac:dyDescent="0.3">
      <c r="A18" s="2">
        <v>15</v>
      </c>
      <c r="B18" s="1" t="s">
        <v>363</v>
      </c>
      <c r="C18" s="3" t="s">
        <v>392</v>
      </c>
      <c r="D18" s="3" t="s">
        <v>393</v>
      </c>
      <c r="E18" s="3" t="s">
        <v>364</v>
      </c>
      <c r="F18" s="1" t="s">
        <v>394</v>
      </c>
      <c r="G18" s="33"/>
      <c r="H18" s="2" t="s">
        <v>53</v>
      </c>
      <c r="I18" s="2" t="s">
        <v>332</v>
      </c>
      <c r="J18" s="1"/>
      <c r="K18" s="155">
        <v>2</v>
      </c>
      <c r="L18" s="155">
        <v>10</v>
      </c>
      <c r="M18" s="155">
        <v>11</v>
      </c>
      <c r="N18" s="155">
        <v>14</v>
      </c>
      <c r="O18" s="155">
        <v>26</v>
      </c>
      <c r="P18" s="155">
        <v>5</v>
      </c>
      <c r="Q18" s="155">
        <v>18</v>
      </c>
      <c r="R18" s="155">
        <v>37</v>
      </c>
      <c r="S18" s="155">
        <v>49</v>
      </c>
      <c r="T18" s="155">
        <v>170</v>
      </c>
      <c r="U18" s="155">
        <v>210</v>
      </c>
      <c r="V18" s="155">
        <v>380</v>
      </c>
    </row>
    <row r="19" spans="1:22" ht="18.75" x14ac:dyDescent="0.3">
      <c r="A19" s="2">
        <v>16</v>
      </c>
      <c r="B19" s="1" t="s">
        <v>365</v>
      </c>
      <c r="C19" s="3" t="s">
        <v>395</v>
      </c>
      <c r="D19" s="3" t="s">
        <v>367</v>
      </c>
      <c r="E19" s="3" t="s">
        <v>366</v>
      </c>
      <c r="F19" s="1" t="s">
        <v>394</v>
      </c>
      <c r="G19" s="33"/>
      <c r="H19" s="2" t="s">
        <v>53</v>
      </c>
      <c r="I19" s="2" t="s">
        <v>332</v>
      </c>
      <c r="J19" s="1"/>
      <c r="K19" s="155">
        <v>0</v>
      </c>
      <c r="L19" s="155">
        <v>10</v>
      </c>
      <c r="M19" s="155">
        <v>5</v>
      </c>
      <c r="N19" s="155">
        <v>8</v>
      </c>
      <c r="O19" s="155">
        <v>12</v>
      </c>
      <c r="P19" s="155">
        <v>1</v>
      </c>
      <c r="Q19" s="155">
        <v>11</v>
      </c>
      <c r="R19" s="155">
        <v>23</v>
      </c>
      <c r="S19" s="155">
        <v>24</v>
      </c>
      <c r="T19" s="155">
        <v>90</v>
      </c>
      <c r="U19" s="155">
        <v>50</v>
      </c>
      <c r="V19" s="155">
        <v>140</v>
      </c>
    </row>
    <row r="20" spans="1:22" ht="18.75" x14ac:dyDescent="0.3">
      <c r="A20" s="2">
        <v>17</v>
      </c>
      <c r="B20" s="1" t="s">
        <v>424</v>
      </c>
      <c r="C20" s="3" t="s">
        <v>423</v>
      </c>
      <c r="D20" s="3" t="s">
        <v>420</v>
      </c>
      <c r="E20" s="3" t="s">
        <v>421</v>
      </c>
      <c r="F20" s="1" t="s">
        <v>394</v>
      </c>
      <c r="G20" s="33"/>
      <c r="H20" s="2" t="s">
        <v>53</v>
      </c>
      <c r="I20" s="2" t="s">
        <v>422</v>
      </c>
      <c r="J20" s="1"/>
      <c r="K20" s="155"/>
      <c r="L20" s="155"/>
      <c r="M20" s="155"/>
      <c r="N20" s="155"/>
      <c r="O20" s="155"/>
      <c r="P20" s="155"/>
      <c r="Q20" s="155"/>
      <c r="R20" s="155"/>
      <c r="S20" s="155"/>
      <c r="T20" s="155"/>
      <c r="U20" s="155"/>
      <c r="V20" s="155"/>
    </row>
    <row r="21" spans="1:22" ht="18.75" x14ac:dyDescent="0.3">
      <c r="A21" s="2">
        <v>18</v>
      </c>
      <c r="B21" s="1" t="s">
        <v>426</v>
      </c>
      <c r="C21" s="3" t="s">
        <v>428</v>
      </c>
      <c r="D21" s="3" t="s">
        <v>429</v>
      </c>
      <c r="E21" s="3" t="s">
        <v>427</v>
      </c>
      <c r="F21" s="1" t="s">
        <v>380</v>
      </c>
      <c r="G21" s="33"/>
      <c r="H21" s="2" t="s">
        <v>53</v>
      </c>
      <c r="I21" s="2" t="s">
        <v>309</v>
      </c>
      <c r="J21" s="1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</row>
    <row r="22" spans="1:22" ht="18.75" x14ac:dyDescent="0.3">
      <c r="A22" s="2">
        <v>19</v>
      </c>
      <c r="B22" s="1" t="s">
        <v>430</v>
      </c>
      <c r="C22" s="3" t="s">
        <v>384</v>
      </c>
      <c r="D22" s="3" t="s">
        <v>434</v>
      </c>
      <c r="E22" s="3" t="s">
        <v>362</v>
      </c>
      <c r="F22" s="1" t="s">
        <v>372</v>
      </c>
      <c r="G22" s="33"/>
      <c r="H22" s="2" t="s">
        <v>53</v>
      </c>
      <c r="I22" s="2" t="s">
        <v>309</v>
      </c>
      <c r="J22" s="1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</row>
    <row r="23" spans="1:22" s="1" customFormat="1" ht="18.75" x14ac:dyDescent="0.3">
      <c r="A23" s="2">
        <v>20</v>
      </c>
      <c r="B23" s="1" t="s">
        <v>435</v>
      </c>
      <c r="C23" s="3" t="s">
        <v>436</v>
      </c>
      <c r="D23" s="3" t="s">
        <v>437</v>
      </c>
      <c r="E23" s="3" t="s">
        <v>438</v>
      </c>
      <c r="F23" s="1" t="s">
        <v>372</v>
      </c>
      <c r="G23" s="33"/>
      <c r="H23" s="2" t="s">
        <v>53</v>
      </c>
      <c r="I23" s="2" t="s">
        <v>309</v>
      </c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</row>
    <row r="24" spans="1:22" ht="18.75" x14ac:dyDescent="0.3">
      <c r="A24" s="2"/>
      <c r="C24" s="3"/>
      <c r="G24" s="33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tabSelected="1" workbookViewId="0">
      <selection activeCell="F7" sqref="F7"/>
    </sheetView>
  </sheetViews>
  <sheetFormatPr defaultRowHeight="15" x14ac:dyDescent="0.25"/>
  <cols>
    <col min="1" max="1" width="9.140625" style="60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35.140625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</cols>
  <sheetData>
    <row r="1" spans="1:22" ht="26.25" x14ac:dyDescent="0.4">
      <c r="B1" s="5" t="s">
        <v>432</v>
      </c>
      <c r="D1" s="51"/>
      <c r="E1" s="51"/>
      <c r="F1" s="51"/>
      <c r="G1" s="51"/>
      <c r="K1" s="60"/>
      <c r="L1" s="60"/>
      <c r="M1" s="60"/>
      <c r="N1" s="60"/>
      <c r="O1" s="60"/>
      <c r="P1" s="60"/>
      <c r="Q1" s="60"/>
    </row>
    <row r="2" spans="1:22" ht="15.75" x14ac:dyDescent="0.25">
      <c r="D2" s="51"/>
      <c r="E2" s="51"/>
      <c r="F2" s="51"/>
      <c r="G2" s="51"/>
      <c r="K2" s="230" t="s">
        <v>7</v>
      </c>
      <c r="L2" s="230"/>
      <c r="M2" s="230"/>
      <c r="N2" s="230"/>
      <c r="O2" s="231" t="s">
        <v>8</v>
      </c>
      <c r="P2" s="231"/>
      <c r="Q2" s="231"/>
      <c r="R2" s="232" t="s">
        <v>9</v>
      </c>
      <c r="S2" s="232" t="s">
        <v>10</v>
      </c>
      <c r="T2" s="232" t="s">
        <v>11</v>
      </c>
      <c r="U2" s="232" t="s">
        <v>12</v>
      </c>
      <c r="V2" s="232" t="s">
        <v>13</v>
      </c>
    </row>
    <row r="3" spans="1:22" s="60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232"/>
      <c r="S3" s="232"/>
      <c r="T3" s="232"/>
      <c r="U3" s="232"/>
      <c r="V3" s="232"/>
    </row>
    <row r="4" spans="1:22" ht="18.75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55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G5" s="2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65" t="s">
        <v>407</v>
      </c>
      <c r="G7" s="33"/>
      <c r="H7" s="2" t="s">
        <v>53</v>
      </c>
      <c r="I7" s="2" t="s">
        <v>309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</row>
    <row r="9" spans="1:22" ht="18.75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</row>
    <row r="11" spans="1:22" ht="18.75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</row>
    <row r="12" spans="1:22" ht="18.75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"/>
  <sheetViews>
    <sheetView workbookViewId="0">
      <selection activeCell="E7" sqref="E7"/>
    </sheetView>
  </sheetViews>
  <sheetFormatPr defaultRowHeight="15" x14ac:dyDescent="0.25"/>
  <cols>
    <col min="2" max="2" width="27.85546875" customWidth="1"/>
    <col min="3" max="3" width="16.28515625" style="174" customWidth="1"/>
    <col min="4" max="4" width="20.85546875" style="174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75" t="s">
        <v>441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44" t="s">
        <v>7</v>
      </c>
      <c r="L2" s="244"/>
      <c r="M2" s="244"/>
      <c r="N2" s="244"/>
      <c r="O2" s="245" t="s">
        <v>8</v>
      </c>
      <c r="P2" s="245"/>
      <c r="Q2" s="245"/>
      <c r="R2" s="251" t="s">
        <v>323</v>
      </c>
      <c r="S2" s="251" t="s">
        <v>324</v>
      </c>
      <c r="T2" s="246" t="s">
        <v>11</v>
      </c>
      <c r="U2" s="246" t="s">
        <v>12</v>
      </c>
      <c r="V2" s="251" t="s">
        <v>325</v>
      </c>
    </row>
    <row r="3" spans="1:22" s="22" customFormat="1" ht="18.75" x14ac:dyDescent="0.3">
      <c r="A3" s="172" t="s">
        <v>6</v>
      </c>
      <c r="B3" s="172" t="s">
        <v>5</v>
      </c>
      <c r="C3" s="173" t="s">
        <v>4</v>
      </c>
      <c r="D3" s="173" t="s">
        <v>3</v>
      </c>
      <c r="E3" s="173" t="s">
        <v>117</v>
      </c>
      <c r="F3" s="173" t="s">
        <v>71</v>
      </c>
      <c r="G3" s="173" t="s">
        <v>106</v>
      </c>
      <c r="H3" s="172" t="s">
        <v>2</v>
      </c>
      <c r="I3" s="172" t="s">
        <v>173</v>
      </c>
      <c r="J3" s="172" t="s">
        <v>1</v>
      </c>
      <c r="K3" s="176" t="s">
        <v>14</v>
      </c>
      <c r="L3" s="177" t="s">
        <v>15</v>
      </c>
      <c r="M3" s="178" t="s">
        <v>16</v>
      </c>
      <c r="N3" s="179" t="s">
        <v>17</v>
      </c>
      <c r="O3" s="180" t="s">
        <v>18</v>
      </c>
      <c r="P3" s="181" t="s">
        <v>19</v>
      </c>
      <c r="Q3" s="182" t="s">
        <v>20</v>
      </c>
      <c r="R3" s="246"/>
      <c r="S3" s="246"/>
      <c r="T3" s="246"/>
      <c r="U3" s="246"/>
      <c r="V3" s="246"/>
    </row>
    <row r="4" spans="1:22" ht="18.75" x14ac:dyDescent="0.3">
      <c r="A4" s="2">
        <v>1</v>
      </c>
      <c r="B4" s="1" t="s">
        <v>313</v>
      </c>
      <c r="C4" s="77"/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486</v>
      </c>
      <c r="D5" s="222" t="s">
        <v>440</v>
      </c>
      <c r="E5" s="3" t="s">
        <v>487</v>
      </c>
      <c r="F5" s="3" t="s">
        <v>488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64">
        <v>35471</v>
      </c>
      <c r="D6" s="222" t="s">
        <v>262</v>
      </c>
      <c r="E6" s="3" t="s">
        <v>261</v>
      </c>
      <c r="F6" s="3" t="s">
        <v>69</v>
      </c>
      <c r="G6" s="33"/>
      <c r="H6" s="2"/>
      <c r="I6" s="2" t="s">
        <v>448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442</v>
      </c>
      <c r="C7" s="34" t="s">
        <v>478</v>
      </c>
      <c r="D7" s="34" t="s">
        <v>443</v>
      </c>
      <c r="E7" s="3" t="s">
        <v>479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444</v>
      </c>
      <c r="C8" s="34" t="s">
        <v>480</v>
      </c>
      <c r="D8" s="34" t="s">
        <v>446</v>
      </c>
      <c r="E8" s="3" t="s">
        <v>479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445</v>
      </c>
      <c r="C9" s="164">
        <v>35217</v>
      </c>
      <c r="D9" s="222" t="s">
        <v>447</v>
      </c>
      <c r="E9" s="1" t="s">
        <v>479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450</v>
      </c>
      <c r="C10" s="77" t="s">
        <v>489</v>
      </c>
      <c r="D10" s="222" t="s">
        <v>451</v>
      </c>
      <c r="E10" s="1" t="s">
        <v>490</v>
      </c>
      <c r="F10" s="1" t="s">
        <v>491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454</v>
      </c>
      <c r="C11" s="164">
        <v>34820</v>
      </c>
      <c r="D11" s="34" t="s">
        <v>457</v>
      </c>
      <c r="E11" s="1" t="s">
        <v>481</v>
      </c>
      <c r="F11" s="1" t="s">
        <v>482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455</v>
      </c>
      <c r="C12" s="77" t="s">
        <v>483</v>
      </c>
      <c r="D12" s="222" t="s">
        <v>458</v>
      </c>
      <c r="E12" s="1" t="s">
        <v>484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456</v>
      </c>
      <c r="C13" s="164">
        <v>35318</v>
      </c>
      <c r="D13" s="34" t="s">
        <v>459</v>
      </c>
      <c r="E13" s="1" t="s">
        <v>485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ht="18.75" x14ac:dyDescent="0.3">
      <c r="A14" s="2">
        <v>11</v>
      </c>
      <c r="B14" s="1" t="s">
        <v>493</v>
      </c>
      <c r="D14" s="34" t="s">
        <v>494</v>
      </c>
      <c r="H14" s="2" t="s">
        <v>53</v>
      </c>
      <c r="I14" s="2" t="s">
        <v>309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"/>
  <sheetViews>
    <sheetView workbookViewId="0">
      <selection activeCell="G6" sqref="G6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74" customWidth="1"/>
    <col min="4" max="4" width="23.140625" customWidth="1"/>
    <col min="5" max="5" width="48.28515625" customWidth="1"/>
    <col min="6" max="6" width="31.42578125" style="174" customWidth="1"/>
    <col min="7" max="7" width="17.42578125" customWidth="1"/>
    <col min="8" max="8" width="14.7109375" customWidth="1"/>
    <col min="9" max="9" width="17.28515625" customWidth="1"/>
    <col min="10" max="10" width="15" customWidth="1"/>
  </cols>
  <sheetData>
    <row r="1" spans="1:22" ht="18.75" x14ac:dyDescent="0.3">
      <c r="A1" s="2"/>
      <c r="B1" s="175" t="s">
        <v>452</v>
      </c>
      <c r="C1" s="77"/>
      <c r="D1" s="33"/>
      <c r="E1" s="33"/>
      <c r="F1" s="34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1"/>
      <c r="K2" s="254" t="s">
        <v>7</v>
      </c>
      <c r="L2" s="254"/>
      <c r="M2" s="254"/>
      <c r="N2" s="254"/>
      <c r="O2" s="255" t="s">
        <v>8</v>
      </c>
      <c r="P2" s="255"/>
      <c r="Q2" s="255"/>
      <c r="R2" s="252" t="s">
        <v>323</v>
      </c>
      <c r="S2" s="252" t="s">
        <v>324</v>
      </c>
      <c r="T2" s="253" t="s">
        <v>11</v>
      </c>
      <c r="U2" s="253" t="s">
        <v>12</v>
      </c>
      <c r="V2" s="252" t="s">
        <v>325</v>
      </c>
    </row>
    <row r="3" spans="1:22" ht="18.75" x14ac:dyDescent="0.3">
      <c r="A3" s="172" t="s">
        <v>6</v>
      </c>
      <c r="B3" s="172" t="s">
        <v>5</v>
      </c>
      <c r="C3" s="207" t="s">
        <v>4</v>
      </c>
      <c r="D3" s="173" t="s">
        <v>3</v>
      </c>
      <c r="E3" s="173" t="s">
        <v>117</v>
      </c>
      <c r="F3" s="207" t="s">
        <v>71</v>
      </c>
      <c r="G3" s="173" t="s">
        <v>106</v>
      </c>
      <c r="H3" s="172" t="s">
        <v>2</v>
      </c>
      <c r="I3" s="172" t="s">
        <v>173</v>
      </c>
      <c r="J3" s="183" t="s">
        <v>1</v>
      </c>
      <c r="K3" s="176" t="s">
        <v>14</v>
      </c>
      <c r="L3" s="177" t="s">
        <v>15</v>
      </c>
      <c r="M3" s="178" t="s">
        <v>16</v>
      </c>
      <c r="N3" s="179" t="s">
        <v>17</v>
      </c>
      <c r="O3" s="180" t="s">
        <v>18</v>
      </c>
      <c r="P3" s="181" t="s">
        <v>19</v>
      </c>
      <c r="Q3" s="182" t="s">
        <v>20</v>
      </c>
      <c r="R3" s="253"/>
      <c r="S3" s="253"/>
      <c r="T3" s="253"/>
      <c r="U3" s="253"/>
      <c r="V3" s="253"/>
    </row>
    <row r="4" spans="1:22" s="221" customFormat="1" ht="18.75" x14ac:dyDescent="0.3">
      <c r="A4" s="216">
        <v>1</v>
      </c>
      <c r="B4" s="217" t="s">
        <v>188</v>
      </c>
      <c r="C4" s="218" t="s">
        <v>256</v>
      </c>
      <c r="D4" s="219" t="s">
        <v>189</v>
      </c>
      <c r="E4" s="220" t="s">
        <v>257</v>
      </c>
      <c r="F4" s="218" t="s">
        <v>89</v>
      </c>
      <c r="G4" s="216"/>
      <c r="H4" s="216" t="s">
        <v>53</v>
      </c>
      <c r="I4" s="216" t="s">
        <v>453</v>
      </c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</row>
    <row r="5" spans="1:22" ht="18.75" x14ac:dyDescent="0.3">
      <c r="A5" s="2">
        <v>2</v>
      </c>
      <c r="B5" s="1" t="s">
        <v>202</v>
      </c>
      <c r="C5" s="164">
        <v>34705</v>
      </c>
      <c r="D5" s="74" t="s">
        <v>469</v>
      </c>
      <c r="E5" s="34" t="s">
        <v>470</v>
      </c>
      <c r="F5" s="34" t="s">
        <v>260</v>
      </c>
      <c r="G5" s="33"/>
      <c r="H5" s="2" t="s">
        <v>53</v>
      </c>
      <c r="I5" s="2" t="s">
        <v>453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468</v>
      </c>
      <c r="C6" s="164">
        <v>34983</v>
      </c>
      <c r="D6" s="34" t="s">
        <v>460</v>
      </c>
      <c r="E6" s="3" t="s">
        <v>471</v>
      </c>
      <c r="F6" s="34" t="s">
        <v>260</v>
      </c>
      <c r="G6" s="33"/>
      <c r="H6" s="2" t="s">
        <v>53</v>
      </c>
      <c r="I6" s="2" t="s">
        <v>309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461</v>
      </c>
      <c r="C7" s="34" t="s">
        <v>472</v>
      </c>
      <c r="D7" s="34" t="s">
        <v>462</v>
      </c>
      <c r="E7" s="3" t="s">
        <v>471</v>
      </c>
      <c r="F7" s="34" t="s">
        <v>473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205" customFormat="1" ht="18.75" x14ac:dyDescent="0.3">
      <c r="A8" s="200">
        <v>5</v>
      </c>
      <c r="B8" s="201" t="s">
        <v>465</v>
      </c>
      <c r="C8" s="202" t="s">
        <v>475</v>
      </c>
      <c r="D8" s="202" t="s">
        <v>463</v>
      </c>
      <c r="E8" s="203" t="s">
        <v>464</v>
      </c>
      <c r="F8" s="202" t="s">
        <v>474</v>
      </c>
      <c r="G8" s="204"/>
      <c r="H8" s="200" t="s">
        <v>53</v>
      </c>
      <c r="I8" s="200" t="s">
        <v>309</v>
      </c>
      <c r="J8" s="201"/>
      <c r="K8" s="201"/>
      <c r="L8" s="201"/>
      <c r="M8" s="201"/>
      <c r="N8" s="201"/>
      <c r="O8" s="201"/>
      <c r="P8" s="201"/>
      <c r="Q8" s="201"/>
      <c r="R8" s="201"/>
      <c r="S8" s="201"/>
      <c r="T8" s="201"/>
      <c r="U8" s="201"/>
      <c r="V8" s="201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453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466</v>
      </c>
      <c r="C11" s="77" t="s">
        <v>476</v>
      </c>
      <c r="D11" s="75" t="s">
        <v>467</v>
      </c>
      <c r="E11" s="1" t="s">
        <v>477</v>
      </c>
      <c r="F11" s="77" t="s">
        <v>89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/>
      <c r="C12" s="77"/>
      <c r="D12" s="77"/>
      <c r="E12" s="1"/>
      <c r="F12" s="77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74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2017-12-19T10:50:24Z</dcterms:modified>
</cp:coreProperties>
</file>