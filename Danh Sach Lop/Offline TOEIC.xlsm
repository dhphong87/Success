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2" activeTab="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F10" i="20"/>
  <c r="E11" i="20"/>
  <c r="F11" i="20" s="1"/>
  <c r="E12" i="20"/>
  <c r="E14" i="20"/>
  <c r="F14" i="20" s="1"/>
  <c r="E15" i="20"/>
  <c r="F15" i="20" s="1"/>
  <c r="E16" i="20"/>
  <c r="F16" i="20" s="1"/>
  <c r="E17" i="20"/>
  <c r="F17" i="20" s="1"/>
  <c r="E18" i="20"/>
  <c r="F18" i="20" s="1"/>
  <c r="E19" i="20"/>
  <c r="F19" i="20" s="1"/>
  <c r="F20" i="20" l="1"/>
  <c r="F12" i="20"/>
  <c r="F13" i="20"/>
</calcChain>
</file>

<file path=xl/sharedStrings.xml><?xml version="1.0" encoding="utf-8"?>
<sst xmlns="http://schemas.openxmlformats.org/spreadsheetml/2006/main" count="1635" uniqueCount="231">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</sst>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abSelected="1" topLeftCell="A8" workbookViewId="0">
      <selection activeCell="H4" sqref="H4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8" t="s">
        <v>166</v>
      </c>
      <c r="B2" s="88"/>
      <c r="C2" s="88"/>
      <c r="D2" s="88"/>
      <c r="E2" s="88"/>
      <c r="F2" s="88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42964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35546</v>
      </c>
      <c r="E10" s="83">
        <f ca="1">IF(D10="","",DATE(YEAR(TODAY()),MONTH(D10),DAY(D10)))</f>
        <v>42851</v>
      </c>
      <c r="F10" s="22" t="str">
        <f t="shared" ca="1" si="1"/>
        <v>Đã xong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24"/>
      <c r="D3" s="24"/>
      <c r="E3" s="24"/>
      <c r="F3" s="24"/>
      <c r="G3" s="101"/>
      <c r="H3" s="101"/>
      <c r="I3" s="101"/>
      <c r="J3" s="98"/>
      <c r="K3" s="93"/>
      <c r="L3" s="94"/>
      <c r="M3" s="98"/>
      <c r="N3" s="93"/>
      <c r="O3" s="94"/>
      <c r="P3" s="98"/>
      <c r="Q3" s="93"/>
      <c r="R3" s="94"/>
      <c r="S3" s="98"/>
      <c r="T3" s="93"/>
      <c r="U3" s="94"/>
      <c r="V3" s="98"/>
      <c r="W3" s="93"/>
      <c r="X3" s="94"/>
      <c r="Y3" s="98"/>
      <c r="Z3" s="93"/>
      <c r="AA3" s="94"/>
      <c r="AB3" s="98"/>
      <c r="AC3" s="93"/>
      <c r="AD3" s="94"/>
      <c r="AE3" s="98"/>
      <c r="AF3" s="93"/>
      <c r="AG3" s="94"/>
      <c r="AH3" s="98"/>
      <c r="AI3" s="93"/>
      <c r="AJ3" s="94"/>
      <c r="AK3" s="98"/>
      <c r="AL3" s="93"/>
      <c r="AM3" s="94"/>
      <c r="AN3" s="98"/>
      <c r="AO3" s="93"/>
      <c r="AP3" s="94"/>
      <c r="AQ3" s="98"/>
      <c r="AR3" s="93"/>
      <c r="AS3" s="94"/>
      <c r="AT3" s="98"/>
      <c r="AU3" s="93"/>
      <c r="AV3" s="94"/>
      <c r="AW3" s="98"/>
      <c r="AX3" s="93"/>
      <c r="AY3" s="94"/>
      <c r="AZ3" s="98"/>
      <c r="BA3" s="93"/>
      <c r="BB3" s="94"/>
      <c r="BC3" s="95" t="s">
        <v>116</v>
      </c>
      <c r="BD3" s="96"/>
      <c r="BE3" s="97"/>
      <c r="BF3" s="92">
        <v>42930</v>
      </c>
      <c r="BG3" s="93"/>
      <c r="BH3" s="94"/>
      <c r="BI3" s="98" t="s">
        <v>148</v>
      </c>
      <c r="BJ3" s="93"/>
      <c r="BK3" s="94"/>
      <c r="BL3" s="98" t="s">
        <v>149</v>
      </c>
      <c r="BM3" s="93"/>
      <c r="BN3" s="94"/>
      <c r="BO3" s="98" t="s">
        <v>171</v>
      </c>
      <c r="BP3" s="93"/>
      <c r="BQ3" s="94"/>
      <c r="BR3" s="92">
        <v>42940</v>
      </c>
      <c r="BS3" s="93"/>
      <c r="BT3" s="94"/>
      <c r="BU3" s="92">
        <v>42942</v>
      </c>
      <c r="BV3" s="93"/>
      <c r="BW3" s="94"/>
      <c r="BX3" s="92">
        <v>42944</v>
      </c>
      <c r="BY3" s="93"/>
      <c r="BZ3" s="94"/>
      <c r="CA3" s="92">
        <v>42947</v>
      </c>
      <c r="CB3" s="93"/>
      <c r="CC3" s="94"/>
      <c r="CD3" s="26"/>
    </row>
    <row r="4" spans="1:82" s="17" customFormat="1" ht="21" customHeight="1" x14ac:dyDescent="0.25">
      <c r="A4" s="100"/>
      <c r="B4" s="10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0"/>
  <sheetViews>
    <sheetView workbookViewId="0">
      <pane xSplit="2" ySplit="3" topLeftCell="C9" activePane="bottomRight" state="frozen"/>
      <selection activeCell="BA9" sqref="BA9"/>
      <selection pane="topRight" activeCell="BA9" sqref="BA9"/>
      <selection pane="bottomLeft" activeCell="BA9" sqref="BA9"/>
      <selection pane="bottomRight" activeCell="J20" sqref="J20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0"/>
  <sheetViews>
    <sheetView workbookViewId="0">
      <pane xSplit="2" ySplit="4" topLeftCell="BF10" activePane="bottomRight" state="frozen"/>
      <selection activeCell="BA9" sqref="BA9"/>
      <selection pane="topRight" activeCell="BA9" sqref="BA9"/>
      <selection pane="bottomLeft" activeCell="BA9" sqref="BA9"/>
      <selection pane="bottomRight" activeCell="A20" sqref="A20:CD20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70"/>
      <c r="D3" s="70"/>
      <c r="E3" s="70"/>
      <c r="F3" s="70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2"/>
      <c r="BD3" s="102"/>
      <c r="BE3" s="102"/>
      <c r="BF3" s="103"/>
      <c r="BG3" s="101"/>
      <c r="BH3" s="101"/>
      <c r="BI3" s="101"/>
      <c r="BJ3" s="101"/>
      <c r="BK3" s="101"/>
      <c r="BL3" s="101"/>
      <c r="BM3" s="101"/>
      <c r="BN3" s="101"/>
      <c r="BO3" s="101"/>
      <c r="BP3" s="101"/>
      <c r="BQ3" s="101"/>
      <c r="BR3" s="103"/>
      <c r="BS3" s="101"/>
      <c r="BT3" s="101"/>
      <c r="BU3" s="101"/>
      <c r="BV3" s="101"/>
      <c r="BW3" s="101"/>
      <c r="BX3" s="101"/>
      <c r="BY3" s="101"/>
      <c r="BZ3" s="101"/>
      <c r="CA3" s="101"/>
      <c r="CB3" s="101"/>
      <c r="CC3" s="101"/>
      <c r="CD3" s="26"/>
    </row>
    <row r="4" spans="1:82" s="17" customFormat="1" ht="21" customHeight="1" x14ac:dyDescent="0.25">
      <c r="A4" s="99"/>
      <c r="B4" s="99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B2" sqref="B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38.42578125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196</v>
      </c>
      <c r="C4" s="3"/>
      <c r="D4" s="3" t="s">
        <v>197</v>
      </c>
      <c r="E4" s="3"/>
      <c r="G4" s="71">
        <v>2400000</v>
      </c>
      <c r="H4" s="72">
        <v>0.3</v>
      </c>
      <c r="I4" s="71">
        <v>1560000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3"/>
      <c r="E5" s="3"/>
      <c r="G5" s="71">
        <v>2400000</v>
      </c>
      <c r="H5" s="72">
        <v>0.3</v>
      </c>
      <c r="I5" s="71">
        <v>1560000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/>
      <c r="D6" s="3" t="s">
        <v>200</v>
      </c>
      <c r="E6" s="3"/>
      <c r="G6" s="71">
        <v>2400000</v>
      </c>
      <c r="H6" s="72">
        <v>0.3</v>
      </c>
      <c r="I6" s="71">
        <v>1560000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/>
      <c r="D7" s="39" t="s">
        <v>204</v>
      </c>
      <c r="E7" s="3"/>
      <c r="G7" s="71">
        <v>2400000</v>
      </c>
      <c r="H7" s="72">
        <v>0.3</v>
      </c>
      <c r="I7" s="71">
        <v>1560000</v>
      </c>
      <c r="J7" s="2"/>
    </row>
    <row r="8" spans="1:26" ht="21" customHeight="1" x14ac:dyDescent="0.3">
      <c r="A8" s="1"/>
      <c r="B8" s="1"/>
      <c r="C8" s="3"/>
      <c r="D8" s="3"/>
      <c r="E8" s="35"/>
      <c r="F8" s="1"/>
      <c r="G8" s="2"/>
      <c r="H8" s="2"/>
      <c r="I8" s="2"/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/>
      <c r="B9" s="1"/>
      <c r="C9" s="3"/>
      <c r="D9" s="3"/>
      <c r="E9" s="3"/>
      <c r="F9" s="1"/>
      <c r="G9" s="2"/>
      <c r="H9" s="2"/>
      <c r="I9" s="2"/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3"/>
      <c r="B10" s="3"/>
      <c r="C10" s="3"/>
      <c r="D10" s="3"/>
      <c r="E10" s="3"/>
      <c r="F10" s="3"/>
      <c r="G10" s="34"/>
      <c r="H10" s="34"/>
      <c r="I10" s="34"/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25">
      <c r="D11"/>
      <c r="E11"/>
      <c r="F11"/>
      <c r="G11" s="69"/>
      <c r="H11" s="69"/>
      <c r="I11" s="69"/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5" sqref="A5:B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/>
      <c r="B9" s="21"/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/>
      <c r="B10" s="21"/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/>
      <c r="B11" s="21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2017-08-17T12:36:49Z</dcterms:modified>
</cp:coreProperties>
</file>