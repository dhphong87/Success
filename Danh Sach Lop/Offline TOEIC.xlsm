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05" windowWidth="14805" windowHeight="8010" firstSheet="11" activeTab="15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TOEIC AK8" sheetId="30" r:id="rId14"/>
    <sheet name="TOEIC BK6" sheetId="31" r:id="rId15"/>
    <sheet name="TOEIC AK9" sheetId="32" r:id="rId16"/>
    <sheet name="TOEIC BK7" sheetId="33" r:id="rId17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V8" i="19" l="1"/>
  <c r="S8" i="19"/>
  <c r="R8" i="19"/>
  <c r="V4" i="32" l="1"/>
  <c r="S4" i="32"/>
  <c r="R4" i="32"/>
  <c r="F42" i="20" l="1"/>
  <c r="F43" i="20"/>
  <c r="F49" i="20"/>
  <c r="E42" i="20"/>
  <c r="E43" i="20"/>
  <c r="E44" i="20"/>
  <c r="E45" i="20"/>
  <c r="E46" i="20"/>
  <c r="E47" i="20"/>
  <c r="E48" i="20"/>
  <c r="E49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25" i="20"/>
  <c r="E23" i="20"/>
  <c r="E24" i="20"/>
  <c r="F24" i="20" s="1"/>
  <c r="E22" i="20"/>
  <c r="H3" i="20" l="1"/>
  <c r="E10" i="20" l="1"/>
  <c r="C3" i="20" l="1"/>
  <c r="F22" i="20" s="1"/>
  <c r="E13" i="20"/>
  <c r="E6" i="20"/>
  <c r="E20" i="20"/>
  <c r="E21" i="20"/>
  <c r="E7" i="20"/>
  <c r="E8" i="20"/>
  <c r="E9" i="20"/>
  <c r="E11" i="20"/>
  <c r="E12" i="20"/>
  <c r="E14" i="20"/>
  <c r="F14" i="20" s="1"/>
  <c r="E15" i="20"/>
  <c r="E16" i="20"/>
  <c r="E17" i="20"/>
  <c r="E18" i="20"/>
  <c r="E19" i="20"/>
  <c r="F19" i="20" s="1"/>
  <c r="F21" i="20" l="1"/>
  <c r="F9" i="20"/>
  <c r="F16" i="20"/>
  <c r="F11" i="20"/>
  <c r="F8" i="20"/>
  <c r="F17" i="20"/>
  <c r="F7" i="20"/>
  <c r="F6" i="20"/>
  <c r="F46" i="20"/>
  <c r="F29" i="20"/>
  <c r="F31" i="20"/>
  <c r="F25" i="20"/>
  <c r="F44" i="20"/>
  <c r="F47" i="20"/>
  <c r="F35" i="20"/>
  <c r="F37" i="20"/>
  <c r="F32" i="20"/>
  <c r="F33" i="20"/>
  <c r="F38" i="20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<sst xmlns="http://schemas.openxmlformats.org/spreadsheetml/2006/main" count="2376" uniqueCount="522">
  <si>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</si>
  <si>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</si>
  <si>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</si>
  <si>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</si>
  <si>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</si>
  <si>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</si>
  <si>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</si>
  <si>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</si>
  <si>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</si>
  <si>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</si>
  <si>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</si>
  <si>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</si>
  <si>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</si>
  <si>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</si>
  <si>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</si>
  <si>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</si>
  <si>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</si>
  <si>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</si>
  <si>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</si>
  <si>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</si>
  <si>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</si>
  <si>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</si>
  <si>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</si>
  <si>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</si>
  <si>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</si>
  <si>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</si>
  <si>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</si>
  <si>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</si>
  <si>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</si>
  <si>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</si>
  <si>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</si>
  <si>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</si>
  <si>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</si>
  <si>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</si>
  <si>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</si>
  <si>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</si>
  <si>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</si>
  <si>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</si>
  <si>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</si>
  <si>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</si>
  <si>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</si>
  <si>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</si>
  <si>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</si>
  <si>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</si>
  <si>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</si>
  <si>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</si>
  <si>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</si>
  <si>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</si>
  <si>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</si>
  <si>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</si>
  <si>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</si>
  <si>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</si>
  <si>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</si>
  <si>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</si>
  <si>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</si>
  <si>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</si>
  <si>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</si>
  <si>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</si>
  <si>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</si>
  <si>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</si>
  <si>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</si>
  <si>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</si>
  <si>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</si>
  <si>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</si>
  <si>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</si>
  <si>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</si>
  <si>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</si>
  <si>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</si>
  <si>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</si>
  <si>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</si>
  <si>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</si>
  <si>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</si>
  <si>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</si>
  <si>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</si>
  <si>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</si>
  <si>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</si>
  <si>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</si>
  <si>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</si>
  <si>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</si>
  <si>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</si>
  <si>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</si>
  <si>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</si>
  <si>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</si>
  <si>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</si>
  <si>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</si>
  <si>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</si>
  <si>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</si>
  <si>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</si>
  <si>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</si>
  <si>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</si>
  <si>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</si>
  <si>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</si>
  <si>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</si>
  <si>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</si>
  <si>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</si>
  <si>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</si>
  <si>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</si>
  <si>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</si>
  <si>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</si>
  <si>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</si>
  <si>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</si>
  <si>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</si>
  <si>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</si>
  <si>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</si>
  <si>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</si>
  <si>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</si>
  <si>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</si>
  <si>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</si>
  <si>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</si>
  <si>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</si>
  <si>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</si>
  <si>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</si>
  <si>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</si>
  <si>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</si>
  <si>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</si>
  <si>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</si>
  <si>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</si>
  <si>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</si>
  <si>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</si>
  <si>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</si>
  <si>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</si>
  <si>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</si>
  <si>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</si>
  <si>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</si>
  <si>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</si>
  <si>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</si>
  <si>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</si>
  <si>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</si>
  <si>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</si>
  <si>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</si>
  <si>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</si>
  <si>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</si>
  <si>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</si>
  <si>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</si>
  <si>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</si>
  <si>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</si>
  <si>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</si>
  <si>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</si>
  <si>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</si>
  <si>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</si>
  <si>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</si>
  <si>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</si>
  <si>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</si>
  <si>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</si>
  <si>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</si>
  <si>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</si>
  <si>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</si>
  <si>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</si>
  <si>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</si>
  <si>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</si>
  <si>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</si>
  <si>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</si>
  <si>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</si>
  <si>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</si>
  <si>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</si>
  <si>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</si>
  <si>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</si>
  <si>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</si>
  <si>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</si>
  <si>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</si>
  <si>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</si>
  <si>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</si>
  <si>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</si>
  <si>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</si>
  <si>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</si>
  <si>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</si>
  <si>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</si>
  <si>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</si>
  <si>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</si>
  <si>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</si>
  <si>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</si>
  <si>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</si>
  <si>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</si>
  <si>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</si>
  <si>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</si>
  <si>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</si>
  <si>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</si>
  <si>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</si>
  <si>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</si>
  <si>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</si>
  <si>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</si>
  <si>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</si>
  <si>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</si>
  <si>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</si>
  <si>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</si>
  <si>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</si>
  <si>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</si>
  <si>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</si>
  <si>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</si>
  <si>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</si>
  <si>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</si>
  <si>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</si>
  <si>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</si>
  <si>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</si>
  <si>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</si>
  <si>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</si>
  <si>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</si>
  <si>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</si>
  <si>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</si>
  <si>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</si>
  <si>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</si>
  <si>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</si>
  <si>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</si>
  <si>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</si>
  <si>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</si>
  <si>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</si>
  <si>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</si>
  <si>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</si>
  <si>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</si>
  <si>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</si>
  <si>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</si>
  <si>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</si>
  <si>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</si>
  <si>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</si>
  <si>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</si>
  <si>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</si>
  <si>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</si>
  <si>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</si>
  <si>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</si>
  <si>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</si>
  <si>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</si>
  <si>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</si>
  <si>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</si>
  <si>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</si>
  <si>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</si>
  <si>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</si>
  <si>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</si>
  <si>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</si>
  <si>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</si>
  <si>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</si>
  <si>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</si>
  <si>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</si>
  <si>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</si>
  <si>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</si>
  <si>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</si>
  <si>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</si>
  <si>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</si>
  <si>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</si>
  <si>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</si>
  <si>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</si>
  <si>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</si>
  <si>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</si>
  <si>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</si>
  <si>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</si>
  <si>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</si>
  <si>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</si>
  <si>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</si>
  <si>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</si>
  <si>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</si>
  <si>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</si>
  <si>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</si>
  <si>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</si>
  <si>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</si>
  <si>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</si>
  <si>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</si>
  <si>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</si>
  <si>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</si>
  <si>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</si>
  <si>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</si>
  <si>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</si>
  <si>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</si>
  <si>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</si>
  <si>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</si>
  <si>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</si>
  <si>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</si>
  <si>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</si>
  <si>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</si>
  <si>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</si>
  <si>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</si>
  <si>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</si>
  <si>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</si>
  <si>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</si>
  <si>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</si>
  <si>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</si>
  <si>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</si>
  <si>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</si>
  <si>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</si>
  <si>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</si>
  <si>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</si>
  <si>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</si>
  <si>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</si>
  <si>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</si>
  <si>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</si>
  <si>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</si>
  <si>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</si>
  <si>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</si>
  <si>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</si>
  <si>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</si>
  <si>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</si>
  <si>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</si>
  <si>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</si>
  <si>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</si>
  <si>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</si>
  <si>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</si>
  <si>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</si>
  <si>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</si>
  <si>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</si>
  <si>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</si>
  <si>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</si>
  <si>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</si>
  <si>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</si>
  <si>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</si>
  <si>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</si>
  <si>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</si>
  <si>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</si>
  <si>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</si>
  <si>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</si>
  <si>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</si>
  <si>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</si>
  <si>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</si>
  <si>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</si>
  <si>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</si>
  <si>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</si>
  <si>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</si>
  <si>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</si>
  <si>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</si>
  <si>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</si>
  <si>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</si>
  <si>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</si>
  <si>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</si>
  <si>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</si>
  <si>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</si>
  <si>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</si>
  <si>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</si>
  <si>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</si>
  <si>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</si>
  <si>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</si>
  <si>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</si>
  <si>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</si>
  <si>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</si>
  <si>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</si>
  <si>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</si>
  <si>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</si>
  <si>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</si>
  <si>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</si>
  <si>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</si>
  <si>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</si>
  <si>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</si>
  <si>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</si>
  <si>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</si>
  <si>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</si>
  <si>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</si>
  <si>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</si>
  <si>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</si>
  <si>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</si>
  <si>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</si>
  <si>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</si>
  <si>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</si>
  <si>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</si>
  <si>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</si>
  <si>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</si>
  <si>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</si>
  <si>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</si>
  <si>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</si>
  <si>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</si>
  <si>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</si>
  <si>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</si>
  <si>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</si>
  <si>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</si>
  <si>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</si>
  <si>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</si>
  <si>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</si>
  <si>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</si>
  <si>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</si>
  <si>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</si>
  <si>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</si>
  <si>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</si>
  <si>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</si>
  <si>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</si>
  <si>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</si>
  <si>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</si>
  <si>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</si>
  <si>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</si>
  <si>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</si>
  <si>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</si>
  <si>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</si>
  <si>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</si>
  <si>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</si>
  <si>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</si>
  <si>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</si>
  <si>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</si>
  <si>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</si>
  <si>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</si>
  <si>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</si>
  <si>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</si>
  <si>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</si>
  <si>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</si>
  <si>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</si>
  <si>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</si>
  <si>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</si>
  <si>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</si>
  <si>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</si>
  <si>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</si>
  <si>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</si>
  <si>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</si>
  <si>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</si>
  <si>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</si>
  <si>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</si>
  <si>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</si>
  <si>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</si>
  <si>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</si>
  <si>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</si>
  <si>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</si>
  <si>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</si>
  <si>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</si>
  <si>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</si>
  <si>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</si>
  <si>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</si>
  <si>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</si>
  <si>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</si>
  <si>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</si>
  <si>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</si>
  <si>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</si>
  <si>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</si>
  <si>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</si>
  <si>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</si>
  <si>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</si>
  <si>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</si>
  <si>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</si>
  <si>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</si>
  <si>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</si>
  <si>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</si>
  <si>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</si>
  <si>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</si>
  <si>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</si>
  <si>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</si>
  <si>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</si>
  <si>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</si>
  <si>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</si>
  <si>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</si>
  <si>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</si>
  <si>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</si>
  <si>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</si>
  <si>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</si>
  <si>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</si>
  <si>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</si>
  <si>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</si>
  <si>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</si>
  <si>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</si>
  <si>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</si>
  <si>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</si>
  <si>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</si>
  <si>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</si>
  <si>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</si>
  <si>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</si>
  <si>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</si>
  <si>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</si>
  <si>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</si>
  <si>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</si>
  <si>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</si>
  <si>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</si>
  <si>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</si>
  <si>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</si>
  <si>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</si>
  <si>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</si>
  <si>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</si>
  <si>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</si>
  <si>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</si>
  <si>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</si>
  <si>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</si>
  <si>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</si>
  <si>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</si>
  <si>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</si>
  <si>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</si>
  <si>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</si>
  <si>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</si>
  <si>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</si>
  <si>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</si>
  <si>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</si>
  <si>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</si>
  <si>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</si>
  <si>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</si>
  <si>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</si>
  <si>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</si>
  <si>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</si>
  <si>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</si>
  <si>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</si>
  <si>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</si>
  <si>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</si>
  <si>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</si>
  <si>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</si>
  <si>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</si>
  <si>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</si>
  <si>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</si>
  <si>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</si>
  <si>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</si>
  <si>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</si>
  <si>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</si>
  <si>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</si>
  <si>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</si>
  <si>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</si>
  <si>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</si>
  <si>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</si>
  <si>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</si>
  <si>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</si>
  <si>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</si>
  <si>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</si>
  <si>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</si>
  <si>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</si>
  <si>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</si>
  <si>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</si>
  <si>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</si>
  <si>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</si>
  <si>
    <t>Khóa TOEIC A K8 (11/12/2017 - /2018)</t>
  </si>
  <si>
    <t>Khóa TOEIC B K6 (12/12/2017 - /2018)</t>
  </si>
  <si>
    <t>0962943130</t>
  </si>
  <si>
    <t>`</t>
  </si>
  <si>
    <t>Khóa TOEIC B K7 (/2018 - /2018)</t>
  </si>
  <si>
    <t>Khóa TOEIC A K9 (11/12/2017 - /2018)</t>
  </si>
  <si>
    <t>Võ Thị Quý</t>
  </si>
  <si>
    <t>0931775324</t>
  </si>
  <si>
    <t>Dương Thị Hoàng Anh</t>
  </si>
  <si>
    <t>0969176761</t>
  </si>
  <si>
    <t>03 Lý Đạo Thành, Phú Bài</t>
  </si>
  <si>
    <t>Phong Dang</t>
  </si>
  <si>
    <t>Trần Thị Điểm</t>
  </si>
  <si>
    <t>Nguyễn Thị Ánh</t>
  </si>
  <si>
    <t>0932413516</t>
  </si>
  <si>
    <t>01635997580</t>
  </si>
  <si>
    <t>01263660525</t>
  </si>
  <si>
    <t>Phạm Phú Quốc</t>
  </si>
  <si>
    <t>TOEIC A K9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</si>
</sst>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7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30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0" fontId="9" fillId="5" borderId="1" xfId="4" applyFont="1" applyBorder="1" applyAlignment="1">
      <alignment horizontal="center"/>
    </xf>
    <xf numFmtId="0" fontId="15" fillId="15" borderId="0" xfId="0" applyFont="1" applyFill="1"/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9" fillId="5" borderId="1" xfId="4" applyFont="1" applyBorder="1" applyAlignment="1">
      <alignment horizontal="left"/>
    </xf>
    <xf numFmtId="49" fontId="9" fillId="16" borderId="1" xfId="0" applyNumberFormat="1" applyFont="1" applyFill="1" applyBorder="1" applyAlignment="1">
      <alignment horizontal="left"/>
    </xf>
    <xf numFmtId="0" fontId="9" fillId="0" borderId="0" xfId="0" applyFont="1" applyAlignment="1">
      <alignment horizontal="left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2" fillId="17" borderId="1" xfId="0" applyNumberFormat="1" applyFont="1" applyFill="1" applyBorder="1" applyAlignment="1">
      <alignment horizontal="left"/>
    </xf>
    <xf numFmtId="0" fontId="9" fillId="18" borderId="5" xfId="0" applyFont="1" applyFill="1" applyBorder="1" applyAlignment="1">
      <alignment horizontal="center"/>
    </xf>
    <xf numFmtId="0" fontId="9" fillId="18" borderId="5" xfId="0" applyFont="1" applyFill="1" applyBorder="1"/>
    <xf numFmtId="14" fontId="9" fillId="18" borderId="5" xfId="0" applyNumberFormat="1" applyFont="1" applyFill="1" applyBorder="1" applyAlignment="1">
      <alignment horizontal="left"/>
    </xf>
    <xf numFmtId="49" fontId="9" fillId="18" borderId="5" xfId="0" applyNumberFormat="1" applyFont="1" applyFill="1" applyBorder="1" applyAlignment="1"/>
    <xf numFmtId="49" fontId="9" fillId="18" borderId="5" xfId="0" applyNumberFormat="1" applyFont="1" applyFill="1" applyBorder="1" applyAlignment="1">
      <alignment horizontal="left"/>
    </xf>
    <xf numFmtId="49" fontId="9" fillId="18" borderId="5" xfId="0" applyNumberFormat="1" applyFont="1" applyFill="1" applyBorder="1"/>
    <xf numFmtId="0" fontId="9" fillId="18" borderId="5" xfId="0" applyFont="1" applyFill="1" applyBorder="1" applyAlignment="1">
      <alignment horizontal="left"/>
    </xf>
    <xf numFmtId="0" fontId="9" fillId="18" borderId="0" xfId="0" applyFont="1" applyFill="1"/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0" fillId="0" borderId="1" xfId="0" applyFont="1" applyFill="1" applyBorder="1" applyAlignment="1">
      <alignment horizontal="center"/>
    </xf>
    <xf numFmtId="0" fontId="0" fillId="0" borderId="1" xfId="0" applyFont="1" applyFill="1" applyBorder="1"/>
    <xf numFmtId="49" fontId="0" fillId="0" borderId="1" xfId="0" applyNumberFormat="1" applyFont="1" applyFill="1" applyBorder="1" applyAlignment="1">
      <alignment horizontal="left"/>
    </xf>
    <xf numFmtId="49" fontId="0" fillId="0" borderId="1" xfId="0" applyNumberFormat="1" applyFont="1" applyFill="1" applyBorder="1"/>
    <xf numFmtId="0" fontId="0" fillId="0" borderId="1" xfId="0" applyFont="1" applyFill="1" applyBorder="1" applyAlignment="1">
      <alignment horizontal="left"/>
    </xf>
    <xf numFmtId="0" fontId="2" fillId="0" borderId="0" xfId="0" applyFont="1" applyAlignment="1">
      <alignment horizontal="center"/>
    </xf>
    <xf numFmtId="0" fontId="24" fillId="0" borderId="0" xfId="0" applyFont="1"/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left"/>
    </xf>
    <xf numFmtId="49" fontId="23" fillId="0" borderId="1" xfId="0" applyNumberFormat="1" applyFont="1" applyBorder="1"/>
    <xf numFmtId="49" fontId="1" fillId="0" borderId="1" xfId="0" applyNumberFormat="1" applyFont="1" applyBorder="1"/>
    <xf numFmtId="0" fontId="1" fillId="0" borderId="1" xfId="0" applyFont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0" borderId="1" xfId="0" applyFont="1" applyBorder="1" applyAlignment="1">
      <alignment horizontal="center"/>
    </xf>
    <xf numFmtId="0" fontId="25" fillId="17" borderId="1" xfId="0" applyFont="1" applyFill="1" applyBorder="1" applyAlignment="1">
      <alignment horizontal="center"/>
    </xf>
    <xf numFmtId="49" fontId="25" fillId="17" borderId="1" xfId="0" applyNumberFormat="1" applyFont="1" applyFill="1" applyBorder="1" applyAlignment="1">
      <alignment horizontal="center"/>
    </xf>
    <xf numFmtId="0" fontId="0" fillId="4" borderId="1" xfId="3" applyFont="1" applyBorder="1" applyAlignment="1">
      <alignment horizontal="center"/>
    </xf>
    <xf numFmtId="0" fontId="0" fillId="5" borderId="1" xfId="4" applyFont="1" applyBorder="1" applyAlignment="1">
      <alignment horizontal="center"/>
    </xf>
    <xf numFmtId="0" fontId="6" fillId="6" borderId="1" xfId="5" applyFont="1" applyBorder="1" applyAlignment="1">
      <alignment horizontal="center"/>
    </xf>
    <xf numFmtId="0" fontId="0" fillId="3" borderId="1" xfId="2" applyFont="1" applyBorder="1" applyAlignment="1">
      <alignment horizontal="center"/>
    </xf>
    <xf numFmtId="0" fontId="0" fillId="9" borderId="1" xfId="8" applyFont="1" applyBorder="1" applyAlignment="1">
      <alignment horizontal="center"/>
    </xf>
    <xf numFmtId="0" fontId="0" fillId="10" borderId="1" xfId="9" applyFont="1" applyBorder="1" applyAlignment="1">
      <alignment horizontal="center"/>
    </xf>
    <xf numFmtId="0" fontId="6" fillId="11" borderId="1" xfId="10" applyFont="1" applyBorder="1" applyAlignment="1">
      <alignment horizontal="center"/>
    </xf>
    <xf numFmtId="49" fontId="25" fillId="17" borderId="2" xfId="0" applyNumberFormat="1" applyFont="1" applyFill="1" applyBorder="1" applyAlignment="1">
      <alignment horizontal="left"/>
    </xf>
    <xf numFmtId="49" fontId="25" fillId="17" borderId="4" xfId="0" applyNumberFormat="1" applyFont="1" applyFill="1" applyBorder="1" applyAlignment="1">
      <alignment horizontal="center"/>
    </xf>
    <xf numFmtId="0" fontId="0" fillId="0" borderId="0" xfId="0" applyFont="1" applyAlignment="1">
      <alignment horizontal="center"/>
    </xf>
    <xf numFmtId="14" fontId="0" fillId="0" borderId="0" xfId="0" applyNumberFormat="1" applyFont="1" applyAlignment="1">
      <alignment horizontal="left"/>
    </xf>
    <xf numFmtId="49" fontId="26" fillId="0" borderId="0" xfId="0" applyNumberFormat="1" applyFont="1" applyBorder="1"/>
    <xf numFmtId="49" fontId="0" fillId="0" borderId="0" xfId="0" applyNumberFormat="1" applyFont="1"/>
    <xf numFmtId="49" fontId="0" fillId="0" borderId="0" xfId="0" applyNumberFormat="1"/>
    <xf numFmtId="0" fontId="1" fillId="0" borderId="1" xfId="0" applyFont="1" applyBorder="1" applyAlignment="1">
      <alignment horizontal="center"/>
    </xf>
    <xf numFmtId="0" fontId="0" fillId="0" borderId="0" xfId="0" applyFont="1" applyAlignment="1">
      <alignment horizontal="left"/>
    </xf>
    <xf numFmtId="0" fontId="0" fillId="0" borderId="0" xfId="0" applyFont="1" applyFill="1" applyAlignment="1">
      <alignment horizontal="center"/>
    </xf>
    <xf numFmtId="0" fontId="0" fillId="0" borderId="0" xfId="0" applyFont="1" applyFill="1"/>
    <xf numFmtId="49" fontId="0" fillId="0" borderId="0" xfId="0" applyNumberFormat="1" applyFont="1" applyFill="1" applyAlignment="1">
      <alignment horizontal="left"/>
    </xf>
    <xf numFmtId="49" fontId="0" fillId="0" borderId="0" xfId="0" applyNumberFormat="1" applyFont="1" applyFill="1"/>
    <xf numFmtId="49" fontId="0" fillId="0" borderId="0" xfId="0" applyNumberFormat="1" applyFont="1" applyFill="1" applyAlignment="1">
      <alignment horizontal="center"/>
    </xf>
    <xf numFmtId="0" fontId="0" fillId="0" borderId="1" xfId="0" applyBorder="1" applyAlignment="1">
      <alignment horizontal="left"/>
    </xf>
    <xf numFmtId="49" fontId="0" fillId="0" borderId="1" xfId="0" applyNumberFormat="1" applyBorder="1" applyAlignment="1">
      <alignment horizontal="center"/>
    </xf>
    <xf numFmtId="0" fontId="2" fillId="0" borderId="1" xfId="0" applyFont="1" applyBorder="1"/>
    <xf numFmtId="0" fontId="1" fillId="0" borderId="1" xfId="0" applyFont="1" applyBorder="1" applyAlignment="1">
      <alignment horizontal="left"/>
    </xf>
    <xf numFmtId="49" fontId="1" fillId="0" borderId="1" xfId="0" applyNumberFormat="1" applyFont="1" applyBorder="1" applyAlignment="1">
      <alignment horizontal="left"/>
    </xf>
    <xf numFmtId="49" fontId="0" fillId="0" borderId="1" xfId="0" applyNumberFormat="1" applyBorder="1"/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9" fillId="8" borderId="1" xfId="7" applyFont="1" applyBorder="1" applyAlignment="1">
      <alignment horizontal="center" vertical="center"/>
    </xf>
    <xf numFmtId="0" fontId="19" fillId="8" borderId="1" xfId="7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6" fillId="8" borderId="1" xfId="7" applyFont="1" applyBorder="1" applyAlignment="1">
      <alignment horizontal="center" vertical="center" wrapText="1"/>
    </xf>
    <xf numFmtId="0" fontId="6" fillId="8" borderId="1" xfId="7" applyFont="1" applyBorder="1" applyAlignment="1">
      <alignment horizontal="center" vertical="center"/>
    </xf>
    <xf numFmtId="0" fontId="5" fillId="2" borderId="1" xfId="1" applyFont="1" applyBorder="1" applyAlignment="1">
      <alignment horizontal="center"/>
    </xf>
    <xf numFmtId="0" fontId="6" fillId="7" borderId="1" xfId="6" applyFont="1" applyBorder="1" applyAlignment="1">
      <alignment horizontal="center"/>
    </xf>
    <xf numFmtId="14" fontId="0" fillId="0" borderId="1" xfId="0" applyNumberFormat="1" applyFont="1" applyFill="1" applyBorder="1" applyAlignment="1">
      <alignment horizontal="left"/>
    </xf>
    <xf numFmtId="0" fontId="9" fillId="16" borderId="1" xfId="0" applyFont="1" applyFill="1" applyBorder="1" applyAlignment="1">
      <alignment horizontal="left"/>
    </xf>
    <xf numFmtId="0" fontId="9" fillId="16" borderId="5" xfId="0" applyFont="1" applyFill="1" applyBorder="1" applyAlignment="1">
      <alignment horizontal="center"/>
    </xf>
    <xf numFmtId="0" fontId="9" fillId="16" borderId="5" xfId="0" applyFont="1" applyFill="1" applyBorder="1"/>
    <xf numFmtId="14" fontId="9" fillId="16" borderId="5" xfId="0" applyNumberFormat="1" applyFont="1" applyFill="1" applyBorder="1" applyAlignment="1">
      <alignment horizontal="left"/>
    </xf>
    <xf numFmtId="0" fontId="9" fillId="16" borderId="0" xfId="0" applyFont="1" applyFill="1" applyBorder="1"/>
    <xf numFmtId="49" fontId="9" fillId="16" borderId="1" xfId="0" applyNumberFormat="1" applyFont="1" applyFill="1" applyBorder="1" applyAlignment="1"/>
    <xf numFmtId="14" fontId="0" fillId="0" borderId="1" xfId="0" applyNumberFormat="1" applyBorder="1" applyAlignment="1">
      <alignment horizontal="left"/>
    </xf>
    <xf numFmtId="0" fontId="0" fillId="16" borderId="1" xfId="0" applyFill="1" applyBorder="1" applyAlignment="1">
      <alignment horizontal="center"/>
    </xf>
    <xf numFmtId="0" fontId="0" fillId="16" borderId="1" xfId="0" applyFill="1" applyBorder="1"/>
    <xf numFmtId="49" fontId="0" fillId="16" borderId="1" xfId="0" applyNumberFormat="1" applyFill="1" applyBorder="1"/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8"/>
  <sheetViews>
    <sheetView topLeftCell="F1" workbookViewId="0">
      <selection activeCell="H17" sqref="H17"/>
    </sheetView>
  </sheetViews>
  <sheetFormatPr defaultRowHeight="15.75" x14ac:dyDescent="0.25"/>
  <cols>
    <col min="1" max="1" width="5.7109375" style="52" customWidth="1"/>
    <col min="2" max="2" width="24.140625" style="17" customWidth="1"/>
    <col min="3" max="3" width="16.7109375" style="17" customWidth="1"/>
    <col min="4" max="4" width="17.7109375" style="17" customWidth="1"/>
    <col min="5" max="5" width="36.140625" style="17" customWidth="1"/>
    <col min="6" max="6" width="19.140625" style="17" customWidth="1"/>
    <col min="7" max="7" width="30.5703125" style="17" customWidth="1"/>
    <col min="8" max="8" width="22.28515625" style="189" customWidth="1"/>
    <col min="9" max="9" width="22.5703125" style="17" customWidth="1"/>
    <col min="10" max="10" width="19.7109375" style="17" customWidth="1"/>
    <col min="11" max="16384" width="9.140625" style="17"/>
  </cols>
  <sheetData>
    <row r="1" spans="1:22" x14ac:dyDescent="0.25">
      <c r="A1" s="124" t="s">
        <v>6</v>
      </c>
      <c r="B1" s="123" t="s">
        <v>5</v>
      </c>
      <c r="C1" s="123" t="s">
        <v>139</v>
      </c>
      <c r="D1" s="123" t="s">
        <v>140</v>
      </c>
      <c r="E1" s="123" t="s">
        <v>117</v>
      </c>
      <c r="F1" s="123" t="s">
        <v>141</v>
      </c>
      <c r="G1" s="123" t="s">
        <v>146</v>
      </c>
      <c r="H1" s="187" t="s">
        <v>142</v>
      </c>
      <c r="I1" s="123" t="s">
        <v>144</v>
      </c>
      <c r="J1" s="123" t="s">
        <v>208</v>
      </c>
    </row>
    <row r="2" spans="1:22" s="129" customFormat="1" x14ac:dyDescent="0.25">
      <c r="A2" s="126">
        <v>1</v>
      </c>
      <c r="B2" s="128" t="s">
        <v>108</v>
      </c>
      <c r="C2" s="128" t="s">
        <v>109</v>
      </c>
      <c r="D2" s="128" t="s">
        <v>110</v>
      </c>
      <c r="E2" s="128" t="s">
        <v>120</v>
      </c>
      <c r="F2" s="127" t="s">
        <v>79</v>
      </c>
      <c r="G2" s="127" t="s">
        <v>149</v>
      </c>
      <c r="H2" s="294" t="s">
        <v>143</v>
      </c>
      <c r="I2" s="127" t="s">
        <v>297</v>
      </c>
      <c r="J2" s="127"/>
    </row>
    <row r="3" spans="1:22" s="129" customFormat="1" ht="21" customHeight="1" x14ac:dyDescent="0.25">
      <c r="A3" s="126">
        <v>2</v>
      </c>
      <c r="B3" s="127" t="s">
        <v>63</v>
      </c>
      <c r="C3" s="128" t="s">
        <v>85</v>
      </c>
      <c r="D3" s="128" t="s">
        <v>86</v>
      </c>
      <c r="E3" s="128" t="s">
        <v>125</v>
      </c>
      <c r="F3" s="128" t="s">
        <v>89</v>
      </c>
      <c r="G3" s="128" t="s">
        <v>154</v>
      </c>
      <c r="H3" s="188" t="s">
        <v>171</v>
      </c>
      <c r="I3" s="128" t="s">
        <v>299</v>
      </c>
      <c r="J3" s="127" t="s">
        <v>209</v>
      </c>
    </row>
    <row r="4" spans="1:22" s="204" customFormat="1" x14ac:dyDescent="0.25">
      <c r="A4" s="197">
        <v>3</v>
      </c>
      <c r="B4" s="198" t="s">
        <v>225</v>
      </c>
      <c r="C4" s="199">
        <v>35560</v>
      </c>
      <c r="D4" s="200" t="s">
        <v>262</v>
      </c>
      <c r="E4" s="201" t="s">
        <v>261</v>
      </c>
      <c r="F4" s="201" t="s">
        <v>69</v>
      </c>
      <c r="G4" s="202" t="s">
        <v>174</v>
      </c>
      <c r="H4" s="203" t="s">
        <v>292</v>
      </c>
      <c r="I4" s="198" t="s">
        <v>293</v>
      </c>
      <c r="J4" s="198" t="s">
        <v>496</v>
      </c>
    </row>
    <row r="5" spans="1:22" s="296" customFormat="1" x14ac:dyDescent="0.25">
      <c r="A5" s="295">
        <v>4</v>
      </c>
      <c r="B5" s="296" t="s">
        <v>195</v>
      </c>
      <c r="F5" s="296" t="s">
        <v>294</v>
      </c>
      <c r="G5" s="296" t="s">
        <v>176</v>
      </c>
      <c r="H5" s="297" t="s">
        <v>296</v>
      </c>
      <c r="I5" s="297" t="s">
        <v>295</v>
      </c>
      <c r="K5" s="298"/>
      <c r="L5" s="298"/>
    </row>
    <row r="6" spans="1:22" s="127" customFormat="1" x14ac:dyDescent="0.25">
      <c r="A6" s="126">
        <v>5</v>
      </c>
      <c r="B6" s="127" t="s">
        <v>210</v>
      </c>
      <c r="C6" s="294" t="s">
        <v>287</v>
      </c>
      <c r="D6" s="299" t="s">
        <v>288</v>
      </c>
      <c r="E6" s="127" t="s">
        <v>289</v>
      </c>
      <c r="G6" s="127" t="s">
        <v>300</v>
      </c>
      <c r="H6" s="294" t="s">
        <v>292</v>
      </c>
      <c r="I6" s="127" t="s">
        <v>298</v>
      </c>
    </row>
    <row r="7" spans="1:22" s="213" customFormat="1" ht="15" x14ac:dyDescent="0.25">
      <c r="A7" s="212">
        <v>1</v>
      </c>
      <c r="B7" s="213" t="s">
        <v>188</v>
      </c>
      <c r="C7" s="214" t="s">
        <v>256</v>
      </c>
      <c r="D7" s="215" t="s">
        <v>189</v>
      </c>
      <c r="E7" s="215" t="s">
        <v>257</v>
      </c>
      <c r="F7" s="214" t="s">
        <v>89</v>
      </c>
      <c r="G7" s="213" t="s">
        <v>493</v>
      </c>
      <c r="H7" s="216" t="s">
        <v>494</v>
      </c>
      <c r="I7" s="213" t="s">
        <v>495</v>
      </c>
    </row>
    <row r="8" spans="1:22" customFormat="1" ht="15" x14ac:dyDescent="0.25">
      <c r="A8" s="19">
        <v>1</v>
      </c>
      <c r="B8" s="22" t="s">
        <v>520</v>
      </c>
      <c r="C8" s="22"/>
      <c r="D8" s="258" t="s">
        <v>519</v>
      </c>
      <c r="E8" s="22"/>
      <c r="F8" s="22"/>
      <c r="G8" s="22" t="s">
        <v>521</v>
      </c>
      <c r="H8" s="293">
        <v>43437</v>
      </c>
      <c r="I8" s="300">
        <v>43443</v>
      </c>
      <c r="J8" s="22"/>
      <c r="K8" s="19">
        <v>4</v>
      </c>
      <c r="L8" s="19">
        <v>11</v>
      </c>
      <c r="M8" s="19">
        <v>4</v>
      </c>
      <c r="N8" s="19">
        <v>8</v>
      </c>
      <c r="O8" s="19">
        <v>15</v>
      </c>
      <c r="P8" s="19">
        <v>4</v>
      </c>
      <c r="Q8" s="19">
        <v>13</v>
      </c>
      <c r="R8" s="19">
        <f>SUM(K8:N8)</f>
        <v>27</v>
      </c>
      <c r="S8" s="19">
        <f>SUM(O8:Q8)</f>
        <v>32</v>
      </c>
      <c r="T8" s="19">
        <v>115</v>
      </c>
      <c r="U8" s="19">
        <v>100</v>
      </c>
      <c r="V8" s="19">
        <f>T8+U8</f>
        <v>215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1" customWidth="1"/>
    <col min="5" max="5" width="22.28515625" style="67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0"/>
      <c r="E1" s="66"/>
      <c r="F1" s="38"/>
      <c r="G1" s="38"/>
    </row>
    <row r="2" spans="1:8" ht="18.75" x14ac:dyDescent="0.3">
      <c r="A2" s="259" t="s">
        <v>165</v>
      </c>
      <c r="B2" s="259"/>
      <c r="C2" s="259"/>
      <c r="D2" s="259"/>
      <c r="E2" s="259"/>
      <c r="F2" s="259"/>
      <c r="G2" s="38"/>
    </row>
    <row r="3" spans="1:8" x14ac:dyDescent="0.25">
      <c r="B3" s="69" t="s">
        <v>166</v>
      </c>
      <c r="C3" s="70">
        <f ca="1">MONTH(TODAY())</f>
        <v>3</v>
      </c>
      <c r="D3" s="80"/>
      <c r="E3" s="67" t="s">
        <v>167</v>
      </c>
      <c r="G3" t="s">
        <v>227</v>
      </c>
      <c r="H3" s="71">
        <f ca="1">TODAY()</f>
        <v>43165</v>
      </c>
    </row>
    <row r="5" spans="1:8" ht="17.25" x14ac:dyDescent="0.3">
      <c r="A5" s="82" t="s">
        <v>6</v>
      </c>
      <c r="B5" s="82" t="s">
        <v>5</v>
      </c>
      <c r="C5" s="82" t="s">
        <v>163</v>
      </c>
      <c r="D5" s="83" t="s">
        <v>139</v>
      </c>
      <c r="E5" s="84" t="s">
        <v>164</v>
      </c>
      <c r="F5" s="82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8">
        <v>34475</v>
      </c>
      <c r="E6" s="68">
        <f ca="1">IF(D6="","",DATE(YEAR(TODAY()),MONTH(D6),DAY(D6)))</f>
        <v>43241</v>
      </c>
      <c r="F6" s="39" t="str">
        <f ca="1">IF(D6="","", IF(TODAY()&gt;E6, "Đã xong", IF(TODAY()+7&gt;=E6, "Chuẩn bị tổ chức", IF(MONTH(D6)=$C$3, "Trong tháng có SN",""))))</f>
        <v/>
      </c>
    </row>
    <row r="7" spans="1:8" ht="17.25" x14ac:dyDescent="0.3">
      <c r="A7" s="39">
        <v>2</v>
      </c>
      <c r="B7" s="39" t="s">
        <v>54</v>
      </c>
      <c r="C7" s="39" t="s">
        <v>154</v>
      </c>
      <c r="D7" s="68">
        <v>34387</v>
      </c>
      <c r="E7" s="68">
        <f t="shared" ref="E7:E21" ca="1" si="0">IF(D7="","",DATE(YEAR(TODAY()),MONTH(D7),DAY(D7)))</f>
        <v>43153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8">
        <v>34131</v>
      </c>
      <c r="E8" s="68">
        <f t="shared" ca="1" si="0"/>
        <v>43262</v>
      </c>
      <c r="F8" s="39" t="str">
        <f t="shared" ca="1" si="1"/>
        <v/>
      </c>
    </row>
    <row r="9" spans="1:8" ht="17.25" x14ac:dyDescent="0.3">
      <c r="A9" s="78">
        <v>4</v>
      </c>
      <c r="B9" s="78" t="s">
        <v>59</v>
      </c>
      <c r="C9" s="78" t="s">
        <v>154</v>
      </c>
      <c r="D9" s="79">
        <v>34926</v>
      </c>
      <c r="E9" s="68">
        <f t="shared" ca="1" si="0"/>
        <v>43327</v>
      </c>
      <c r="F9" s="39" t="str">
        <f t="shared" ca="1" si="1"/>
        <v/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8">
        <v>35546</v>
      </c>
      <c r="E10" s="68">
        <f ca="1">IF(D10="","",DATE(YEAR(TODAY()),MONTH(D10),DAY(D10)))</f>
        <v>43216</v>
      </c>
      <c r="F10" s="39" t="str">
        <f t="shared" ca="1" si="1"/>
        <v/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8">
        <v>32300</v>
      </c>
      <c r="E11" s="68">
        <f t="shared" ca="1" si="0"/>
        <v>43257</v>
      </c>
      <c r="F11" s="39" t="str">
        <f t="shared" ca="1" si="1"/>
        <v/>
      </c>
      <c r="G11" s="72"/>
    </row>
    <row r="12" spans="1:8" ht="17.25" x14ac:dyDescent="0.3">
      <c r="A12" s="39">
        <v>7</v>
      </c>
      <c r="B12" s="39" t="s">
        <v>63</v>
      </c>
      <c r="C12" s="39" t="s">
        <v>154</v>
      </c>
      <c r="D12" s="68">
        <v>35748</v>
      </c>
      <c r="E12" s="68">
        <f t="shared" ca="1" si="0"/>
        <v>43418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8">
        <v>35756</v>
      </c>
      <c r="E13" s="68">
        <f t="shared" ca="1" si="0"/>
        <v>43426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8">
        <v>35443</v>
      </c>
      <c r="E14" s="68">
        <f t="shared" ca="1" si="0"/>
        <v>43113</v>
      </c>
      <c r="F14" s="39" t="str">
        <f t="shared" ca="1" si="1"/>
        <v>Đã xong</v>
      </c>
    </row>
    <row r="15" spans="1:8" ht="18" thickBot="1" x14ac:dyDescent="0.35">
      <c r="A15" s="93">
        <v>10</v>
      </c>
      <c r="B15" s="93" t="s">
        <v>135</v>
      </c>
      <c r="C15" s="93" t="s">
        <v>154</v>
      </c>
      <c r="D15" s="94">
        <v>35414</v>
      </c>
      <c r="E15" s="94">
        <f t="shared" ca="1" si="0"/>
        <v>43449</v>
      </c>
      <c r="F15" s="93" t="str">
        <f t="shared" ca="1" si="1"/>
        <v/>
      </c>
    </row>
    <row r="16" spans="1:8" ht="18" thickTop="1" x14ac:dyDescent="0.3">
      <c r="A16" s="88">
        <v>11</v>
      </c>
      <c r="B16" s="88" t="s">
        <v>111</v>
      </c>
      <c r="C16" s="88" t="s">
        <v>149</v>
      </c>
      <c r="D16" s="89">
        <v>35096</v>
      </c>
      <c r="E16" s="89">
        <f t="shared" ca="1" si="0"/>
        <v>43132</v>
      </c>
      <c r="F16" s="88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8">
        <v>34737</v>
      </c>
      <c r="E17" s="68">
        <f t="shared" ca="1" si="0"/>
        <v>43138</v>
      </c>
      <c r="F17" s="39" t="str">
        <f t="shared" ca="1" si="1"/>
        <v>Đã xong</v>
      </c>
    </row>
    <row r="18" spans="1:6" ht="17.25" x14ac:dyDescent="0.3">
      <c r="A18" s="78">
        <v>13</v>
      </c>
      <c r="B18" s="78" t="s">
        <v>58</v>
      </c>
      <c r="C18" s="78" t="s">
        <v>149</v>
      </c>
      <c r="D18" s="79">
        <v>35318</v>
      </c>
      <c r="E18" s="68">
        <f t="shared" ca="1" si="0"/>
        <v>43353</v>
      </c>
      <c r="F18" s="39" t="str">
        <f t="shared" ca="1" si="1"/>
        <v/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8">
        <v>34700</v>
      </c>
      <c r="E19" s="68">
        <f t="shared" ca="1" si="0"/>
        <v>43101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8">
        <v>35409</v>
      </c>
      <c r="E20" s="68">
        <f ca="1">IF(D20="","",DATE(YEAR(TODAY()),MONTH(D20),DAY(D20)))</f>
        <v>43444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8">
        <v>35248</v>
      </c>
      <c r="E21" s="68">
        <f t="shared" ca="1" si="0"/>
        <v>43283</v>
      </c>
      <c r="F21" s="39" t="str">
        <f t="shared" ca="1" si="1"/>
        <v/>
      </c>
    </row>
    <row r="22" spans="1:6" ht="18" thickBot="1" x14ac:dyDescent="0.35">
      <c r="A22" s="93">
        <v>17</v>
      </c>
      <c r="B22" s="95" t="s">
        <v>113</v>
      </c>
      <c r="C22" s="93" t="s">
        <v>149</v>
      </c>
      <c r="D22" s="94">
        <v>35166</v>
      </c>
      <c r="E22" s="94">
        <f ca="1">IF(D22="","",DATE(YEAR(TODAY()),MONTH(D22),DAY(D22)))</f>
        <v>43201</v>
      </c>
      <c r="F22" s="93" t="str">
        <f t="shared" ca="1" si="1"/>
        <v/>
      </c>
    </row>
    <row r="23" spans="1:6" ht="18" thickTop="1" x14ac:dyDescent="0.3">
      <c r="A23" s="90">
        <v>18</v>
      </c>
      <c r="B23" s="88" t="s">
        <v>172</v>
      </c>
      <c r="C23" s="90" t="s">
        <v>174</v>
      </c>
      <c r="D23" s="91">
        <v>35376</v>
      </c>
      <c r="E23" s="89">
        <f t="shared" ref="E23:E24" ca="1" si="2">IF(D23="","",DATE(YEAR(TODAY()),MONTH(D23),DAY(D23)))</f>
        <v>43411</v>
      </c>
      <c r="F23" s="88" t="str">
        <f t="shared" ca="1" si="1"/>
        <v/>
      </c>
    </row>
    <row r="24" spans="1:6" ht="17.25" x14ac:dyDescent="0.3">
      <c r="A24" s="78">
        <v>19</v>
      </c>
      <c r="B24" s="39" t="s">
        <v>185</v>
      </c>
      <c r="C24" s="78" t="s">
        <v>174</v>
      </c>
      <c r="D24" s="85">
        <v>34341</v>
      </c>
      <c r="E24" s="68">
        <f t="shared" ca="1" si="2"/>
        <v>43107</v>
      </c>
      <c r="F24" s="39" t="str">
        <f t="shared" ca="1" si="1"/>
        <v>Đã xong</v>
      </c>
    </row>
    <row r="25" spans="1:6" ht="17.25" x14ac:dyDescent="0.3">
      <c r="A25" s="78">
        <v>20</v>
      </c>
      <c r="B25" s="39" t="s">
        <v>188</v>
      </c>
      <c r="C25" s="78" t="s">
        <v>174</v>
      </c>
      <c r="D25" s="85">
        <v>34728</v>
      </c>
      <c r="E25" s="68">
        <f ca="1">IF(D25="","",DATE(YEAR(TODAY()),MONTH(D25),DAY(D25)))</f>
        <v>43129</v>
      </c>
      <c r="F25" s="39" t="str">
        <f t="shared" ca="1" si="1"/>
        <v>Đã xong</v>
      </c>
    </row>
    <row r="26" spans="1:6" ht="17.25" x14ac:dyDescent="0.3">
      <c r="A26" s="78">
        <v>21</v>
      </c>
      <c r="B26" s="39" t="s">
        <v>190</v>
      </c>
      <c r="C26" s="78" t="s">
        <v>174</v>
      </c>
      <c r="D26" s="85">
        <v>35786</v>
      </c>
      <c r="E26" s="68">
        <f t="shared" ref="E26:E49" ca="1" si="3">IF(D26="","",DATE(YEAR(TODAY()),MONTH(D26),DAY(D26)))</f>
        <v>43456</v>
      </c>
      <c r="F26" s="39" t="str">
        <f t="shared" ca="1" si="1"/>
        <v/>
      </c>
    </row>
    <row r="27" spans="1:6" ht="17.25" x14ac:dyDescent="0.3">
      <c r="A27" s="78">
        <v>22</v>
      </c>
      <c r="B27" s="39" t="s">
        <v>192</v>
      </c>
      <c r="C27" s="78" t="s">
        <v>174</v>
      </c>
      <c r="D27" s="85">
        <v>35342</v>
      </c>
      <c r="E27" s="68">
        <f t="shared" ca="1" si="3"/>
        <v>43377</v>
      </c>
      <c r="F27" s="39" t="str">
        <f t="shared" ca="1" si="1"/>
        <v/>
      </c>
    </row>
    <row r="28" spans="1:6" ht="17.25" x14ac:dyDescent="0.3">
      <c r="A28" s="78">
        <v>23</v>
      </c>
      <c r="B28" s="39" t="s">
        <v>198</v>
      </c>
      <c r="C28" s="78" t="s">
        <v>174</v>
      </c>
      <c r="D28" s="85">
        <v>35695</v>
      </c>
      <c r="E28" s="68">
        <f t="shared" ca="1" si="3"/>
        <v>43365</v>
      </c>
      <c r="F28" s="39" t="str">
        <f t="shared" ca="1" si="1"/>
        <v/>
      </c>
    </row>
    <row r="29" spans="1:6" ht="17.25" x14ac:dyDescent="0.3">
      <c r="A29" s="78">
        <v>24</v>
      </c>
      <c r="B29" s="39" t="s">
        <v>202</v>
      </c>
      <c r="C29" s="78" t="s">
        <v>174</v>
      </c>
      <c r="D29" s="85">
        <v>34851</v>
      </c>
      <c r="E29" s="68">
        <f t="shared" ca="1" si="3"/>
        <v>43252</v>
      </c>
      <c r="F29" s="39" t="str">
        <f t="shared" ca="1" si="1"/>
        <v/>
      </c>
    </row>
    <row r="30" spans="1:6" ht="17.25" x14ac:dyDescent="0.3">
      <c r="A30" s="78">
        <v>25</v>
      </c>
      <c r="B30" s="39" t="s">
        <v>203</v>
      </c>
      <c r="C30" s="78" t="s">
        <v>174</v>
      </c>
      <c r="D30" s="85">
        <v>35353</v>
      </c>
      <c r="E30" s="68">
        <f t="shared" ca="1" si="3"/>
        <v>43388</v>
      </c>
      <c r="F30" s="39" t="str">
        <f t="shared" ca="1" si="1"/>
        <v/>
      </c>
    </row>
    <row r="31" spans="1:6" ht="17.25" x14ac:dyDescent="0.3">
      <c r="A31" s="78">
        <v>26</v>
      </c>
      <c r="B31" s="39" t="s">
        <v>205</v>
      </c>
      <c r="C31" s="78" t="s">
        <v>174</v>
      </c>
      <c r="D31" s="85">
        <v>35486</v>
      </c>
      <c r="E31" s="68">
        <f t="shared" ca="1" si="3"/>
        <v>43156</v>
      </c>
      <c r="F31" s="39" t="str">
        <f t="shared" ca="1" si="1"/>
        <v>Đã xong</v>
      </c>
    </row>
    <row r="32" spans="1:6" ht="17.25" x14ac:dyDescent="0.3">
      <c r="A32" s="78">
        <v>27</v>
      </c>
      <c r="B32" s="39" t="s">
        <v>206</v>
      </c>
      <c r="C32" s="78" t="s">
        <v>174</v>
      </c>
      <c r="D32" s="85">
        <v>36260</v>
      </c>
      <c r="E32" s="68">
        <f t="shared" ca="1" si="3"/>
        <v>43200</v>
      </c>
      <c r="F32" s="39" t="str">
        <f t="shared" ca="1" si="1"/>
        <v/>
      </c>
    </row>
    <row r="33" spans="1:6" ht="17.25" x14ac:dyDescent="0.3">
      <c r="A33" s="78">
        <v>28</v>
      </c>
      <c r="B33" s="39" t="s">
        <v>207</v>
      </c>
      <c r="C33" s="78" t="s">
        <v>174</v>
      </c>
      <c r="D33" s="85">
        <v>35883</v>
      </c>
      <c r="E33" s="68">
        <f t="shared" ca="1" si="3"/>
        <v>43188</v>
      </c>
      <c r="F33" s="39" t="str">
        <f t="shared" ca="1" si="1"/>
        <v>Trong tháng có SN</v>
      </c>
    </row>
    <row r="34" spans="1:6" ht="17.25" x14ac:dyDescent="0.3">
      <c r="A34" s="78">
        <v>29</v>
      </c>
      <c r="B34" s="86" t="s">
        <v>63</v>
      </c>
      <c r="C34" s="78" t="s">
        <v>174</v>
      </c>
      <c r="D34" s="87">
        <v>35748</v>
      </c>
      <c r="E34" s="68">
        <f t="shared" ca="1" si="3"/>
        <v>43418</v>
      </c>
      <c r="F34" s="39" t="str">
        <f t="shared" ca="1" si="1"/>
        <v/>
      </c>
    </row>
    <row r="35" spans="1:6" ht="17.25" x14ac:dyDescent="0.3">
      <c r="A35" s="78">
        <v>30</v>
      </c>
      <c r="B35" s="39" t="s">
        <v>210</v>
      </c>
      <c r="C35" s="78" t="s">
        <v>174</v>
      </c>
      <c r="D35" s="85">
        <v>34359</v>
      </c>
      <c r="E35" s="68">
        <f t="shared" ca="1" si="3"/>
        <v>43125</v>
      </c>
      <c r="F35" s="39" t="str">
        <f t="shared" ca="1" si="1"/>
        <v>Đã xong</v>
      </c>
    </row>
    <row r="36" spans="1:6" ht="17.25" x14ac:dyDescent="0.3">
      <c r="A36" s="78">
        <v>31</v>
      </c>
      <c r="B36" s="39" t="s">
        <v>220</v>
      </c>
      <c r="C36" s="78" t="s">
        <v>174</v>
      </c>
      <c r="D36" s="85">
        <v>34989</v>
      </c>
      <c r="E36" s="68">
        <f t="shared" ca="1" si="3"/>
        <v>43390</v>
      </c>
      <c r="F36" s="39" t="str">
        <f t="shared" ca="1" si="1"/>
        <v/>
      </c>
    </row>
    <row r="37" spans="1:6" ht="17.25" x14ac:dyDescent="0.3">
      <c r="A37" s="78">
        <v>32</v>
      </c>
      <c r="B37" s="39" t="s">
        <v>222</v>
      </c>
      <c r="C37" s="78" t="s">
        <v>174</v>
      </c>
      <c r="D37" s="85">
        <v>36367</v>
      </c>
      <c r="E37" s="68">
        <f t="shared" ca="1" si="3"/>
        <v>43307</v>
      </c>
      <c r="F37" s="39" t="str">
        <f t="shared" ca="1" si="1"/>
        <v/>
      </c>
    </row>
    <row r="38" spans="1:6" ht="17.25" x14ac:dyDescent="0.3">
      <c r="A38" s="78">
        <v>33</v>
      </c>
      <c r="B38" s="39" t="s">
        <v>225</v>
      </c>
      <c r="C38" s="78" t="s">
        <v>174</v>
      </c>
      <c r="D38" s="85">
        <v>35708</v>
      </c>
      <c r="E38" s="68">
        <f t="shared" ca="1" si="3"/>
        <v>43378</v>
      </c>
      <c r="F38" s="39" t="str">
        <f t="shared" ca="1" si="1"/>
        <v/>
      </c>
    </row>
    <row r="39" spans="1:6" ht="17.25" x14ac:dyDescent="0.3">
      <c r="A39" s="78">
        <v>34</v>
      </c>
      <c r="B39" s="39" t="s">
        <v>226</v>
      </c>
      <c r="C39" s="78" t="s">
        <v>174</v>
      </c>
      <c r="D39" s="85">
        <v>35386</v>
      </c>
      <c r="E39" s="68">
        <f t="shared" ca="1" si="3"/>
        <v>43421</v>
      </c>
      <c r="F39" s="39" t="str">
        <f t="shared" ca="1" si="1"/>
        <v/>
      </c>
    </row>
    <row r="40" spans="1:6" ht="17.25" x14ac:dyDescent="0.3">
      <c r="A40" s="78">
        <v>35</v>
      </c>
      <c r="B40" s="39" t="s">
        <v>228</v>
      </c>
      <c r="C40" s="78" t="s">
        <v>174</v>
      </c>
      <c r="D40" s="85">
        <v>34581</v>
      </c>
      <c r="E40" s="110">
        <f t="shared" ca="1" si="3"/>
        <v>43347</v>
      </c>
      <c r="F40" s="39" t="str">
        <f t="shared" ca="1" si="1"/>
        <v/>
      </c>
    </row>
    <row r="41" spans="1:6" ht="18" thickBot="1" x14ac:dyDescent="0.35">
      <c r="A41" s="92">
        <v>36</v>
      </c>
      <c r="B41" s="93" t="s">
        <v>247</v>
      </c>
      <c r="C41" s="92" t="s">
        <v>174</v>
      </c>
      <c r="D41" s="112">
        <v>35400</v>
      </c>
      <c r="E41" s="111">
        <f t="shared" ca="1" si="3"/>
        <v>43435</v>
      </c>
      <c r="F41" s="93" t="str">
        <f t="shared" ca="1" si="1"/>
        <v/>
      </c>
    </row>
    <row r="42" spans="1:6" ht="18" thickTop="1" x14ac:dyDescent="0.3">
      <c r="A42" s="97">
        <v>37</v>
      </c>
      <c r="B42" s="104" t="s">
        <v>193</v>
      </c>
      <c r="C42" s="105" t="s">
        <v>176</v>
      </c>
      <c r="D42" s="106"/>
      <c r="E42" s="113" t="str">
        <f t="shared" ca="1" si="3"/>
        <v/>
      </c>
      <c r="F42" s="88" t="str">
        <f t="shared" ca="1" si="1"/>
        <v/>
      </c>
    </row>
    <row r="43" spans="1:6" ht="17.25" x14ac:dyDescent="0.3">
      <c r="A43" s="97">
        <v>38</v>
      </c>
      <c r="B43" s="101" t="s">
        <v>195</v>
      </c>
      <c r="C43" s="102" t="s">
        <v>176</v>
      </c>
      <c r="D43" s="103"/>
      <c r="E43" s="103" t="str">
        <f t="shared" ca="1" si="3"/>
        <v/>
      </c>
      <c r="F43" s="39" t="str">
        <f t="shared" ca="1" si="1"/>
        <v/>
      </c>
    </row>
    <row r="44" spans="1:6" ht="17.25" x14ac:dyDescent="0.3">
      <c r="A44" s="98">
        <v>39</v>
      </c>
      <c r="B44" s="101" t="s">
        <v>196</v>
      </c>
      <c r="C44" s="102" t="s">
        <v>176</v>
      </c>
      <c r="D44" s="103">
        <v>34836</v>
      </c>
      <c r="E44" s="103">
        <f t="shared" ca="1" si="3"/>
        <v>43237</v>
      </c>
      <c r="F44" s="39" t="str">
        <f t="shared" ca="1" si="1"/>
        <v/>
      </c>
    </row>
    <row r="45" spans="1:6" ht="17.25" x14ac:dyDescent="0.3">
      <c r="A45" s="96">
        <v>40</v>
      </c>
      <c r="B45" s="101" t="s">
        <v>200</v>
      </c>
      <c r="C45" s="102" t="s">
        <v>176</v>
      </c>
      <c r="D45" s="103">
        <v>35318</v>
      </c>
      <c r="E45" s="103">
        <f t="shared" ca="1" si="3"/>
        <v>43353</v>
      </c>
      <c r="F45" s="39" t="str">
        <f t="shared" ca="1" si="1"/>
        <v/>
      </c>
    </row>
    <row r="46" spans="1:6" ht="17.25" x14ac:dyDescent="0.3">
      <c r="A46" s="99">
        <v>41</v>
      </c>
      <c r="B46" s="101" t="s">
        <v>229</v>
      </c>
      <c r="C46" s="102" t="s">
        <v>176</v>
      </c>
      <c r="D46" s="103">
        <v>34841</v>
      </c>
      <c r="E46" s="103">
        <f t="shared" ca="1" si="3"/>
        <v>43242</v>
      </c>
      <c r="F46" s="39" t="str">
        <f t="shared" ca="1" si="1"/>
        <v/>
      </c>
    </row>
    <row r="47" spans="1:6" ht="17.25" x14ac:dyDescent="0.3">
      <c r="A47" s="97">
        <v>42</v>
      </c>
      <c r="B47" s="101" t="s">
        <v>230</v>
      </c>
      <c r="C47" s="102" t="s">
        <v>176</v>
      </c>
      <c r="D47" s="103">
        <v>35146</v>
      </c>
      <c r="E47" s="103">
        <f t="shared" ca="1" si="3"/>
        <v>43181</v>
      </c>
      <c r="F47" s="39" t="str">
        <f t="shared" ca="1" si="1"/>
        <v>Trong tháng có SN</v>
      </c>
    </row>
    <row r="48" spans="1:6" ht="17.25" x14ac:dyDescent="0.3">
      <c r="A48" s="97">
        <v>43</v>
      </c>
      <c r="B48" s="102" t="s">
        <v>231</v>
      </c>
      <c r="C48" s="102" t="s">
        <v>176</v>
      </c>
      <c r="D48" s="103">
        <v>35694</v>
      </c>
      <c r="E48" s="103">
        <f t="shared" ca="1" si="3"/>
        <v>43364</v>
      </c>
      <c r="F48" s="39" t="str">
        <f t="shared" ca="1" si="1"/>
        <v/>
      </c>
    </row>
    <row r="49" spans="1:6" ht="18" thickBot="1" x14ac:dyDescent="0.35">
      <c r="A49" s="100">
        <v>44</v>
      </c>
      <c r="B49" s="107" t="s">
        <v>232</v>
      </c>
      <c r="C49" s="108" t="s">
        <v>176</v>
      </c>
      <c r="D49" s="109"/>
      <c r="E49" s="111" t="str">
        <f t="shared" ca="1" si="3"/>
        <v/>
      </c>
      <c r="F49" s="93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80" customWidth="1"/>
  </cols>
  <sheetData>
    <row r="1" spans="1:21" ht="26.25" x14ac:dyDescent="0.4">
      <c r="B1" s="5" t="s">
        <v>51</v>
      </c>
    </row>
    <row r="2" spans="1:21" ht="15.75" x14ac:dyDescent="0.25">
      <c r="J2" s="261" t="s">
        <v>7</v>
      </c>
      <c r="K2" s="261"/>
      <c r="L2" s="261"/>
      <c r="M2" s="261"/>
      <c r="N2" s="262" t="s">
        <v>8</v>
      </c>
      <c r="O2" s="262"/>
      <c r="P2" s="262"/>
      <c r="Q2" s="263" t="s">
        <v>9</v>
      </c>
      <c r="R2" s="263" t="s">
        <v>10</v>
      </c>
      <c r="S2" s="263" t="s">
        <v>11</v>
      </c>
      <c r="T2" s="263" t="s">
        <v>12</v>
      </c>
      <c r="U2" s="260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63"/>
      <c r="R3" s="263"/>
      <c r="S3" s="263"/>
      <c r="T3" s="263"/>
      <c r="U3" s="260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81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81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81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81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81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81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81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71" t="s">
        <v>6</v>
      </c>
      <c r="B3" s="271" t="s">
        <v>5</v>
      </c>
      <c r="C3" s="24"/>
      <c r="D3" s="24"/>
      <c r="E3" s="24"/>
      <c r="F3" s="24"/>
      <c r="G3" s="273"/>
      <c r="H3" s="273"/>
      <c r="I3" s="273"/>
      <c r="J3" s="270"/>
      <c r="K3" s="265"/>
      <c r="L3" s="266"/>
      <c r="M3" s="270"/>
      <c r="N3" s="265"/>
      <c r="O3" s="266"/>
      <c r="P3" s="270"/>
      <c r="Q3" s="265"/>
      <c r="R3" s="266"/>
      <c r="S3" s="270"/>
      <c r="T3" s="265"/>
      <c r="U3" s="266"/>
      <c r="V3" s="270"/>
      <c r="W3" s="265"/>
      <c r="X3" s="266"/>
      <c r="Y3" s="270"/>
      <c r="Z3" s="265"/>
      <c r="AA3" s="266"/>
      <c r="AB3" s="270"/>
      <c r="AC3" s="265"/>
      <c r="AD3" s="266"/>
      <c r="AE3" s="270"/>
      <c r="AF3" s="265"/>
      <c r="AG3" s="266"/>
      <c r="AH3" s="270"/>
      <c r="AI3" s="265"/>
      <c r="AJ3" s="266"/>
      <c r="AK3" s="270"/>
      <c r="AL3" s="265"/>
      <c r="AM3" s="266"/>
      <c r="AN3" s="270"/>
      <c r="AO3" s="265"/>
      <c r="AP3" s="266"/>
      <c r="AQ3" s="270"/>
      <c r="AR3" s="265"/>
      <c r="AS3" s="266"/>
      <c r="AT3" s="270"/>
      <c r="AU3" s="265"/>
      <c r="AV3" s="266"/>
      <c r="AW3" s="270"/>
      <c r="AX3" s="265"/>
      <c r="AY3" s="266"/>
      <c r="AZ3" s="270"/>
      <c r="BA3" s="265"/>
      <c r="BB3" s="266"/>
      <c r="BC3" s="267" t="s">
        <v>116</v>
      </c>
      <c r="BD3" s="268"/>
      <c r="BE3" s="269"/>
      <c r="BF3" s="264">
        <v>42930</v>
      </c>
      <c r="BG3" s="265"/>
      <c r="BH3" s="266"/>
      <c r="BI3" s="270" t="s">
        <v>147</v>
      </c>
      <c r="BJ3" s="265"/>
      <c r="BK3" s="266"/>
      <c r="BL3" s="270" t="s">
        <v>148</v>
      </c>
      <c r="BM3" s="265"/>
      <c r="BN3" s="266"/>
      <c r="BO3" s="270" t="s">
        <v>170</v>
      </c>
      <c r="BP3" s="265"/>
      <c r="BQ3" s="266"/>
      <c r="BR3" s="264">
        <v>42940</v>
      </c>
      <c r="BS3" s="265"/>
      <c r="BT3" s="266"/>
      <c r="BU3" s="264">
        <v>42942</v>
      </c>
      <c r="BV3" s="265"/>
      <c r="BW3" s="266"/>
      <c r="BX3" s="264">
        <v>42944</v>
      </c>
      <c r="BY3" s="265"/>
      <c r="BZ3" s="266"/>
      <c r="CA3" s="264">
        <v>42947</v>
      </c>
      <c r="CB3" s="265"/>
      <c r="CC3" s="266"/>
      <c r="CD3" s="26"/>
    </row>
    <row r="4" spans="1:82" s="17" customFormat="1" ht="21" customHeight="1" x14ac:dyDescent="0.25">
      <c r="A4" s="272"/>
      <c r="B4" s="272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3" t="s">
        <v>0</v>
      </c>
      <c r="CB5" s="53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3" t="s">
        <v>0</v>
      </c>
      <c r="CB6" s="53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3" t="s">
        <v>0</v>
      </c>
      <c r="CB7" s="53" t="s">
        <v>0</v>
      </c>
      <c r="CC7" s="53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3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3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3" t="s">
        <v>0</v>
      </c>
      <c r="CB10" s="53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3" t="s">
        <v>0</v>
      </c>
      <c r="CB12" s="53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3" t="s">
        <v>0</v>
      </c>
      <c r="CB13" s="53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3" t="s">
        <v>0</v>
      </c>
      <c r="CB14" s="53" t="s">
        <v>0</v>
      </c>
      <c r="CC14" s="53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80" customWidth="1"/>
  </cols>
  <sheetData>
    <row r="1" spans="1:21" ht="26.25" x14ac:dyDescent="0.4">
      <c r="B1" s="5" t="s">
        <v>326</v>
      </c>
    </row>
    <row r="2" spans="1:21" ht="15.75" x14ac:dyDescent="0.25">
      <c r="J2" s="261" t="s">
        <v>7</v>
      </c>
      <c r="K2" s="261"/>
      <c r="L2" s="261"/>
      <c r="M2" s="261"/>
      <c r="N2" s="262" t="s">
        <v>8</v>
      </c>
      <c r="O2" s="262"/>
      <c r="P2" s="262"/>
      <c r="Q2" s="263" t="s">
        <v>9</v>
      </c>
      <c r="R2" s="263" t="s">
        <v>10</v>
      </c>
      <c r="S2" s="263" t="s">
        <v>11</v>
      </c>
      <c r="T2" s="263" t="s">
        <v>12</v>
      </c>
      <c r="U2" s="260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63"/>
      <c r="R3" s="263"/>
      <c r="S3" s="263"/>
      <c r="T3" s="263"/>
      <c r="U3" s="260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81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81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81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81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81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81">
        <v>365</v>
      </c>
    </row>
    <row r="10" spans="1:21" ht="21" customHeight="1" x14ac:dyDescent="0.3">
      <c r="A10" s="73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81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271" t="s">
        <v>6</v>
      </c>
      <c r="B3" s="271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273" t="s">
        <v>31</v>
      </c>
      <c r="H3" s="273"/>
      <c r="I3" s="273"/>
      <c r="J3" s="270" t="s">
        <v>32</v>
      </c>
      <c r="K3" s="265"/>
      <c r="L3" s="266"/>
      <c r="M3" s="270" t="s">
        <v>33</v>
      </c>
      <c r="N3" s="265"/>
      <c r="O3" s="266"/>
      <c r="P3" s="270" t="s">
        <v>34</v>
      </c>
      <c r="Q3" s="265"/>
      <c r="R3" s="266"/>
      <c r="S3" s="270" t="s">
        <v>35</v>
      </c>
      <c r="T3" s="265"/>
      <c r="U3" s="266"/>
      <c r="V3" s="270" t="s">
        <v>36</v>
      </c>
      <c r="W3" s="265"/>
      <c r="X3" s="266"/>
      <c r="Y3" s="270" t="s">
        <v>37</v>
      </c>
      <c r="Z3" s="265"/>
      <c r="AA3" s="266"/>
      <c r="AB3" s="270" t="s">
        <v>38</v>
      </c>
      <c r="AC3" s="265"/>
      <c r="AD3" s="266"/>
      <c r="AE3" s="270" t="s">
        <v>39</v>
      </c>
      <c r="AF3" s="265"/>
      <c r="AG3" s="266"/>
      <c r="AH3" s="270" t="s">
        <v>40</v>
      </c>
      <c r="AI3" s="265"/>
      <c r="AJ3" s="266"/>
      <c r="AK3" s="270" t="s">
        <v>41</v>
      </c>
      <c r="AL3" s="265"/>
      <c r="AM3" s="266"/>
      <c r="AN3" s="270" t="s">
        <v>42</v>
      </c>
      <c r="AO3" s="265"/>
      <c r="AP3" s="266"/>
      <c r="AQ3" s="270" t="s">
        <v>43</v>
      </c>
      <c r="AR3" s="265"/>
      <c r="AS3" s="266"/>
      <c r="AT3" s="270" t="s">
        <v>44</v>
      </c>
      <c r="AU3" s="265"/>
      <c r="AV3" s="266"/>
      <c r="AW3" s="270" t="s">
        <v>45</v>
      </c>
      <c r="AX3" s="265"/>
      <c r="AY3" s="266"/>
      <c r="AZ3" s="270" t="s">
        <v>46</v>
      </c>
      <c r="BA3" s="265"/>
      <c r="BB3" s="266"/>
      <c r="BC3" s="270" t="s">
        <v>47</v>
      </c>
      <c r="BD3" s="265"/>
      <c r="BE3" s="266"/>
      <c r="BF3" s="270" t="s">
        <v>48</v>
      </c>
      <c r="BG3" s="265"/>
      <c r="BH3" s="266"/>
      <c r="BI3" s="270" t="s">
        <v>49</v>
      </c>
      <c r="BJ3" s="265"/>
      <c r="BK3" s="266"/>
      <c r="BL3" s="270"/>
      <c r="BM3" s="265"/>
      <c r="BN3" s="266"/>
      <c r="BO3" s="270"/>
      <c r="BP3" s="265"/>
      <c r="BQ3" s="266"/>
      <c r="BR3" s="270"/>
      <c r="BS3" s="265"/>
      <c r="BT3" s="266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271"/>
      <c r="B4" s="271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B15" sqref="B15:F15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83" customWidth="1"/>
    <col min="27" max="16384" width="9.140625" style="1"/>
  </cols>
  <sheetData>
    <row r="1" spans="1:26" x14ac:dyDescent="0.3">
      <c r="B1" s="168" t="s">
        <v>204</v>
      </c>
    </row>
    <row r="2" spans="1:26" x14ac:dyDescent="0.3">
      <c r="O2" s="275" t="s">
        <v>7</v>
      </c>
      <c r="P2" s="275"/>
      <c r="Q2" s="275"/>
      <c r="R2" s="275"/>
      <c r="S2" s="276" t="s">
        <v>8</v>
      </c>
      <c r="T2" s="276"/>
      <c r="U2" s="276"/>
      <c r="V2" s="277" t="s">
        <v>9</v>
      </c>
      <c r="W2" s="277" t="s">
        <v>10</v>
      </c>
      <c r="X2" s="277" t="s">
        <v>11</v>
      </c>
      <c r="Y2" s="277" t="s">
        <v>12</v>
      </c>
      <c r="Z2" s="274" t="s">
        <v>13</v>
      </c>
    </row>
    <row r="3" spans="1:26" ht="21" customHeight="1" x14ac:dyDescent="0.3">
      <c r="A3" s="177" t="s">
        <v>6</v>
      </c>
      <c r="B3" s="177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77" t="s">
        <v>213</v>
      </c>
      <c r="K3" s="177" t="s">
        <v>214</v>
      </c>
      <c r="L3" s="177" t="s">
        <v>183</v>
      </c>
      <c r="M3" s="177" t="s">
        <v>173</v>
      </c>
      <c r="N3" s="177" t="s">
        <v>1</v>
      </c>
      <c r="O3" s="151" t="s">
        <v>14</v>
      </c>
      <c r="P3" s="152" t="s">
        <v>15</v>
      </c>
      <c r="Q3" s="153" t="s">
        <v>16</v>
      </c>
      <c r="R3" s="154" t="s">
        <v>17</v>
      </c>
      <c r="S3" s="155" t="s">
        <v>18</v>
      </c>
      <c r="T3" s="156" t="s">
        <v>19</v>
      </c>
      <c r="U3" s="157" t="s">
        <v>20</v>
      </c>
      <c r="V3" s="277"/>
      <c r="W3" s="277"/>
      <c r="X3" s="277"/>
      <c r="Y3" s="277"/>
      <c r="Z3" s="274"/>
    </row>
    <row r="4" spans="1:26" ht="21" customHeight="1" x14ac:dyDescent="0.3">
      <c r="A4" s="1">
        <v>1</v>
      </c>
      <c r="B4" s="1" t="s">
        <v>172</v>
      </c>
      <c r="C4" s="76">
        <v>35257</v>
      </c>
      <c r="D4" s="3" t="s">
        <v>186</v>
      </c>
      <c r="E4" s="3" t="s">
        <v>269</v>
      </c>
      <c r="F4" s="2" t="s">
        <v>89</v>
      </c>
      <c r="G4" s="1"/>
      <c r="H4" s="62">
        <v>2100000</v>
      </c>
      <c r="I4" s="63">
        <v>0.3</v>
      </c>
      <c r="J4" s="62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6">
        <v>34516</v>
      </c>
      <c r="D5" s="3" t="s">
        <v>187</v>
      </c>
      <c r="E5" s="3" t="s">
        <v>254</v>
      </c>
      <c r="F5" s="2" t="s">
        <v>255</v>
      </c>
      <c r="G5" s="1"/>
      <c r="H5" s="62">
        <v>2100000</v>
      </c>
      <c r="I5" s="63">
        <v>0.3</v>
      </c>
      <c r="J5" s="62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4" t="s">
        <v>189</v>
      </c>
      <c r="E6" s="3" t="s">
        <v>257</v>
      </c>
      <c r="F6" s="33" t="s">
        <v>89</v>
      </c>
      <c r="G6" s="3"/>
      <c r="H6" s="62">
        <v>2100000</v>
      </c>
      <c r="I6" s="63">
        <v>0.3</v>
      </c>
      <c r="J6" s="62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2">
        <v>2100000</v>
      </c>
      <c r="I7" s="63">
        <v>0.3</v>
      </c>
      <c r="J7" s="62">
        <v>1470000</v>
      </c>
      <c r="O7" s="1"/>
      <c r="P7" s="1"/>
      <c r="Q7" s="1"/>
      <c r="R7" s="1"/>
      <c r="S7" s="1"/>
      <c r="T7" s="1"/>
      <c r="U7" s="1"/>
    </row>
    <row r="8" spans="1:26" s="114" customFormat="1" ht="21" customHeight="1" x14ac:dyDescent="0.3">
      <c r="A8" s="114">
        <v>5</v>
      </c>
      <c r="B8" s="114" t="s">
        <v>192</v>
      </c>
      <c r="C8" s="115">
        <v>35165</v>
      </c>
      <c r="D8" s="116" t="s">
        <v>273</v>
      </c>
      <c r="E8" s="116" t="s">
        <v>274</v>
      </c>
      <c r="F8" s="117" t="s">
        <v>89</v>
      </c>
      <c r="G8" s="116"/>
      <c r="H8" s="118">
        <v>2100000</v>
      </c>
      <c r="I8" s="119">
        <v>0.3</v>
      </c>
      <c r="J8" s="118">
        <v>1470000</v>
      </c>
      <c r="K8" s="120"/>
      <c r="Z8" s="184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4" t="s">
        <v>199</v>
      </c>
      <c r="E9" s="3" t="s">
        <v>266</v>
      </c>
      <c r="F9" s="33" t="s">
        <v>69</v>
      </c>
      <c r="G9" s="3"/>
      <c r="H9" s="62">
        <v>2100000</v>
      </c>
      <c r="I9" s="63">
        <v>0.3</v>
      </c>
      <c r="J9" s="62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6">
        <v>34705</v>
      </c>
      <c r="D10" s="74" t="s">
        <v>258</v>
      </c>
      <c r="E10" s="34" t="s">
        <v>259</v>
      </c>
      <c r="F10" s="33" t="s">
        <v>260</v>
      </c>
      <c r="H10" s="62">
        <v>2100000</v>
      </c>
      <c r="I10" s="63">
        <v>0.3</v>
      </c>
      <c r="J10" s="62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83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4" t="s">
        <v>448</v>
      </c>
      <c r="E11" s="34" t="s">
        <v>282</v>
      </c>
      <c r="G11" s="3"/>
      <c r="H11" s="62">
        <v>2100000</v>
      </c>
      <c r="I11" s="63">
        <v>0.3</v>
      </c>
      <c r="J11" s="62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83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4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83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4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2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4" t="s">
        <v>279</v>
      </c>
      <c r="E14" s="77" t="s">
        <v>268</v>
      </c>
      <c r="F14" s="33" t="s">
        <v>98</v>
      </c>
      <c r="H14" s="33" t="s">
        <v>217</v>
      </c>
      <c r="I14" s="33" t="s">
        <v>218</v>
      </c>
      <c r="J14" s="62">
        <v>1470000</v>
      </c>
      <c r="O14" s="1"/>
      <c r="P14" s="1"/>
      <c r="Q14" s="1"/>
      <c r="R14" s="1"/>
      <c r="S14" s="1"/>
      <c r="T14" s="1"/>
      <c r="U14" s="1"/>
    </row>
    <row r="15" spans="1:26" s="182" customFormat="1" ht="21" customHeight="1" x14ac:dyDescent="0.25">
      <c r="A15" s="57">
        <v>12</v>
      </c>
      <c r="B15" s="58" t="s">
        <v>63</v>
      </c>
      <c r="C15" s="56" t="s">
        <v>85</v>
      </c>
      <c r="D15" s="75" t="s">
        <v>86</v>
      </c>
      <c r="E15" s="59" t="s">
        <v>125</v>
      </c>
      <c r="F15" s="56" t="s">
        <v>89</v>
      </c>
      <c r="G15" s="56" t="s">
        <v>53</v>
      </c>
      <c r="H15" s="56" t="s">
        <v>215</v>
      </c>
      <c r="I15" s="56" t="s">
        <v>215</v>
      </c>
      <c r="J15" s="57">
        <v>0</v>
      </c>
      <c r="K15" s="57" t="s">
        <v>219</v>
      </c>
      <c r="L15" s="56"/>
      <c r="M15" s="56"/>
      <c r="N15" s="56"/>
      <c r="O15" s="182">
        <v>6</v>
      </c>
      <c r="P15" s="182">
        <v>17</v>
      </c>
      <c r="Q15" s="182">
        <v>10</v>
      </c>
      <c r="R15" s="182">
        <v>12</v>
      </c>
      <c r="S15" s="182">
        <v>17</v>
      </c>
      <c r="T15" s="182">
        <v>8</v>
      </c>
      <c r="U15" s="182">
        <v>15</v>
      </c>
      <c r="V15" s="182">
        <v>45</v>
      </c>
      <c r="W15" s="182">
        <v>40</v>
      </c>
      <c r="X15" s="182">
        <v>215</v>
      </c>
      <c r="Y15" s="182">
        <v>150</v>
      </c>
      <c r="Z15" s="185">
        <v>365</v>
      </c>
    </row>
    <row r="16" spans="1:26" s="130" customFormat="1" ht="21" customHeight="1" x14ac:dyDescent="0.3">
      <c r="A16" s="130">
        <v>13</v>
      </c>
      <c r="B16" s="130" t="s">
        <v>210</v>
      </c>
      <c r="C16" s="131" t="s">
        <v>287</v>
      </c>
      <c r="D16" s="132" t="s">
        <v>288</v>
      </c>
      <c r="E16" s="133" t="s">
        <v>289</v>
      </c>
      <c r="F16" s="134"/>
      <c r="G16" s="134"/>
      <c r="H16" s="134" t="s">
        <v>217</v>
      </c>
      <c r="I16" s="134" t="s">
        <v>218</v>
      </c>
      <c r="J16" s="135">
        <v>1470000</v>
      </c>
      <c r="K16" s="131"/>
      <c r="O16" s="131"/>
      <c r="P16" s="131"/>
      <c r="Q16" s="131"/>
      <c r="R16" s="131"/>
      <c r="S16" s="131"/>
      <c r="T16" s="131"/>
      <c r="U16" s="131"/>
      <c r="Z16" s="186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4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83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4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83">
        <v>405</v>
      </c>
    </row>
    <row r="19" spans="1:26" s="130" customFormat="1" ht="21" customHeight="1" x14ac:dyDescent="0.3">
      <c r="A19" s="130">
        <v>16</v>
      </c>
      <c r="B19" s="130" t="s">
        <v>225</v>
      </c>
      <c r="C19" s="136">
        <v>35560</v>
      </c>
      <c r="D19" s="132" t="s">
        <v>262</v>
      </c>
      <c r="E19" s="133" t="s">
        <v>261</v>
      </c>
      <c r="F19" s="134" t="s">
        <v>69</v>
      </c>
      <c r="G19" s="134"/>
      <c r="H19" s="134" t="s">
        <v>217</v>
      </c>
      <c r="I19" s="134" t="s">
        <v>218</v>
      </c>
      <c r="J19" s="135">
        <v>1470000</v>
      </c>
      <c r="K19" s="131"/>
      <c r="O19" s="131"/>
      <c r="P19" s="131"/>
      <c r="Q19" s="131"/>
      <c r="R19" s="131"/>
      <c r="S19" s="131"/>
      <c r="T19" s="131"/>
      <c r="U19" s="131"/>
      <c r="Z19" s="186"/>
    </row>
    <row r="20" spans="1:26" x14ac:dyDescent="0.3">
      <c r="A20" s="1">
        <v>17</v>
      </c>
      <c r="B20" s="1" t="s">
        <v>226</v>
      </c>
      <c r="C20" s="2" t="s">
        <v>270</v>
      </c>
      <c r="D20" s="74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2">
        <v>1470000</v>
      </c>
    </row>
    <row r="21" spans="1:26" x14ac:dyDescent="0.3">
      <c r="A21" s="1">
        <v>18</v>
      </c>
      <c r="B21" s="1" t="s">
        <v>228</v>
      </c>
      <c r="C21" s="76">
        <v>34433</v>
      </c>
      <c r="D21" s="74" t="s">
        <v>286</v>
      </c>
      <c r="E21" s="34" t="s">
        <v>264</v>
      </c>
      <c r="H21" s="33" t="s">
        <v>217</v>
      </c>
      <c r="I21" s="33" t="s">
        <v>218</v>
      </c>
      <c r="J21" s="62">
        <v>1470000</v>
      </c>
    </row>
    <row r="22" spans="1:26" x14ac:dyDescent="0.3">
      <c r="A22" s="1">
        <v>19</v>
      </c>
      <c r="B22" s="1" t="s">
        <v>247</v>
      </c>
      <c r="C22" s="76">
        <v>35076</v>
      </c>
      <c r="D22" s="74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2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83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71" t="s">
        <v>6</v>
      </c>
      <c r="B3" s="271" t="s">
        <v>5</v>
      </c>
      <c r="C3" s="61"/>
      <c r="D3" s="61"/>
      <c r="E3" s="61"/>
      <c r="F3" s="61"/>
      <c r="G3" s="273"/>
      <c r="H3" s="273"/>
      <c r="I3" s="273"/>
      <c r="J3" s="273"/>
      <c r="K3" s="273"/>
      <c r="L3" s="273"/>
      <c r="M3" s="273"/>
      <c r="N3" s="273"/>
      <c r="O3" s="273"/>
      <c r="P3" s="273"/>
      <c r="Q3" s="273"/>
      <c r="R3" s="273"/>
      <c r="S3" s="273"/>
      <c r="T3" s="273"/>
      <c r="U3" s="273"/>
      <c r="V3" s="273"/>
      <c r="W3" s="273"/>
      <c r="X3" s="273"/>
      <c r="Y3" s="273"/>
      <c r="Z3" s="273"/>
      <c r="AA3" s="273"/>
      <c r="AB3" s="273"/>
      <c r="AC3" s="273"/>
      <c r="AD3" s="273"/>
      <c r="AE3" s="273"/>
      <c r="AF3" s="273"/>
      <c r="AG3" s="273"/>
      <c r="AH3" s="273"/>
      <c r="AI3" s="273"/>
      <c r="AJ3" s="273"/>
      <c r="AK3" s="273"/>
      <c r="AL3" s="273"/>
      <c r="AM3" s="273"/>
      <c r="AN3" s="273"/>
      <c r="AO3" s="273"/>
      <c r="AP3" s="273"/>
      <c r="AQ3" s="273"/>
      <c r="AR3" s="273"/>
      <c r="AS3" s="273"/>
      <c r="AT3" s="273"/>
      <c r="AU3" s="273"/>
      <c r="AV3" s="273"/>
      <c r="AW3" s="273"/>
      <c r="AX3" s="273"/>
      <c r="AY3" s="273"/>
      <c r="AZ3" s="273"/>
      <c r="BA3" s="273"/>
      <c r="BB3" s="273"/>
      <c r="BC3" s="278"/>
      <c r="BD3" s="278"/>
      <c r="BE3" s="278"/>
      <c r="BF3" s="279">
        <v>42976</v>
      </c>
      <c r="BG3" s="273"/>
      <c r="BH3" s="273"/>
      <c r="BI3" s="273"/>
      <c r="BJ3" s="273"/>
      <c r="BK3" s="273"/>
      <c r="BL3" s="273"/>
      <c r="BM3" s="273"/>
      <c r="BN3" s="273"/>
      <c r="BO3" s="273"/>
      <c r="BP3" s="273"/>
      <c r="BQ3" s="273"/>
      <c r="BR3" s="279"/>
      <c r="BS3" s="273"/>
      <c r="BT3" s="273"/>
      <c r="BU3" s="273"/>
      <c r="BV3" s="273"/>
      <c r="BW3" s="273"/>
      <c r="BX3" s="273"/>
      <c r="BY3" s="273"/>
      <c r="BZ3" s="273"/>
      <c r="CA3" s="273"/>
      <c r="CB3" s="273"/>
      <c r="CC3" s="273"/>
      <c r="CD3" s="26"/>
    </row>
    <row r="4" spans="1:82" s="17" customFormat="1" ht="21" customHeight="1" x14ac:dyDescent="0.25">
      <c r="A4" s="271"/>
      <c r="B4" s="271"/>
      <c r="C4" s="18"/>
      <c r="D4" s="18"/>
      <c r="E4" s="18"/>
      <c r="F4" s="18"/>
      <c r="G4" s="61" t="s">
        <v>23</v>
      </c>
      <c r="H4" s="61" t="s">
        <v>24</v>
      </c>
      <c r="I4" s="61" t="s">
        <v>22</v>
      </c>
      <c r="J4" s="61" t="s">
        <v>23</v>
      </c>
      <c r="K4" s="61" t="s">
        <v>24</v>
      </c>
      <c r="L4" s="61" t="s">
        <v>22</v>
      </c>
      <c r="M4" s="61" t="s">
        <v>23</v>
      </c>
      <c r="N4" s="61" t="s">
        <v>24</v>
      </c>
      <c r="O4" s="61" t="s">
        <v>22</v>
      </c>
      <c r="P4" s="61" t="s">
        <v>23</v>
      </c>
      <c r="Q4" s="61" t="s">
        <v>24</v>
      </c>
      <c r="R4" s="61" t="s">
        <v>22</v>
      </c>
      <c r="S4" s="61" t="s">
        <v>23</v>
      </c>
      <c r="T4" s="61" t="s">
        <v>24</v>
      </c>
      <c r="U4" s="61" t="s">
        <v>22</v>
      </c>
      <c r="V4" s="61" t="s">
        <v>23</v>
      </c>
      <c r="W4" s="61" t="s">
        <v>24</v>
      </c>
      <c r="X4" s="61" t="s">
        <v>22</v>
      </c>
      <c r="Y4" s="61" t="s">
        <v>23</v>
      </c>
      <c r="Z4" s="61" t="s">
        <v>24</v>
      </c>
      <c r="AA4" s="61" t="s">
        <v>22</v>
      </c>
      <c r="AB4" s="61" t="s">
        <v>23</v>
      </c>
      <c r="AC4" s="61" t="s">
        <v>24</v>
      </c>
      <c r="AD4" s="61" t="s">
        <v>22</v>
      </c>
      <c r="AE4" s="61" t="s">
        <v>23</v>
      </c>
      <c r="AF4" s="61" t="s">
        <v>24</v>
      </c>
      <c r="AG4" s="61" t="s">
        <v>22</v>
      </c>
      <c r="AH4" s="61" t="s">
        <v>23</v>
      </c>
      <c r="AI4" s="61" t="s">
        <v>24</v>
      </c>
      <c r="AJ4" s="61" t="s">
        <v>22</v>
      </c>
      <c r="AK4" s="61" t="s">
        <v>23</v>
      </c>
      <c r="AL4" s="61" t="s">
        <v>24</v>
      </c>
      <c r="AM4" s="61" t="s">
        <v>22</v>
      </c>
      <c r="AN4" s="61" t="s">
        <v>23</v>
      </c>
      <c r="AO4" s="61" t="s">
        <v>24</v>
      </c>
      <c r="AP4" s="61" t="s">
        <v>22</v>
      </c>
      <c r="AQ4" s="61" t="s">
        <v>23</v>
      </c>
      <c r="AR4" s="61" t="s">
        <v>24</v>
      </c>
      <c r="AS4" s="61" t="s">
        <v>22</v>
      </c>
      <c r="AT4" s="61" t="s">
        <v>23</v>
      </c>
      <c r="AU4" s="61" t="s">
        <v>24</v>
      </c>
      <c r="AV4" s="61" t="s">
        <v>22</v>
      </c>
      <c r="AW4" s="61" t="s">
        <v>23</v>
      </c>
      <c r="AX4" s="61" t="s">
        <v>24</v>
      </c>
      <c r="AY4" s="61" t="s">
        <v>22</v>
      </c>
      <c r="AZ4" s="61" t="s">
        <v>23</v>
      </c>
      <c r="BA4" s="61" t="s">
        <v>24</v>
      </c>
      <c r="BB4" s="61" t="s">
        <v>22</v>
      </c>
      <c r="BC4" s="61" t="s">
        <v>23</v>
      </c>
      <c r="BD4" s="61" t="s">
        <v>24</v>
      </c>
      <c r="BE4" s="61" t="s">
        <v>22</v>
      </c>
      <c r="BF4" s="61" t="s">
        <v>23</v>
      </c>
      <c r="BG4" s="61" t="s">
        <v>24</v>
      </c>
      <c r="BH4" s="61" t="s">
        <v>22</v>
      </c>
      <c r="BI4" s="61" t="s">
        <v>23</v>
      </c>
      <c r="BJ4" s="61" t="s">
        <v>24</v>
      </c>
      <c r="BK4" s="61" t="s">
        <v>22</v>
      </c>
      <c r="BL4" s="61" t="s">
        <v>23</v>
      </c>
      <c r="BM4" s="61" t="s">
        <v>30</v>
      </c>
      <c r="BN4" s="61" t="s">
        <v>22</v>
      </c>
      <c r="BO4" s="61" t="s">
        <v>23</v>
      </c>
      <c r="BP4" s="61" t="s">
        <v>24</v>
      </c>
      <c r="BQ4" s="61" t="s">
        <v>22</v>
      </c>
      <c r="BR4" s="61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18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18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18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18"/>
      <c r="AZ6" s="61"/>
      <c r="BA6" s="61"/>
      <c r="BB6" s="61"/>
      <c r="BC6" s="61"/>
      <c r="BD6" s="61"/>
      <c r="BE6" s="61"/>
      <c r="BF6" s="61"/>
      <c r="BG6" s="61"/>
      <c r="BH6" s="61" t="s">
        <v>0</v>
      </c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18"/>
      <c r="AF7" s="18"/>
      <c r="AG7" s="18"/>
      <c r="AH7" s="18"/>
      <c r="AI7" s="61"/>
      <c r="AJ7" s="61"/>
      <c r="AK7" s="61"/>
      <c r="AL7" s="61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18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18"/>
      <c r="AH8" s="18"/>
      <c r="AI8" s="61"/>
      <c r="AJ8" s="61"/>
      <c r="AK8" s="61"/>
      <c r="AL8" s="61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18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18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18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18"/>
      <c r="AH10" s="18"/>
      <c r="AI10" s="61"/>
      <c r="AJ10" s="61"/>
      <c r="AK10" s="61"/>
      <c r="AL10" s="61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18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18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 t="s">
        <v>0</v>
      </c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4">
        <v>12</v>
      </c>
      <c r="B16" s="65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64" customWidth="1"/>
    <col min="5" max="5" width="49" style="51" customWidth="1"/>
    <col min="6" max="7" width="23.28515625" style="51" customWidth="1"/>
    <col min="8" max="8" width="14.42578125" style="51" customWidth="1"/>
    <col min="9" max="9" width="23.28515625" style="51" customWidth="1"/>
    <col min="10" max="10" width="9.7109375" style="55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80" customWidth="1"/>
  </cols>
  <sheetData>
    <row r="1" spans="1:25" ht="21" x14ac:dyDescent="0.35">
      <c r="A1" s="17"/>
      <c r="B1" s="280" t="s">
        <v>224</v>
      </c>
      <c r="C1" s="280"/>
      <c r="D1" s="280"/>
      <c r="E1" s="137"/>
      <c r="F1" s="137"/>
      <c r="G1" s="137"/>
      <c r="H1" s="137"/>
      <c r="I1" s="137"/>
      <c r="J1" s="52"/>
      <c r="K1" s="17"/>
      <c r="L1" s="17"/>
      <c r="M1" s="17"/>
      <c r="N1" s="52"/>
      <c r="O1" s="52"/>
      <c r="P1" s="52"/>
      <c r="Q1" s="52"/>
      <c r="R1" s="52"/>
      <c r="S1" s="52"/>
      <c r="T1" s="52"/>
      <c r="U1" s="17"/>
      <c r="V1" s="17"/>
      <c r="W1" s="17"/>
      <c r="X1" s="17"/>
      <c r="Y1" s="178"/>
    </row>
    <row r="2" spans="1:25" ht="15.75" x14ac:dyDescent="0.25">
      <c r="A2" s="17"/>
      <c r="B2" s="17"/>
      <c r="C2" s="17"/>
      <c r="D2" s="137"/>
      <c r="E2" s="137"/>
      <c r="F2" s="137"/>
      <c r="G2" s="137"/>
      <c r="H2" s="137"/>
      <c r="I2" s="137"/>
      <c r="J2" s="52"/>
      <c r="K2" s="17"/>
      <c r="L2" s="17"/>
      <c r="M2" s="17"/>
      <c r="N2" s="261" t="s">
        <v>7</v>
      </c>
      <c r="O2" s="261"/>
      <c r="P2" s="261"/>
      <c r="Q2" s="261"/>
      <c r="R2" s="262" t="s">
        <v>8</v>
      </c>
      <c r="S2" s="262"/>
      <c r="T2" s="262"/>
      <c r="U2" s="263" t="s">
        <v>9</v>
      </c>
      <c r="V2" s="263" t="s">
        <v>10</v>
      </c>
      <c r="W2" s="263" t="s">
        <v>11</v>
      </c>
      <c r="X2" s="263" t="s">
        <v>12</v>
      </c>
      <c r="Y2" s="260" t="s">
        <v>13</v>
      </c>
    </row>
    <row r="3" spans="1:25" s="1" customFormat="1" ht="21" customHeight="1" x14ac:dyDescent="0.3">
      <c r="A3" s="138" t="s">
        <v>6</v>
      </c>
      <c r="B3" s="138" t="s">
        <v>5</v>
      </c>
      <c r="C3" s="138" t="s">
        <v>4</v>
      </c>
      <c r="D3" s="139" t="s">
        <v>3</v>
      </c>
      <c r="E3" s="139" t="s">
        <v>117</v>
      </c>
      <c r="F3" s="139" t="s">
        <v>71</v>
      </c>
      <c r="G3" s="139" t="s">
        <v>211</v>
      </c>
      <c r="H3" s="139" t="s">
        <v>223</v>
      </c>
      <c r="I3" s="139" t="s">
        <v>213</v>
      </c>
      <c r="J3" s="138" t="s">
        <v>214</v>
      </c>
      <c r="K3" s="138" t="s">
        <v>23</v>
      </c>
      <c r="L3" s="138" t="s">
        <v>173</v>
      </c>
      <c r="M3" s="138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263"/>
      <c r="V3" s="263"/>
      <c r="W3" s="263"/>
      <c r="X3" s="263"/>
      <c r="Y3" s="260"/>
    </row>
    <row r="4" spans="1:25" s="1" customFormat="1" ht="21" customHeight="1" x14ac:dyDescent="0.3">
      <c r="A4" s="17">
        <v>1</v>
      </c>
      <c r="B4" s="17" t="s">
        <v>193</v>
      </c>
      <c r="C4" s="140"/>
      <c r="D4" s="161" t="s">
        <v>194</v>
      </c>
      <c r="E4" s="140"/>
      <c r="F4" s="17" t="s">
        <v>290</v>
      </c>
      <c r="G4" s="141">
        <v>2400000</v>
      </c>
      <c r="H4" s="142">
        <v>0.3</v>
      </c>
      <c r="I4" s="141">
        <v>1680000</v>
      </c>
      <c r="J4" s="52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8"/>
    </row>
    <row r="5" spans="1:25" s="125" customFormat="1" ht="21" customHeight="1" x14ac:dyDescent="0.3">
      <c r="A5" s="143">
        <v>2</v>
      </c>
      <c r="B5" s="143" t="s">
        <v>195</v>
      </c>
      <c r="C5" s="144"/>
      <c r="D5" s="162"/>
      <c r="E5" s="144"/>
      <c r="F5" s="143" t="s">
        <v>290</v>
      </c>
      <c r="G5" s="145">
        <v>2400000</v>
      </c>
      <c r="H5" s="146">
        <v>0.3</v>
      </c>
      <c r="I5" s="145">
        <v>1680000</v>
      </c>
      <c r="J5" s="147"/>
      <c r="K5" s="143"/>
      <c r="L5" s="143"/>
      <c r="M5" s="143"/>
      <c r="N5" s="143"/>
      <c r="O5" s="143"/>
      <c r="P5" s="143"/>
      <c r="Q5" s="143"/>
      <c r="R5" s="143"/>
      <c r="S5" s="143"/>
      <c r="T5" s="143"/>
      <c r="U5" s="143"/>
      <c r="V5" s="143"/>
      <c r="W5" s="143"/>
      <c r="X5" s="143"/>
      <c r="Y5" s="179"/>
    </row>
    <row r="6" spans="1:25" s="1" customFormat="1" ht="21" customHeight="1" x14ac:dyDescent="0.3">
      <c r="A6" s="17">
        <v>3</v>
      </c>
      <c r="B6" s="17" t="s">
        <v>196</v>
      </c>
      <c r="C6" s="140" t="s">
        <v>240</v>
      </c>
      <c r="D6" s="161" t="s">
        <v>197</v>
      </c>
      <c r="E6" s="140" t="s">
        <v>241</v>
      </c>
      <c r="F6" s="17" t="s">
        <v>242</v>
      </c>
      <c r="G6" s="141">
        <v>2400000</v>
      </c>
      <c r="H6" s="142">
        <v>0.3</v>
      </c>
      <c r="I6" s="141">
        <v>1680000</v>
      </c>
      <c r="J6" s="52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78">
        <v>495</v>
      </c>
    </row>
    <row r="7" spans="1:25" s="1" customFormat="1" ht="21" customHeight="1" x14ac:dyDescent="0.3">
      <c r="A7" s="17">
        <v>4</v>
      </c>
      <c r="B7" s="17" t="s">
        <v>200</v>
      </c>
      <c r="C7" s="140" t="s">
        <v>72</v>
      </c>
      <c r="D7" s="161" t="s">
        <v>201</v>
      </c>
      <c r="E7" s="140" t="s">
        <v>433</v>
      </c>
      <c r="F7" s="17" t="s">
        <v>246</v>
      </c>
      <c r="G7" s="141">
        <v>2400000</v>
      </c>
      <c r="H7" s="142">
        <v>0.3</v>
      </c>
      <c r="I7" s="141">
        <v>1680000</v>
      </c>
      <c r="J7" s="52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8"/>
    </row>
    <row r="8" spans="1:25" ht="21" customHeight="1" x14ac:dyDescent="0.25">
      <c r="A8" s="17">
        <v>5</v>
      </c>
      <c r="B8" s="17" t="s">
        <v>229</v>
      </c>
      <c r="C8" s="140" t="s">
        <v>243</v>
      </c>
      <c r="D8" s="148" t="s">
        <v>244</v>
      </c>
      <c r="E8" s="148" t="s">
        <v>245</v>
      </c>
      <c r="F8" s="17" t="s">
        <v>246</v>
      </c>
      <c r="G8" s="141">
        <v>2400000</v>
      </c>
      <c r="H8" s="142">
        <v>0.3</v>
      </c>
      <c r="I8" s="141">
        <v>1680000</v>
      </c>
      <c r="J8" s="52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8"/>
    </row>
    <row r="9" spans="1:25" ht="21" customHeight="1" x14ac:dyDescent="0.25">
      <c r="A9" s="17">
        <v>6</v>
      </c>
      <c r="B9" s="17" t="s">
        <v>230</v>
      </c>
      <c r="C9" s="140" t="s">
        <v>233</v>
      </c>
      <c r="D9" s="148" t="s">
        <v>348</v>
      </c>
      <c r="E9" s="140" t="s">
        <v>234</v>
      </c>
      <c r="F9" s="17" t="s">
        <v>235</v>
      </c>
      <c r="G9" s="141">
        <v>2400000</v>
      </c>
      <c r="H9" s="142">
        <v>0.3</v>
      </c>
      <c r="I9" s="141">
        <v>1680000</v>
      </c>
      <c r="J9" s="52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78">
        <v>225</v>
      </c>
    </row>
    <row r="10" spans="1:25" ht="21" customHeight="1" x14ac:dyDescent="0.25">
      <c r="A10" s="149" t="s">
        <v>145</v>
      </c>
      <c r="B10" s="140" t="s">
        <v>231</v>
      </c>
      <c r="C10" s="140" t="s">
        <v>236</v>
      </c>
      <c r="D10" s="148" t="s">
        <v>237</v>
      </c>
      <c r="E10" s="140" t="s">
        <v>238</v>
      </c>
      <c r="F10" s="140" t="s">
        <v>239</v>
      </c>
      <c r="G10" s="141">
        <v>2400000</v>
      </c>
      <c r="H10" s="142">
        <v>0.3</v>
      </c>
      <c r="I10" s="141">
        <v>1680000</v>
      </c>
      <c r="J10" s="52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78">
        <v>455</v>
      </c>
    </row>
    <row r="11" spans="1:25" ht="21" customHeight="1" x14ac:dyDescent="0.25">
      <c r="A11" s="17">
        <v>8</v>
      </c>
      <c r="B11" s="17" t="s">
        <v>232</v>
      </c>
      <c r="C11" s="140"/>
      <c r="D11" s="148" t="s">
        <v>310</v>
      </c>
      <c r="E11" s="140"/>
      <c r="F11" s="17" t="s">
        <v>235</v>
      </c>
      <c r="G11" s="141">
        <v>2400000</v>
      </c>
      <c r="H11" s="142">
        <v>0.3</v>
      </c>
      <c r="I11" s="141">
        <v>1680000</v>
      </c>
      <c r="J11" s="52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8"/>
    </row>
    <row r="12" spans="1:25" ht="21" customHeight="1" x14ac:dyDescent="0.25">
      <c r="A12" s="149" t="s">
        <v>304</v>
      </c>
      <c r="B12" s="140" t="s">
        <v>305</v>
      </c>
      <c r="C12" s="140" t="s">
        <v>306</v>
      </c>
      <c r="D12" s="148" t="s">
        <v>307</v>
      </c>
      <c r="E12" s="140" t="s">
        <v>308</v>
      </c>
      <c r="F12" s="140" t="s">
        <v>239</v>
      </c>
      <c r="G12" s="141">
        <v>2400000</v>
      </c>
      <c r="H12" s="142">
        <v>0.3</v>
      </c>
      <c r="I12" s="141">
        <v>1680000</v>
      </c>
      <c r="J12" s="137"/>
      <c r="K12" s="140"/>
      <c r="L12" s="140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78">
        <v>310</v>
      </c>
    </row>
    <row r="13" spans="1:25" ht="21" customHeight="1" x14ac:dyDescent="0.25">
      <c r="A13" s="17">
        <v>10</v>
      </c>
      <c r="B13" s="17" t="s">
        <v>311</v>
      </c>
      <c r="C13" s="17"/>
      <c r="D13" s="148" t="s">
        <v>312</v>
      </c>
      <c r="E13" s="17"/>
      <c r="F13" s="17"/>
      <c r="G13" s="137"/>
      <c r="H13" s="137"/>
      <c r="I13" s="137"/>
      <c r="J13" s="52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78">
        <v>395</v>
      </c>
    </row>
    <row r="14" spans="1:25" ht="21" customHeight="1" x14ac:dyDescent="0.3">
      <c r="D14" s="163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63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63"/>
    </row>
    <row r="17" spans="4:4" ht="21" customHeight="1" x14ac:dyDescent="0.25">
      <c r="D17" s="163"/>
    </row>
    <row r="18" spans="4:4" ht="21" customHeight="1" x14ac:dyDescent="0.25">
      <c r="D18" s="163"/>
    </row>
    <row r="19" spans="4:4" ht="21" customHeight="1" x14ac:dyDescent="0.25">
      <c r="D19" s="163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0" customWidth="1"/>
    <col min="74" max="84" width="5.5703125" style="60" customWidth="1"/>
  </cols>
  <sheetData>
    <row r="1" spans="1:84" ht="26.25" x14ac:dyDescent="0.4">
      <c r="B1" s="5" t="s">
        <v>291</v>
      </c>
      <c r="M1" s="48" t="s">
        <v>28</v>
      </c>
    </row>
    <row r="3" spans="1:84" s="17" customFormat="1" ht="21" customHeight="1" x14ac:dyDescent="0.25">
      <c r="A3" s="271" t="s">
        <v>6</v>
      </c>
      <c r="B3" s="271" t="s">
        <v>5</v>
      </c>
      <c r="C3" s="50" t="s">
        <v>25</v>
      </c>
      <c r="D3" s="50" t="s">
        <v>26</v>
      </c>
      <c r="E3" s="50" t="s">
        <v>27</v>
      </c>
      <c r="F3" s="50" t="s">
        <v>29</v>
      </c>
      <c r="G3" s="273" t="s">
        <v>31</v>
      </c>
      <c r="H3" s="273"/>
      <c r="I3" s="273"/>
      <c r="J3" s="270" t="s">
        <v>32</v>
      </c>
      <c r="K3" s="265"/>
      <c r="L3" s="266"/>
      <c r="M3" s="270" t="s">
        <v>33</v>
      </c>
      <c r="N3" s="265"/>
      <c r="O3" s="266"/>
      <c r="P3" s="270" t="s">
        <v>34</v>
      </c>
      <c r="Q3" s="265"/>
      <c r="R3" s="266"/>
      <c r="S3" s="270" t="s">
        <v>35</v>
      </c>
      <c r="T3" s="265"/>
      <c r="U3" s="266"/>
      <c r="V3" s="270" t="s">
        <v>36</v>
      </c>
      <c r="W3" s="265"/>
      <c r="X3" s="266"/>
      <c r="Y3" s="270" t="s">
        <v>37</v>
      </c>
      <c r="Z3" s="265"/>
      <c r="AA3" s="266"/>
      <c r="AB3" s="270" t="s">
        <v>38</v>
      </c>
      <c r="AC3" s="265"/>
      <c r="AD3" s="266"/>
      <c r="AE3" s="270" t="s">
        <v>39</v>
      </c>
      <c r="AF3" s="265"/>
      <c r="AG3" s="266"/>
      <c r="AH3" s="270" t="s">
        <v>40</v>
      </c>
      <c r="AI3" s="265"/>
      <c r="AJ3" s="266"/>
      <c r="AK3" s="270" t="s">
        <v>41</v>
      </c>
      <c r="AL3" s="265"/>
      <c r="AM3" s="266"/>
      <c r="AN3" s="270" t="s">
        <v>42</v>
      </c>
      <c r="AO3" s="265"/>
      <c r="AP3" s="266"/>
      <c r="AQ3" s="270" t="s">
        <v>43</v>
      </c>
      <c r="AR3" s="265"/>
      <c r="AS3" s="266"/>
      <c r="AT3" s="270" t="s">
        <v>44</v>
      </c>
      <c r="AU3" s="265"/>
      <c r="AV3" s="266"/>
      <c r="AW3" s="270" t="s">
        <v>45</v>
      </c>
      <c r="AX3" s="265"/>
      <c r="AY3" s="266"/>
      <c r="AZ3" s="270" t="s">
        <v>46</v>
      </c>
      <c r="BA3" s="265"/>
      <c r="BB3" s="266"/>
      <c r="BC3" s="270" t="s">
        <v>47</v>
      </c>
      <c r="BD3" s="265"/>
      <c r="BE3" s="266"/>
      <c r="BF3" s="270" t="s">
        <v>48</v>
      </c>
      <c r="BG3" s="265"/>
      <c r="BH3" s="266"/>
      <c r="BI3" s="270" t="s">
        <v>49</v>
      </c>
      <c r="BJ3" s="265"/>
      <c r="BK3" s="266"/>
      <c r="BL3" s="264">
        <v>42970</v>
      </c>
      <c r="BM3" s="265"/>
      <c r="BN3" s="266"/>
      <c r="BO3" s="264">
        <v>42972</v>
      </c>
      <c r="BP3" s="265"/>
      <c r="BQ3" s="266"/>
      <c r="BR3" s="264">
        <v>42975</v>
      </c>
      <c r="BS3" s="265"/>
      <c r="BT3" s="266"/>
      <c r="BU3" s="264">
        <v>42977</v>
      </c>
      <c r="BV3" s="265"/>
      <c r="BW3" s="266"/>
      <c r="BX3" s="122"/>
      <c r="BY3" s="122"/>
      <c r="BZ3" s="122"/>
      <c r="CA3" s="122"/>
      <c r="CB3" s="122"/>
      <c r="CC3" s="122"/>
      <c r="CD3" s="122"/>
      <c r="CE3" s="122"/>
      <c r="CF3" s="122"/>
    </row>
    <row r="4" spans="1:84" s="17" customFormat="1" ht="21" customHeight="1" x14ac:dyDescent="0.25">
      <c r="A4" s="271"/>
      <c r="B4" s="271"/>
      <c r="C4" s="50"/>
      <c r="D4" s="50"/>
      <c r="E4" s="50"/>
      <c r="F4" s="50"/>
      <c r="G4" s="50" t="s">
        <v>23</v>
      </c>
      <c r="H4" s="50" t="s">
        <v>30</v>
      </c>
      <c r="I4" s="50" t="s">
        <v>22</v>
      </c>
      <c r="J4" s="50" t="s">
        <v>23</v>
      </c>
      <c r="K4" s="50" t="s">
        <v>30</v>
      </c>
      <c r="L4" s="50" t="s">
        <v>22</v>
      </c>
      <c r="M4" s="50" t="s">
        <v>23</v>
      </c>
      <c r="N4" s="50" t="s">
        <v>30</v>
      </c>
      <c r="O4" s="50" t="s">
        <v>22</v>
      </c>
      <c r="P4" s="50" t="s">
        <v>23</v>
      </c>
      <c r="Q4" s="50" t="s">
        <v>30</v>
      </c>
      <c r="R4" s="50" t="s">
        <v>22</v>
      </c>
      <c r="S4" s="50" t="s">
        <v>23</v>
      </c>
      <c r="T4" s="50" t="s">
        <v>30</v>
      </c>
      <c r="U4" s="50" t="s">
        <v>22</v>
      </c>
      <c r="V4" s="50" t="s">
        <v>23</v>
      </c>
      <c r="W4" s="50" t="s">
        <v>30</v>
      </c>
      <c r="X4" s="50" t="s">
        <v>22</v>
      </c>
      <c r="Y4" s="50" t="s">
        <v>23</v>
      </c>
      <c r="Z4" s="50" t="s">
        <v>30</v>
      </c>
      <c r="AA4" s="50" t="s">
        <v>22</v>
      </c>
      <c r="AB4" s="50" t="s">
        <v>23</v>
      </c>
      <c r="AC4" s="50" t="s">
        <v>30</v>
      </c>
      <c r="AD4" s="50" t="s">
        <v>22</v>
      </c>
      <c r="AE4" s="50" t="s">
        <v>23</v>
      </c>
      <c r="AF4" s="50" t="s">
        <v>30</v>
      </c>
      <c r="AG4" s="50" t="s">
        <v>22</v>
      </c>
      <c r="AH4" s="50" t="s">
        <v>23</v>
      </c>
      <c r="AI4" s="50" t="s">
        <v>30</v>
      </c>
      <c r="AJ4" s="50" t="s">
        <v>22</v>
      </c>
      <c r="AK4" s="50" t="s">
        <v>23</v>
      </c>
      <c r="AL4" s="50" t="s">
        <v>30</v>
      </c>
      <c r="AM4" s="50" t="s">
        <v>22</v>
      </c>
      <c r="AN4" s="50" t="s">
        <v>23</v>
      </c>
      <c r="AO4" s="50" t="s">
        <v>30</v>
      </c>
      <c r="AP4" s="50" t="s">
        <v>22</v>
      </c>
      <c r="AQ4" s="50" t="s">
        <v>23</v>
      </c>
      <c r="AR4" s="50" t="s">
        <v>30</v>
      </c>
      <c r="AS4" s="50" t="s">
        <v>22</v>
      </c>
      <c r="AT4" s="50" t="s">
        <v>23</v>
      </c>
      <c r="AU4" s="50" t="s">
        <v>30</v>
      </c>
      <c r="AV4" s="50" t="s">
        <v>22</v>
      </c>
      <c r="AW4" s="50" t="s">
        <v>23</v>
      </c>
      <c r="AX4" s="50" t="s">
        <v>30</v>
      </c>
      <c r="AY4" s="50" t="s">
        <v>22</v>
      </c>
      <c r="AZ4" s="50" t="s">
        <v>23</v>
      </c>
      <c r="BA4" s="50" t="s">
        <v>30</v>
      </c>
      <c r="BB4" s="50" t="s">
        <v>22</v>
      </c>
      <c r="BC4" s="50" t="s">
        <v>23</v>
      </c>
      <c r="BD4" s="50" t="s">
        <v>30</v>
      </c>
      <c r="BE4" s="50" t="s">
        <v>22</v>
      </c>
      <c r="BF4" s="50" t="s">
        <v>23</v>
      </c>
      <c r="BG4" s="50" t="s">
        <v>30</v>
      </c>
      <c r="BH4" s="50" t="s">
        <v>22</v>
      </c>
      <c r="BI4" s="50" t="s">
        <v>23</v>
      </c>
      <c r="BJ4" s="50" t="s">
        <v>30</v>
      </c>
      <c r="BK4" s="50" t="s">
        <v>22</v>
      </c>
      <c r="BL4" s="50" t="s">
        <v>23</v>
      </c>
      <c r="BM4" s="50" t="s">
        <v>30</v>
      </c>
      <c r="BN4" s="50" t="s">
        <v>22</v>
      </c>
      <c r="BO4" s="50" t="s">
        <v>23</v>
      </c>
      <c r="BP4" s="50" t="s">
        <v>30</v>
      </c>
      <c r="BQ4" s="50" t="s">
        <v>22</v>
      </c>
      <c r="BR4" s="50" t="s">
        <v>23</v>
      </c>
      <c r="BS4" s="50" t="s">
        <v>30</v>
      </c>
      <c r="BT4" s="50" t="s">
        <v>22</v>
      </c>
      <c r="BU4" s="122" t="s">
        <v>23</v>
      </c>
      <c r="BV4" s="122" t="s">
        <v>30</v>
      </c>
      <c r="BW4" s="122" t="s">
        <v>22</v>
      </c>
      <c r="BX4" s="122"/>
      <c r="BY4" s="122"/>
      <c r="BZ4" s="122"/>
      <c r="CA4" s="122"/>
      <c r="CB4" s="122"/>
      <c r="CC4" s="122"/>
      <c r="CD4" s="122"/>
      <c r="CE4" s="122"/>
      <c r="CF4" s="122"/>
    </row>
    <row r="5" spans="1:84" s="17" customFormat="1" ht="21" customHeight="1" x14ac:dyDescent="0.3">
      <c r="A5" s="1">
        <v>1</v>
      </c>
      <c r="B5" s="1" t="s">
        <v>193</v>
      </c>
      <c r="C5" s="50"/>
      <c r="D5" s="50"/>
      <c r="E5" s="50"/>
      <c r="F5" s="50"/>
      <c r="G5" s="50"/>
      <c r="H5" s="50"/>
      <c r="I5" s="50"/>
      <c r="J5" s="50" t="s">
        <v>0</v>
      </c>
      <c r="K5" s="50" t="s">
        <v>0</v>
      </c>
      <c r="L5" s="50"/>
      <c r="M5" s="50" t="s">
        <v>0</v>
      </c>
      <c r="N5" s="50" t="s">
        <v>0</v>
      </c>
      <c r="O5" s="50"/>
      <c r="P5" s="50" t="s">
        <v>0</v>
      </c>
      <c r="Q5" s="50" t="s">
        <v>0</v>
      </c>
      <c r="R5" s="50"/>
      <c r="S5" s="50"/>
      <c r="T5" s="18"/>
      <c r="U5" s="18"/>
      <c r="V5" s="50" t="s">
        <v>0</v>
      </c>
      <c r="W5" s="50" t="s">
        <v>0</v>
      </c>
      <c r="X5" s="50"/>
      <c r="Y5" s="50" t="s">
        <v>0</v>
      </c>
      <c r="Z5" s="50" t="s">
        <v>0</v>
      </c>
      <c r="AA5" s="50" t="s">
        <v>0</v>
      </c>
      <c r="AB5" s="50" t="s">
        <v>0</v>
      </c>
      <c r="AC5" s="50" t="s">
        <v>0</v>
      </c>
      <c r="AD5" s="50" t="s">
        <v>0</v>
      </c>
      <c r="AE5" s="50" t="s">
        <v>0</v>
      </c>
      <c r="AF5" s="50" t="s">
        <v>0</v>
      </c>
      <c r="AG5" s="50"/>
      <c r="AH5" s="50" t="s">
        <v>0</v>
      </c>
      <c r="AI5" s="50" t="s">
        <v>0</v>
      </c>
      <c r="AJ5" s="50"/>
      <c r="AK5" s="50" t="s">
        <v>0</v>
      </c>
      <c r="AL5" s="50" t="s">
        <v>0</v>
      </c>
      <c r="AM5" s="50" t="s">
        <v>0</v>
      </c>
      <c r="AN5" s="50" t="s">
        <v>0</v>
      </c>
      <c r="AO5" s="50" t="s">
        <v>0</v>
      </c>
      <c r="AP5" s="50" t="s">
        <v>0</v>
      </c>
      <c r="AQ5" s="50" t="s">
        <v>0</v>
      </c>
      <c r="AR5" s="50" t="s">
        <v>0</v>
      </c>
      <c r="AS5" s="50"/>
      <c r="AT5" s="50" t="s">
        <v>0</v>
      </c>
      <c r="AU5" s="50" t="s">
        <v>0</v>
      </c>
      <c r="AV5" s="50"/>
      <c r="AW5" s="50" t="s">
        <v>0</v>
      </c>
      <c r="AX5" s="50" t="s">
        <v>0</v>
      </c>
      <c r="AY5" s="50"/>
      <c r="AZ5" s="50" t="s">
        <v>0</v>
      </c>
      <c r="BA5" s="50" t="s">
        <v>0</v>
      </c>
      <c r="BB5" s="50"/>
      <c r="BC5" s="50" t="s">
        <v>0</v>
      </c>
      <c r="BD5" s="50" t="s">
        <v>0</v>
      </c>
      <c r="BE5" s="50" t="s">
        <v>0</v>
      </c>
      <c r="BF5" s="50" t="s">
        <v>0</v>
      </c>
      <c r="BG5" s="50" t="s">
        <v>0</v>
      </c>
      <c r="BH5" s="18"/>
      <c r="BI5" s="50" t="s">
        <v>0</v>
      </c>
      <c r="BJ5" s="50" t="s">
        <v>0</v>
      </c>
      <c r="BK5" s="50" t="s">
        <v>0</v>
      </c>
      <c r="BL5" s="121"/>
      <c r="BM5" s="121"/>
      <c r="BN5" s="121"/>
      <c r="BO5" s="121"/>
      <c r="BP5" s="121"/>
      <c r="BQ5" s="121" t="s">
        <v>0</v>
      </c>
      <c r="BR5" s="121"/>
      <c r="BS5" s="121"/>
      <c r="BT5" s="121" t="s">
        <v>0</v>
      </c>
      <c r="BU5" s="122" t="s">
        <v>0</v>
      </c>
      <c r="BV5" s="122" t="s">
        <v>0</v>
      </c>
      <c r="BW5" s="122"/>
      <c r="BX5" s="122"/>
      <c r="BY5" s="122"/>
      <c r="BZ5" s="122"/>
      <c r="CA5" s="122"/>
      <c r="CB5" s="122"/>
      <c r="CC5" s="122"/>
      <c r="CD5" s="122"/>
      <c r="CE5" s="122"/>
      <c r="CF5" s="122"/>
    </row>
    <row r="6" spans="1:84" s="17" customFormat="1" ht="21" customHeight="1" x14ac:dyDescent="0.3">
      <c r="A6" s="1">
        <v>2</v>
      </c>
      <c r="B6" s="1" t="s">
        <v>195</v>
      </c>
      <c r="C6" s="50"/>
      <c r="D6" s="50"/>
      <c r="E6" s="50"/>
      <c r="F6" s="50"/>
      <c r="G6" s="50"/>
      <c r="H6" s="50"/>
      <c r="I6" s="50"/>
      <c r="J6" s="50"/>
      <c r="K6" s="50"/>
      <c r="L6" s="50"/>
      <c r="M6" s="50" t="s">
        <v>0</v>
      </c>
      <c r="N6" s="50" t="s">
        <v>0</v>
      </c>
      <c r="O6" s="50"/>
      <c r="P6" s="50"/>
      <c r="Q6" s="50"/>
      <c r="R6" s="50"/>
      <c r="S6" s="50"/>
      <c r="T6" s="18"/>
      <c r="U6" s="18"/>
      <c r="V6" s="50" t="s">
        <v>0</v>
      </c>
      <c r="W6" s="50" t="s">
        <v>0</v>
      </c>
      <c r="X6" s="50" t="s">
        <v>0</v>
      </c>
      <c r="Y6" s="50" t="s">
        <v>0</v>
      </c>
      <c r="Z6" s="50" t="s">
        <v>0</v>
      </c>
      <c r="AA6" s="50" t="s">
        <v>0</v>
      </c>
      <c r="AB6" s="50" t="s">
        <v>0</v>
      </c>
      <c r="AC6" s="50" t="s">
        <v>0</v>
      </c>
      <c r="AD6" s="50"/>
      <c r="AE6" s="50" t="s">
        <v>0</v>
      </c>
      <c r="AF6" s="50" t="s">
        <v>0</v>
      </c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 t="s">
        <v>0</v>
      </c>
      <c r="AX6" s="50" t="s">
        <v>0</v>
      </c>
      <c r="AY6" s="50"/>
      <c r="AZ6" s="50"/>
      <c r="BA6" s="50"/>
      <c r="BB6" s="50"/>
      <c r="BC6" s="50" t="s">
        <v>0</v>
      </c>
      <c r="BD6" s="50" t="s">
        <v>0</v>
      </c>
      <c r="BE6" s="18"/>
      <c r="BF6" s="18"/>
      <c r="BG6" s="18"/>
      <c r="BH6" s="18"/>
      <c r="BI6" s="50" t="s">
        <v>0</v>
      </c>
      <c r="BJ6" s="50" t="s">
        <v>0</v>
      </c>
      <c r="BK6" s="18"/>
      <c r="BL6" s="121"/>
      <c r="BM6" s="121"/>
      <c r="BN6" s="121"/>
      <c r="BO6" s="121"/>
      <c r="BP6" s="121"/>
      <c r="BQ6" s="121" t="s">
        <v>0</v>
      </c>
      <c r="BR6" s="121"/>
      <c r="BS6" s="121"/>
      <c r="BT6" s="121" t="s">
        <v>0</v>
      </c>
      <c r="BU6" s="122" t="s">
        <v>0</v>
      </c>
      <c r="BV6" s="122" t="s">
        <v>0</v>
      </c>
      <c r="BW6" s="122"/>
      <c r="BX6" s="122"/>
      <c r="BY6" s="122"/>
      <c r="BZ6" s="122"/>
      <c r="CA6" s="122"/>
      <c r="CB6" s="122"/>
      <c r="CC6" s="122"/>
      <c r="CD6" s="122"/>
      <c r="CE6" s="122"/>
      <c r="CF6" s="122"/>
    </row>
    <row r="7" spans="1:84" s="17" customFormat="1" ht="21" customHeight="1" x14ac:dyDescent="0.3">
      <c r="A7" s="1">
        <v>3</v>
      </c>
      <c r="B7" s="1" t="s">
        <v>196</v>
      </c>
      <c r="C7" s="50"/>
      <c r="D7" s="50"/>
      <c r="E7" s="50" t="s">
        <v>0</v>
      </c>
      <c r="F7" s="50"/>
      <c r="G7" s="50" t="s">
        <v>0</v>
      </c>
      <c r="H7" s="50" t="s">
        <v>0</v>
      </c>
      <c r="I7" s="50"/>
      <c r="J7" s="50" t="s">
        <v>0</v>
      </c>
      <c r="K7" s="50" t="s">
        <v>0</v>
      </c>
      <c r="L7" s="50" t="s">
        <v>0</v>
      </c>
      <c r="M7" s="50" t="s">
        <v>0</v>
      </c>
      <c r="N7" s="50" t="s">
        <v>0</v>
      </c>
      <c r="O7" s="50"/>
      <c r="P7" s="50" t="s">
        <v>0</v>
      </c>
      <c r="Q7" s="50" t="s">
        <v>0</v>
      </c>
      <c r="R7" s="50"/>
      <c r="S7" s="50" t="s">
        <v>0</v>
      </c>
      <c r="T7" s="50" t="s">
        <v>0</v>
      </c>
      <c r="U7" s="18"/>
      <c r="V7" s="50" t="s">
        <v>0</v>
      </c>
      <c r="W7" s="50" t="s">
        <v>0</v>
      </c>
      <c r="X7" s="50" t="s">
        <v>0</v>
      </c>
      <c r="Y7" s="50" t="s">
        <v>0</v>
      </c>
      <c r="Z7" s="50" t="s">
        <v>0</v>
      </c>
      <c r="AA7" s="50" t="s">
        <v>0</v>
      </c>
      <c r="AB7" s="50" t="s">
        <v>0</v>
      </c>
      <c r="AC7" s="50" t="s">
        <v>0</v>
      </c>
      <c r="AD7" s="50"/>
      <c r="AE7" s="50" t="s">
        <v>0</v>
      </c>
      <c r="AF7" s="50" t="s">
        <v>0</v>
      </c>
      <c r="AG7" s="50" t="s">
        <v>0</v>
      </c>
      <c r="AH7" s="50" t="s">
        <v>0</v>
      </c>
      <c r="AI7" s="50" t="s">
        <v>0</v>
      </c>
      <c r="AJ7" s="50"/>
      <c r="AK7" s="50" t="s">
        <v>0</v>
      </c>
      <c r="AL7" s="50" t="s">
        <v>0</v>
      </c>
      <c r="AM7" s="50" t="s">
        <v>0</v>
      </c>
      <c r="AN7" s="50" t="s">
        <v>0</v>
      </c>
      <c r="AO7" s="50" t="s">
        <v>0</v>
      </c>
      <c r="AP7" s="50"/>
      <c r="AQ7" s="50" t="s">
        <v>0</v>
      </c>
      <c r="AR7" s="50" t="s">
        <v>0</v>
      </c>
      <c r="AS7" s="50"/>
      <c r="AT7" s="50" t="s">
        <v>0</v>
      </c>
      <c r="AU7" s="50" t="s">
        <v>0</v>
      </c>
      <c r="AV7" s="50" t="s">
        <v>0</v>
      </c>
      <c r="AW7" s="50" t="s">
        <v>0</v>
      </c>
      <c r="AX7" s="50" t="s">
        <v>0</v>
      </c>
      <c r="AY7" s="50" t="s">
        <v>0</v>
      </c>
      <c r="AZ7" s="50" t="s">
        <v>0</v>
      </c>
      <c r="BA7" s="50" t="s">
        <v>0</v>
      </c>
      <c r="BB7" s="50"/>
      <c r="BC7" s="50" t="s">
        <v>0</v>
      </c>
      <c r="BD7" s="50" t="s">
        <v>0</v>
      </c>
      <c r="BE7" s="50" t="s">
        <v>0</v>
      </c>
      <c r="BF7" s="50" t="s">
        <v>0</v>
      </c>
      <c r="BG7" s="50" t="s">
        <v>0</v>
      </c>
      <c r="BH7" s="18"/>
      <c r="BI7" s="50" t="s">
        <v>0</v>
      </c>
      <c r="BJ7" s="50" t="s">
        <v>0</v>
      </c>
      <c r="BK7" s="18"/>
      <c r="BL7" s="121"/>
      <c r="BM7" s="121"/>
      <c r="BN7" s="121" t="s">
        <v>0</v>
      </c>
      <c r="BO7" s="121"/>
      <c r="BP7" s="121"/>
      <c r="BQ7" s="121"/>
      <c r="BR7" s="121"/>
      <c r="BS7" s="121"/>
      <c r="BT7" s="121"/>
      <c r="BU7" s="122" t="s">
        <v>0</v>
      </c>
      <c r="BV7" s="122"/>
      <c r="BW7" s="122"/>
      <c r="BX7" s="122"/>
      <c r="BY7" s="122"/>
      <c r="BZ7" s="122"/>
      <c r="CA7" s="122"/>
      <c r="CB7" s="122"/>
      <c r="CC7" s="122"/>
      <c r="CD7" s="122"/>
      <c r="CE7" s="122"/>
      <c r="CF7" s="122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0" t="s">
        <v>0</v>
      </c>
      <c r="D9" s="50"/>
      <c r="E9" s="50" t="s">
        <v>0</v>
      </c>
      <c r="F9" s="50"/>
      <c r="G9" s="50" t="s">
        <v>0</v>
      </c>
      <c r="H9" s="50" t="s">
        <v>0</v>
      </c>
      <c r="I9" s="50"/>
      <c r="J9" s="50"/>
      <c r="K9" s="50" t="s">
        <v>0</v>
      </c>
      <c r="L9" s="50"/>
      <c r="M9" s="50" t="s">
        <v>0</v>
      </c>
      <c r="N9" s="50" t="s">
        <v>0</v>
      </c>
      <c r="O9" s="50"/>
      <c r="P9" s="50" t="s">
        <v>0</v>
      </c>
      <c r="Q9" s="50" t="s">
        <v>0</v>
      </c>
      <c r="R9" s="50"/>
      <c r="S9" s="50"/>
      <c r="T9" s="50" t="s">
        <v>0</v>
      </c>
      <c r="U9" s="18"/>
      <c r="V9" s="50" t="s">
        <v>0</v>
      </c>
      <c r="W9" s="50" t="s">
        <v>0</v>
      </c>
      <c r="X9" s="50" t="s">
        <v>0</v>
      </c>
      <c r="Y9" s="50" t="s">
        <v>0</v>
      </c>
      <c r="Z9" s="50" t="s">
        <v>0</v>
      </c>
      <c r="AA9" s="50"/>
      <c r="AB9" s="50" t="s">
        <v>0</v>
      </c>
      <c r="AC9" s="50" t="s">
        <v>0</v>
      </c>
      <c r="AD9" s="50"/>
      <c r="AE9" s="50" t="s">
        <v>0</v>
      </c>
      <c r="AF9" s="50" t="s">
        <v>0</v>
      </c>
      <c r="AG9" s="50"/>
      <c r="AH9" s="50" t="s">
        <v>0</v>
      </c>
      <c r="AI9" s="50" t="s">
        <v>0</v>
      </c>
      <c r="AJ9" s="50"/>
      <c r="AK9" s="50" t="s">
        <v>0</v>
      </c>
      <c r="AL9" s="50" t="s">
        <v>0</v>
      </c>
      <c r="AM9" s="50"/>
      <c r="AN9" s="50"/>
      <c r="AO9" s="50" t="s">
        <v>0</v>
      </c>
      <c r="AP9" s="50"/>
      <c r="AQ9" s="50" t="s">
        <v>0</v>
      </c>
      <c r="AR9" s="50" t="s">
        <v>0</v>
      </c>
      <c r="AS9" s="50" t="s">
        <v>0</v>
      </c>
      <c r="AT9" s="50" t="s">
        <v>0</v>
      </c>
      <c r="AU9" s="50" t="s">
        <v>0</v>
      </c>
      <c r="AV9" s="50"/>
      <c r="AW9" s="50" t="s">
        <v>0</v>
      </c>
      <c r="AX9" s="50" t="s">
        <v>0</v>
      </c>
      <c r="AY9" s="50" t="s">
        <v>0</v>
      </c>
      <c r="AZ9" s="50" t="s">
        <v>0</v>
      </c>
      <c r="BA9" s="50" t="s">
        <v>0</v>
      </c>
      <c r="BB9" s="50"/>
      <c r="BC9" s="50" t="s">
        <v>0</v>
      </c>
      <c r="BD9" s="50" t="s">
        <v>0</v>
      </c>
      <c r="BE9" s="18"/>
      <c r="BF9" s="50" t="s">
        <v>0</v>
      </c>
      <c r="BG9" s="50" t="s">
        <v>0</v>
      </c>
      <c r="BH9" s="50" t="s">
        <v>0</v>
      </c>
      <c r="BI9" s="50" t="s">
        <v>0</v>
      </c>
      <c r="BJ9" s="50" t="s">
        <v>0</v>
      </c>
      <c r="BK9" s="50" t="s">
        <v>0</v>
      </c>
      <c r="BL9" s="121"/>
      <c r="BM9" s="121"/>
      <c r="BN9" s="121"/>
      <c r="BO9" s="121"/>
      <c r="BP9" s="121"/>
      <c r="BQ9" s="121" t="s">
        <v>0</v>
      </c>
      <c r="BR9" s="121"/>
      <c r="BS9" s="121"/>
      <c r="BT9" s="121"/>
      <c r="BU9" s="122" t="s">
        <v>0</v>
      </c>
      <c r="BV9" s="122" t="s">
        <v>0</v>
      </c>
      <c r="BW9" s="122"/>
      <c r="BX9" s="122"/>
      <c r="BY9" s="122"/>
      <c r="BZ9" s="122"/>
      <c r="CA9" s="122"/>
      <c r="CB9" s="122"/>
      <c r="CC9" s="122"/>
      <c r="CD9" s="122"/>
      <c r="CE9" s="122"/>
      <c r="CF9" s="122"/>
    </row>
    <row r="10" spans="1:84" s="17" customFormat="1" ht="20.25" customHeight="1" x14ac:dyDescent="0.3">
      <c r="A10" s="1">
        <v>6</v>
      </c>
      <c r="B10" s="1" t="s">
        <v>230</v>
      </c>
      <c r="C10" s="50" t="s">
        <v>0</v>
      </c>
      <c r="D10" s="50" t="s">
        <v>0</v>
      </c>
      <c r="E10" s="50" t="s">
        <v>0</v>
      </c>
      <c r="F10" s="50" t="s">
        <v>0</v>
      </c>
      <c r="G10" s="50" t="s">
        <v>0</v>
      </c>
      <c r="H10" s="50" t="s">
        <v>0</v>
      </c>
      <c r="I10" s="50" t="s">
        <v>0</v>
      </c>
      <c r="J10" s="50" t="s">
        <v>0</v>
      </c>
      <c r="K10" s="50" t="s">
        <v>0</v>
      </c>
      <c r="L10" s="50" t="s">
        <v>0</v>
      </c>
      <c r="M10" s="50" t="s">
        <v>0</v>
      </c>
      <c r="N10" s="50" t="s">
        <v>0</v>
      </c>
      <c r="O10" s="50"/>
      <c r="P10" s="50" t="s">
        <v>0</v>
      </c>
      <c r="Q10" s="50" t="s">
        <v>0</v>
      </c>
      <c r="R10" s="50" t="s">
        <v>0</v>
      </c>
      <c r="S10" s="50" t="s">
        <v>0</v>
      </c>
      <c r="T10" s="50" t="s">
        <v>0</v>
      </c>
      <c r="U10" s="18"/>
      <c r="V10" s="50" t="s">
        <v>0</v>
      </c>
      <c r="W10" s="50" t="s">
        <v>0</v>
      </c>
      <c r="X10" s="50" t="s">
        <v>0</v>
      </c>
      <c r="Y10" s="50" t="s">
        <v>0</v>
      </c>
      <c r="Z10" s="50" t="s">
        <v>0</v>
      </c>
      <c r="AA10" s="50"/>
      <c r="AB10" s="50" t="s">
        <v>0</v>
      </c>
      <c r="AC10" s="50" t="s">
        <v>0</v>
      </c>
      <c r="AD10" s="50" t="s">
        <v>0</v>
      </c>
      <c r="AE10" s="50" t="s">
        <v>0</v>
      </c>
      <c r="AF10" s="50" t="s">
        <v>0</v>
      </c>
      <c r="AG10" s="50" t="s">
        <v>0</v>
      </c>
      <c r="AH10" s="50" t="s">
        <v>0</v>
      </c>
      <c r="AI10" s="50" t="s">
        <v>0</v>
      </c>
      <c r="AJ10" s="50"/>
      <c r="AK10" s="50" t="s">
        <v>0</v>
      </c>
      <c r="AL10" s="50" t="s">
        <v>0</v>
      </c>
      <c r="AM10" s="50"/>
      <c r="AN10" s="50" t="s">
        <v>0</v>
      </c>
      <c r="AO10" s="50" t="s">
        <v>0</v>
      </c>
      <c r="AP10" s="50" t="s">
        <v>0</v>
      </c>
      <c r="AQ10" s="50" t="s">
        <v>0</v>
      </c>
      <c r="AR10" s="50" t="s">
        <v>0</v>
      </c>
      <c r="AS10" s="50"/>
      <c r="AT10" s="50" t="s">
        <v>0</v>
      </c>
      <c r="AU10" s="50" t="s">
        <v>0</v>
      </c>
      <c r="AV10" s="50" t="s">
        <v>0</v>
      </c>
      <c r="AW10" s="50" t="s">
        <v>0</v>
      </c>
      <c r="AX10" s="50" t="s">
        <v>0</v>
      </c>
      <c r="AY10" s="50" t="s">
        <v>0</v>
      </c>
      <c r="AZ10" s="50" t="s">
        <v>0</v>
      </c>
      <c r="BA10" s="50" t="s">
        <v>0</v>
      </c>
      <c r="BB10" s="50"/>
      <c r="BC10" s="50" t="s">
        <v>0</v>
      </c>
      <c r="BD10" s="50" t="s">
        <v>0</v>
      </c>
      <c r="BE10" s="50" t="s">
        <v>0</v>
      </c>
      <c r="BF10" s="50" t="s">
        <v>0</v>
      </c>
      <c r="BG10" s="50" t="s">
        <v>0</v>
      </c>
      <c r="BH10" s="50" t="s">
        <v>0</v>
      </c>
      <c r="BI10" s="50" t="s">
        <v>0</v>
      </c>
      <c r="BJ10" s="50" t="s">
        <v>0</v>
      </c>
      <c r="BK10" s="50" t="s">
        <v>0</v>
      </c>
      <c r="BL10" s="121"/>
      <c r="BM10" s="121"/>
      <c r="BN10" s="121"/>
      <c r="BO10" s="121"/>
      <c r="BP10" s="121"/>
      <c r="BQ10" s="121"/>
      <c r="BR10" s="121"/>
      <c r="BS10" s="121"/>
      <c r="BT10" s="121"/>
      <c r="BU10" s="122" t="s">
        <v>0</v>
      </c>
      <c r="BV10" s="122" t="s">
        <v>0</v>
      </c>
      <c r="BW10" s="122"/>
      <c r="BX10" s="122"/>
      <c r="BY10" s="122"/>
      <c r="BZ10" s="122"/>
      <c r="CA10" s="122"/>
      <c r="CB10" s="122"/>
      <c r="CC10" s="122"/>
      <c r="CD10" s="122"/>
      <c r="CE10" s="122"/>
      <c r="CF10" s="122"/>
    </row>
    <row r="11" spans="1:84" s="17" customFormat="1" ht="18.75" x14ac:dyDescent="0.3">
      <c r="A11" s="73" t="s">
        <v>145</v>
      </c>
      <c r="B11" s="3" t="s">
        <v>231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49"/>
      <c r="BM11" s="49"/>
      <c r="BN11" s="49" t="s">
        <v>0</v>
      </c>
      <c r="BO11" s="49"/>
      <c r="BP11" s="49"/>
      <c r="BQ11" s="49"/>
      <c r="BR11" s="49"/>
      <c r="BS11" s="49"/>
      <c r="BT11" s="49"/>
      <c r="BU11" s="49"/>
      <c r="BV11" s="49"/>
      <c r="BW11" s="49"/>
      <c r="BX11" s="49"/>
      <c r="BY11" s="49"/>
      <c r="BZ11" s="49"/>
      <c r="CA11" s="49"/>
      <c r="CB11" s="49"/>
      <c r="CC11" s="49"/>
      <c r="CD11" s="49"/>
      <c r="CE11" s="49"/>
      <c r="CF11" s="49"/>
    </row>
    <row r="12" spans="1:84" s="17" customFormat="1" ht="18.75" x14ac:dyDescent="0.3">
      <c r="A12" s="21">
        <v>8</v>
      </c>
      <c r="B12" s="1" t="s">
        <v>232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49"/>
      <c r="BM12" s="49"/>
      <c r="BN12" s="49"/>
      <c r="BO12" s="49"/>
      <c r="BP12" s="49"/>
      <c r="BQ12" s="49" t="s">
        <v>0</v>
      </c>
      <c r="BR12" s="49"/>
      <c r="BS12" s="49"/>
      <c r="BT12" s="49"/>
      <c r="BU12" s="49" t="s">
        <v>0</v>
      </c>
      <c r="BV12" s="49" t="s">
        <v>0</v>
      </c>
      <c r="BW12" s="49"/>
      <c r="BX12" s="49"/>
      <c r="BY12" s="49"/>
      <c r="BZ12" s="49"/>
      <c r="CA12" s="49"/>
      <c r="CB12" s="49"/>
      <c r="CC12" s="49"/>
      <c r="CD12" s="49"/>
      <c r="CE12" s="49"/>
      <c r="CF12" s="49"/>
    </row>
    <row r="13" spans="1:84" s="17" customFormat="1" ht="15.75" x14ac:dyDescent="0.25"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BU13" s="52"/>
      <c r="BV13" s="52"/>
      <c r="BW13" s="52"/>
      <c r="BX13" s="52"/>
      <c r="BY13" s="52"/>
      <c r="BZ13" s="52"/>
      <c r="CA13" s="52"/>
      <c r="CB13" s="52"/>
      <c r="CC13" s="52"/>
      <c r="CD13" s="52"/>
      <c r="CE13" s="52"/>
      <c r="CF13" s="52"/>
    </row>
    <row r="14" spans="1:84" s="17" customFormat="1" ht="15.75" x14ac:dyDescent="0.25"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BU14" s="52"/>
      <c r="BV14" s="52"/>
      <c r="BW14" s="52"/>
      <c r="BX14" s="52"/>
      <c r="BY14" s="52"/>
      <c r="BZ14" s="52"/>
      <c r="CA14" s="52"/>
      <c r="CB14" s="52"/>
      <c r="CC14" s="52"/>
      <c r="CD14" s="52"/>
      <c r="CE14" s="52"/>
      <c r="CF14" s="52"/>
    </row>
    <row r="15" spans="1:84" s="17" customFormat="1" ht="15.75" x14ac:dyDescent="0.25"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BU15" s="52"/>
      <c r="BV15" s="52"/>
      <c r="BW15" s="52"/>
      <c r="BX15" s="52"/>
      <c r="BY15" s="52"/>
      <c r="BZ15" s="52"/>
      <c r="CA15" s="52"/>
      <c r="CB15" s="52"/>
      <c r="CC15" s="52"/>
      <c r="CD15" s="52"/>
      <c r="CE15" s="52"/>
      <c r="CF15" s="52"/>
    </row>
    <row r="16" spans="1:84" s="17" customFormat="1" ht="15.75" x14ac:dyDescent="0.25"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BU16" s="52"/>
      <c r="BV16" s="52"/>
      <c r="BW16" s="52"/>
      <c r="BX16" s="52"/>
      <c r="BY16" s="52"/>
      <c r="BZ16" s="52"/>
      <c r="CA16" s="52"/>
      <c r="CB16" s="52"/>
      <c r="CC16" s="52"/>
      <c r="CD16" s="52"/>
      <c r="CE16" s="52"/>
      <c r="CF16" s="52"/>
    </row>
    <row r="17" spans="3:84" s="17" customFormat="1" ht="15.75" x14ac:dyDescent="0.25"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BU17" s="52"/>
      <c r="BV17" s="52"/>
      <c r="BW17" s="52"/>
      <c r="BX17" s="52"/>
      <c r="BY17" s="52"/>
      <c r="BZ17" s="52"/>
      <c r="CA17" s="52"/>
      <c r="CB17" s="52"/>
      <c r="CC17" s="52"/>
      <c r="CD17" s="52"/>
      <c r="CE17" s="52"/>
      <c r="CF17" s="52"/>
    </row>
    <row r="18" spans="3:84" s="17" customFormat="1" ht="15.75" x14ac:dyDescent="0.25"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BU18" s="52"/>
      <c r="BV18" s="52"/>
      <c r="BW18" s="52"/>
      <c r="BX18" s="52"/>
      <c r="BY18" s="52"/>
      <c r="BZ18" s="52"/>
      <c r="CA18" s="52"/>
      <c r="CB18" s="52"/>
      <c r="CC18" s="52"/>
      <c r="CD18" s="52"/>
      <c r="CE18" s="52"/>
      <c r="CF18" s="52"/>
    </row>
  </sheetData>
  <mergeCells count="25"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28"/>
  <sheetViews>
    <sheetView topLeftCell="C1" workbookViewId="0">
      <selection activeCell="H7" sqref="H7"/>
    </sheetView>
  </sheetViews>
  <sheetFormatPr defaultRowHeight="15" x14ac:dyDescent="0.25"/>
  <cols>
    <col min="1" max="1" width="16.85546875" style="60" bestFit="1" customWidth="1"/>
    <col min="2" max="2" width="29.7109375" customWidth="1"/>
    <col min="3" max="3" width="19.28515625" customWidth="1"/>
    <col min="4" max="4" width="19.85546875" style="160" customWidth="1"/>
    <col min="5" max="5" width="43.85546875" customWidth="1"/>
    <col min="6" max="6" width="28" customWidth="1"/>
    <col min="7" max="7" width="14.85546875" style="60" customWidth="1"/>
    <col min="8" max="8" width="13.85546875" style="60" customWidth="1"/>
    <col min="9" max="9" width="22" style="60" customWidth="1"/>
    <col min="10" max="10" width="21.140625" style="60" customWidth="1"/>
    <col min="18" max="18" width="12" customWidth="1"/>
    <col min="19" max="19" width="11.28515625" customWidth="1"/>
    <col min="23" max="23" width="3" customWidth="1"/>
  </cols>
  <sheetData>
    <row r="1" spans="1:35" ht="18.75" x14ac:dyDescent="0.3">
      <c r="A1" s="284" t="s">
        <v>431</v>
      </c>
      <c r="B1" s="285"/>
      <c r="C1" s="285"/>
      <c r="D1" s="285"/>
      <c r="E1" s="285"/>
      <c r="F1" s="221"/>
      <c r="G1" s="221"/>
      <c r="H1" s="49"/>
      <c r="I1" s="49"/>
      <c r="J1" s="229"/>
      <c r="K1" s="49"/>
      <c r="L1" s="49"/>
      <c r="M1" s="49"/>
      <c r="N1" s="49"/>
      <c r="O1" s="49"/>
      <c r="P1" s="49"/>
      <c r="Q1" s="49"/>
      <c r="R1" s="21"/>
      <c r="S1" s="21"/>
      <c r="T1" s="21"/>
      <c r="U1" s="21"/>
      <c r="V1" s="21"/>
      <c r="W1" s="21"/>
      <c r="X1" s="22"/>
      <c r="Y1" s="22" t="s">
        <v>506</v>
      </c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5" ht="18.75" x14ac:dyDescent="0.3">
      <c r="A2" s="285"/>
      <c r="B2" s="285"/>
      <c r="C2" s="285"/>
      <c r="D2" s="285"/>
      <c r="E2" s="285"/>
      <c r="F2" s="221"/>
      <c r="G2" s="221"/>
      <c r="H2" s="49"/>
      <c r="I2" s="49"/>
      <c r="J2" s="229"/>
      <c r="K2" s="286" t="s">
        <v>7</v>
      </c>
      <c r="L2" s="286"/>
      <c r="M2" s="286"/>
      <c r="N2" s="286"/>
      <c r="O2" s="287" t="s">
        <v>8</v>
      </c>
      <c r="P2" s="287"/>
      <c r="Q2" s="287"/>
      <c r="R2" s="282" t="s">
        <v>323</v>
      </c>
      <c r="S2" s="282" t="s">
        <v>324</v>
      </c>
      <c r="T2" s="281" t="s">
        <v>11</v>
      </c>
      <c r="U2" s="281" t="s">
        <v>12</v>
      </c>
      <c r="V2" s="282" t="s">
        <v>325</v>
      </c>
      <c r="W2" s="219"/>
      <c r="X2" s="286" t="s">
        <v>7</v>
      </c>
      <c r="Y2" s="286"/>
      <c r="Z2" s="286"/>
      <c r="AA2" s="286"/>
      <c r="AB2" s="287" t="s">
        <v>8</v>
      </c>
      <c r="AC2" s="287"/>
      <c r="AD2" s="287"/>
      <c r="AE2" s="282" t="s">
        <v>323</v>
      </c>
      <c r="AF2" s="282" t="s">
        <v>324</v>
      </c>
      <c r="AG2" s="281" t="s">
        <v>11</v>
      </c>
      <c r="AH2" s="281" t="s">
        <v>12</v>
      </c>
      <c r="AI2" s="282" t="s">
        <v>325</v>
      </c>
    </row>
    <row r="3" spans="1:35" s="60" customFormat="1" ht="18.75" x14ac:dyDescent="0.3">
      <c r="A3" s="222" t="s">
        <v>6</v>
      </c>
      <c r="B3" s="222" t="s">
        <v>5</v>
      </c>
      <c r="C3" s="223" t="s">
        <v>4</v>
      </c>
      <c r="D3" s="223" t="s">
        <v>3</v>
      </c>
      <c r="E3" s="223" t="s">
        <v>117</v>
      </c>
      <c r="F3" s="223" t="s">
        <v>71</v>
      </c>
      <c r="G3" s="223" t="s">
        <v>106</v>
      </c>
      <c r="H3" s="222" t="s">
        <v>2</v>
      </c>
      <c r="I3" s="222" t="s">
        <v>173</v>
      </c>
      <c r="J3" s="222" t="s">
        <v>1</v>
      </c>
      <c r="K3" s="169" t="s">
        <v>14</v>
      </c>
      <c r="L3" s="170" t="s">
        <v>15</v>
      </c>
      <c r="M3" s="171" t="s">
        <v>16</v>
      </c>
      <c r="N3" s="172" t="s">
        <v>17</v>
      </c>
      <c r="O3" s="173" t="s">
        <v>18</v>
      </c>
      <c r="P3" s="174" t="s">
        <v>19</v>
      </c>
      <c r="Q3" s="175" t="s">
        <v>20</v>
      </c>
      <c r="R3" s="281"/>
      <c r="S3" s="281"/>
      <c r="T3" s="281"/>
      <c r="U3" s="281"/>
      <c r="V3" s="281"/>
      <c r="W3" s="220"/>
      <c r="X3" s="169" t="s">
        <v>14</v>
      </c>
      <c r="Y3" s="170" t="s">
        <v>15</v>
      </c>
      <c r="Z3" s="171" t="s">
        <v>16</v>
      </c>
      <c r="AA3" s="172" t="s">
        <v>17</v>
      </c>
      <c r="AB3" s="173" t="s">
        <v>18</v>
      </c>
      <c r="AC3" s="174" t="s">
        <v>19</v>
      </c>
      <c r="AD3" s="175" t="s">
        <v>20</v>
      </c>
      <c r="AE3" s="281"/>
      <c r="AF3" s="281"/>
      <c r="AG3" s="281"/>
      <c r="AH3" s="281"/>
      <c r="AI3" s="281"/>
    </row>
    <row r="4" spans="1:35" ht="18.75" x14ac:dyDescent="0.3">
      <c r="A4" s="49">
        <v>1</v>
      </c>
      <c r="B4" s="21" t="s">
        <v>301</v>
      </c>
      <c r="C4" s="224">
        <v>34005</v>
      </c>
      <c r="D4" s="225" t="s">
        <v>302</v>
      </c>
      <c r="E4" s="226" t="s">
        <v>303</v>
      </c>
      <c r="F4" s="21" t="s">
        <v>372</v>
      </c>
      <c r="G4" s="49"/>
      <c r="H4" s="49" t="s">
        <v>53</v>
      </c>
      <c r="I4" s="49" t="s">
        <v>309</v>
      </c>
      <c r="J4" s="229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83"/>
      <c r="X4" s="21">
        <v>3</v>
      </c>
      <c r="Y4" s="21">
        <v>13</v>
      </c>
      <c r="Z4" s="21">
        <v>10</v>
      </c>
      <c r="AA4" s="21">
        <v>8</v>
      </c>
      <c r="AB4" s="21">
        <v>15</v>
      </c>
      <c r="AC4" s="21">
        <v>5</v>
      </c>
      <c r="AD4" s="21">
        <v>15</v>
      </c>
      <c r="AE4" s="21">
        <v>34</v>
      </c>
      <c r="AF4" s="21">
        <v>35</v>
      </c>
      <c r="AG4" s="21">
        <v>150</v>
      </c>
      <c r="AH4" s="21">
        <v>120</v>
      </c>
      <c r="AI4" s="21">
        <v>270</v>
      </c>
    </row>
    <row r="5" spans="1:35" ht="18.75" x14ac:dyDescent="0.3">
      <c r="A5" s="49">
        <v>2</v>
      </c>
      <c r="B5" s="21" t="s">
        <v>322</v>
      </c>
      <c r="C5" s="226" t="s">
        <v>400</v>
      </c>
      <c r="D5" s="225" t="s">
        <v>320</v>
      </c>
      <c r="E5" s="226" t="s">
        <v>121</v>
      </c>
      <c r="F5" s="226" t="s">
        <v>399</v>
      </c>
      <c r="G5" s="221"/>
      <c r="H5" s="49" t="s">
        <v>53</v>
      </c>
      <c r="I5" s="49" t="s">
        <v>309</v>
      </c>
      <c r="J5" s="229"/>
      <c r="K5" s="227">
        <v>4</v>
      </c>
      <c r="L5" s="227">
        <v>12</v>
      </c>
      <c r="M5" s="227">
        <v>12</v>
      </c>
      <c r="N5" s="227">
        <v>11</v>
      </c>
      <c r="O5" s="227">
        <v>20</v>
      </c>
      <c r="P5" s="227">
        <v>2</v>
      </c>
      <c r="Q5" s="227">
        <v>16</v>
      </c>
      <c r="R5" s="227">
        <v>39</v>
      </c>
      <c r="S5" s="227">
        <v>38</v>
      </c>
      <c r="T5" s="227">
        <v>180</v>
      </c>
      <c r="U5" s="227">
        <v>140</v>
      </c>
      <c r="V5" s="227">
        <v>320</v>
      </c>
      <c r="W5" s="283"/>
      <c r="X5" s="228">
        <v>3</v>
      </c>
      <c r="Y5" s="228">
        <v>21</v>
      </c>
      <c r="Z5" s="228">
        <v>11</v>
      </c>
      <c r="AA5" s="228">
        <v>12</v>
      </c>
      <c r="AB5" s="228">
        <v>19</v>
      </c>
      <c r="AC5" s="228">
        <v>4</v>
      </c>
      <c r="AD5" s="228">
        <v>20</v>
      </c>
      <c r="AE5" s="228">
        <v>47</v>
      </c>
      <c r="AF5" s="228">
        <v>43</v>
      </c>
      <c r="AG5" s="228">
        <v>230</v>
      </c>
      <c r="AH5" s="228">
        <v>170</v>
      </c>
      <c r="AI5" s="228">
        <v>400</v>
      </c>
    </row>
    <row r="6" spans="1:35" ht="18.75" x14ac:dyDescent="0.3">
      <c r="A6" s="49">
        <v>3</v>
      </c>
      <c r="B6" s="21" t="s">
        <v>319</v>
      </c>
      <c r="C6" s="226" t="s">
        <v>398</v>
      </c>
      <c r="D6" s="225" t="s">
        <v>321</v>
      </c>
      <c r="E6" s="226" t="s">
        <v>121</v>
      </c>
      <c r="F6" s="226" t="s">
        <v>399</v>
      </c>
      <c r="G6" s="221"/>
      <c r="H6" s="49" t="s">
        <v>53</v>
      </c>
      <c r="I6" s="49" t="s">
        <v>309</v>
      </c>
      <c r="J6" s="229"/>
      <c r="K6" s="227">
        <v>0</v>
      </c>
      <c r="L6" s="227">
        <v>14</v>
      </c>
      <c r="M6" s="227">
        <v>8</v>
      </c>
      <c r="N6" s="227">
        <v>7</v>
      </c>
      <c r="O6" s="227">
        <v>15</v>
      </c>
      <c r="P6" s="227">
        <v>5</v>
      </c>
      <c r="Q6" s="227">
        <v>19</v>
      </c>
      <c r="R6" s="227">
        <v>29</v>
      </c>
      <c r="S6" s="227">
        <v>39</v>
      </c>
      <c r="T6" s="227">
        <v>125</v>
      </c>
      <c r="U6" s="227">
        <v>145</v>
      </c>
      <c r="V6" s="227">
        <v>270</v>
      </c>
      <c r="W6" s="283"/>
      <c r="X6" s="228">
        <v>0</v>
      </c>
      <c r="Y6" s="228">
        <v>6</v>
      </c>
      <c r="Z6" s="21">
        <v>14</v>
      </c>
      <c r="AA6" s="21">
        <v>6</v>
      </c>
      <c r="AB6" s="21">
        <v>16</v>
      </c>
      <c r="AC6" s="21">
        <v>1</v>
      </c>
      <c r="AD6" s="21">
        <v>16</v>
      </c>
      <c r="AE6" s="21">
        <v>26</v>
      </c>
      <c r="AF6" s="21">
        <v>33</v>
      </c>
      <c r="AG6" s="21">
        <v>110</v>
      </c>
      <c r="AH6" s="21">
        <v>110</v>
      </c>
      <c r="AI6" s="21">
        <v>220</v>
      </c>
    </row>
    <row r="7" spans="1:35" s="1" customFormat="1" ht="18.75" x14ac:dyDescent="0.3">
      <c r="A7" s="49">
        <v>4</v>
      </c>
      <c r="B7" s="21" t="s">
        <v>333</v>
      </c>
      <c r="C7" s="226" t="s">
        <v>387</v>
      </c>
      <c r="D7" s="225" t="s">
        <v>336</v>
      </c>
      <c r="E7" s="226" t="s">
        <v>371</v>
      </c>
      <c r="F7" s="226" t="s">
        <v>372</v>
      </c>
      <c r="G7" s="221"/>
      <c r="H7" s="49" t="s">
        <v>53</v>
      </c>
      <c r="I7" s="49" t="s">
        <v>332</v>
      </c>
      <c r="J7" s="229"/>
      <c r="K7" s="21">
        <v>4</v>
      </c>
      <c r="L7" s="21">
        <v>9</v>
      </c>
      <c r="M7" s="21">
        <v>9</v>
      </c>
      <c r="N7" s="21">
        <v>7</v>
      </c>
      <c r="O7" s="21">
        <v>21</v>
      </c>
      <c r="P7" s="21">
        <v>4</v>
      </c>
      <c r="Q7" s="21">
        <v>5</v>
      </c>
      <c r="R7" s="21">
        <v>29</v>
      </c>
      <c r="S7" s="21">
        <v>30</v>
      </c>
      <c r="T7" s="21">
        <v>125</v>
      </c>
      <c r="U7" s="21">
        <v>90</v>
      </c>
      <c r="V7" s="21">
        <v>215</v>
      </c>
      <c r="W7" s="283"/>
      <c r="X7" s="21">
        <v>2</v>
      </c>
      <c r="Y7" s="21">
        <v>11</v>
      </c>
      <c r="Z7" s="21">
        <v>5</v>
      </c>
      <c r="AA7" s="21">
        <v>10</v>
      </c>
      <c r="AB7" s="21">
        <v>15</v>
      </c>
      <c r="AC7" s="21">
        <v>4</v>
      </c>
      <c r="AD7" s="21">
        <v>17</v>
      </c>
      <c r="AE7" s="21">
        <v>28</v>
      </c>
      <c r="AF7" s="21">
        <v>36</v>
      </c>
      <c r="AG7" s="21">
        <v>120</v>
      </c>
      <c r="AH7" s="21">
        <v>125</v>
      </c>
      <c r="AI7" s="21">
        <v>245</v>
      </c>
    </row>
    <row r="8" spans="1:35" ht="18.75" x14ac:dyDescent="0.3">
      <c r="A8" s="49">
        <v>5</v>
      </c>
      <c r="B8" s="21" t="s">
        <v>334</v>
      </c>
      <c r="C8" s="226" t="s">
        <v>386</v>
      </c>
      <c r="D8" s="225" t="s">
        <v>337</v>
      </c>
      <c r="E8" s="226" t="s">
        <v>335</v>
      </c>
      <c r="F8" s="226" t="s">
        <v>372</v>
      </c>
      <c r="G8" s="221"/>
      <c r="H8" s="49" t="s">
        <v>53</v>
      </c>
      <c r="I8" s="49" t="s">
        <v>332</v>
      </c>
      <c r="J8" s="229" t="s">
        <v>53</v>
      </c>
      <c r="K8" s="21">
        <v>4</v>
      </c>
      <c r="L8" s="21">
        <v>9</v>
      </c>
      <c r="M8" s="21">
        <v>9</v>
      </c>
      <c r="N8" s="21">
        <v>8</v>
      </c>
      <c r="O8" s="21">
        <v>19</v>
      </c>
      <c r="P8" s="21">
        <v>1</v>
      </c>
      <c r="Q8" s="21">
        <v>15</v>
      </c>
      <c r="R8" s="21">
        <v>30</v>
      </c>
      <c r="S8" s="21">
        <v>35</v>
      </c>
      <c r="T8" s="21">
        <v>130</v>
      </c>
      <c r="U8" s="21">
        <v>120</v>
      </c>
      <c r="V8" s="21">
        <v>250</v>
      </c>
      <c r="W8" s="283"/>
      <c r="X8" s="27">
        <v>1</v>
      </c>
      <c r="Y8" s="27">
        <v>12</v>
      </c>
      <c r="Z8" s="27">
        <v>12</v>
      </c>
      <c r="AA8" s="27">
        <v>13</v>
      </c>
      <c r="AB8" s="27">
        <v>18</v>
      </c>
      <c r="AC8" s="27">
        <v>5</v>
      </c>
      <c r="AD8" s="27">
        <v>15</v>
      </c>
      <c r="AE8" s="27">
        <v>38</v>
      </c>
      <c r="AF8" s="27">
        <v>38</v>
      </c>
      <c r="AG8" s="27">
        <v>175</v>
      </c>
      <c r="AH8" s="27">
        <v>140</v>
      </c>
      <c r="AI8" s="27">
        <v>315</v>
      </c>
    </row>
    <row r="9" spans="1:35" ht="18.75" x14ac:dyDescent="0.3">
      <c r="A9" s="49">
        <v>6</v>
      </c>
      <c r="B9" s="21" t="s">
        <v>338</v>
      </c>
      <c r="C9" s="226" t="s">
        <v>382</v>
      </c>
      <c r="D9" s="225" t="s">
        <v>339</v>
      </c>
      <c r="E9" s="226" t="s">
        <v>383</v>
      </c>
      <c r="F9" s="226" t="s">
        <v>380</v>
      </c>
      <c r="G9" s="221"/>
      <c r="H9" s="49" t="s">
        <v>53</v>
      </c>
      <c r="I9" s="49" t="s">
        <v>332</v>
      </c>
      <c r="J9" s="229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83"/>
      <c r="X9" s="21">
        <v>5</v>
      </c>
      <c r="Y9" s="21">
        <v>12</v>
      </c>
      <c r="Z9" s="21">
        <v>11</v>
      </c>
      <c r="AA9" s="21">
        <v>5</v>
      </c>
      <c r="AB9" s="21">
        <v>14</v>
      </c>
      <c r="AC9" s="21">
        <v>3</v>
      </c>
      <c r="AD9" s="21">
        <v>17</v>
      </c>
      <c r="AE9" s="21">
        <v>33</v>
      </c>
      <c r="AF9" s="21">
        <v>34</v>
      </c>
      <c r="AG9" s="21">
        <v>145</v>
      </c>
      <c r="AH9" s="21">
        <v>115</v>
      </c>
      <c r="AI9" s="21">
        <v>260</v>
      </c>
    </row>
    <row r="10" spans="1:35" ht="18.75" x14ac:dyDescent="0.3">
      <c r="A10" s="49">
        <v>7</v>
      </c>
      <c r="B10" s="21" t="s">
        <v>340</v>
      </c>
      <c r="C10" s="226" t="s">
        <v>381</v>
      </c>
      <c r="D10" s="225" t="s">
        <v>341</v>
      </c>
      <c r="E10" s="226" t="s">
        <v>342</v>
      </c>
      <c r="F10" s="226" t="s">
        <v>380</v>
      </c>
      <c r="G10" s="221"/>
      <c r="H10" s="49" t="s">
        <v>53</v>
      </c>
      <c r="I10" s="49" t="s">
        <v>332</v>
      </c>
      <c r="J10" s="229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83"/>
      <c r="X10" s="21">
        <v>3</v>
      </c>
      <c r="Y10" s="21">
        <v>17</v>
      </c>
      <c r="Z10" s="21">
        <v>8</v>
      </c>
      <c r="AA10" s="21">
        <v>13</v>
      </c>
      <c r="AB10" s="21">
        <v>21</v>
      </c>
      <c r="AC10" s="21">
        <v>2</v>
      </c>
      <c r="AD10" s="21">
        <v>19</v>
      </c>
      <c r="AE10" s="21">
        <v>41</v>
      </c>
      <c r="AF10" s="21">
        <v>42</v>
      </c>
      <c r="AG10" s="21">
        <v>190</v>
      </c>
      <c r="AH10" s="21">
        <v>165</v>
      </c>
      <c r="AI10" s="21">
        <v>355</v>
      </c>
    </row>
    <row r="11" spans="1:35" ht="18.75" x14ac:dyDescent="0.3">
      <c r="A11" s="49">
        <v>8</v>
      </c>
      <c r="B11" s="21" t="s">
        <v>345</v>
      </c>
      <c r="C11" s="226" t="s">
        <v>390</v>
      </c>
      <c r="D11" s="225" t="s">
        <v>347</v>
      </c>
      <c r="E11" s="226" t="s">
        <v>391</v>
      </c>
      <c r="F11" s="21" t="s">
        <v>372</v>
      </c>
      <c r="G11" s="221"/>
      <c r="H11" s="49" t="s">
        <v>53</v>
      </c>
      <c r="I11" s="49" t="s">
        <v>346</v>
      </c>
      <c r="J11" s="229"/>
      <c r="K11" s="21">
        <v>4</v>
      </c>
      <c r="L11" s="21">
        <v>11</v>
      </c>
      <c r="M11" s="21">
        <v>5</v>
      </c>
      <c r="N11" s="21">
        <v>12</v>
      </c>
      <c r="O11" s="21">
        <v>17</v>
      </c>
      <c r="P11" s="21">
        <v>3</v>
      </c>
      <c r="Q11" s="21">
        <v>12</v>
      </c>
      <c r="R11" s="21">
        <v>32</v>
      </c>
      <c r="S11" s="21">
        <v>32</v>
      </c>
      <c r="T11" s="21">
        <v>140</v>
      </c>
      <c r="U11" s="21">
        <v>100</v>
      </c>
      <c r="V11" s="21">
        <v>240</v>
      </c>
      <c r="W11" s="283"/>
      <c r="X11" s="27">
        <v>4</v>
      </c>
      <c r="Y11" s="27">
        <v>4</v>
      </c>
      <c r="Z11" s="27">
        <v>10</v>
      </c>
      <c r="AA11" s="27">
        <v>8</v>
      </c>
      <c r="AB11" s="27">
        <v>6</v>
      </c>
      <c r="AC11" s="27">
        <v>1</v>
      </c>
      <c r="AD11" s="27">
        <v>16</v>
      </c>
      <c r="AE11" s="27">
        <v>26</v>
      </c>
      <c r="AF11" s="27">
        <v>23</v>
      </c>
      <c r="AG11" s="27">
        <v>110</v>
      </c>
      <c r="AH11" s="27">
        <v>45</v>
      </c>
      <c r="AI11" s="27">
        <v>155</v>
      </c>
    </row>
    <row r="12" spans="1:35" ht="18.75" x14ac:dyDescent="0.3">
      <c r="A12" s="49">
        <v>9</v>
      </c>
      <c r="B12" s="21" t="s">
        <v>350</v>
      </c>
      <c r="C12" s="226" t="s">
        <v>396</v>
      </c>
      <c r="D12" s="225" t="s">
        <v>349</v>
      </c>
      <c r="E12" s="226" t="s">
        <v>397</v>
      </c>
      <c r="F12" s="21" t="s">
        <v>394</v>
      </c>
      <c r="G12" s="221"/>
      <c r="H12" s="49" t="s">
        <v>53</v>
      </c>
      <c r="I12" s="49" t="s">
        <v>332</v>
      </c>
      <c r="J12" s="229"/>
      <c r="K12" s="21">
        <v>2</v>
      </c>
      <c r="L12" s="21">
        <v>12</v>
      </c>
      <c r="M12" s="21">
        <v>8</v>
      </c>
      <c r="N12" s="21">
        <v>9</v>
      </c>
      <c r="O12" s="21">
        <v>15</v>
      </c>
      <c r="P12" s="21">
        <v>3</v>
      </c>
      <c r="Q12" s="21">
        <v>12</v>
      </c>
      <c r="R12" s="21">
        <v>31</v>
      </c>
      <c r="S12" s="21">
        <v>30</v>
      </c>
      <c r="T12" s="21">
        <v>135</v>
      </c>
      <c r="U12" s="21">
        <v>90</v>
      </c>
      <c r="V12" s="21">
        <v>225</v>
      </c>
      <c r="W12" s="283"/>
      <c r="X12" s="27">
        <v>2</v>
      </c>
      <c r="Y12" s="27">
        <v>15</v>
      </c>
      <c r="Z12" s="27">
        <v>10</v>
      </c>
      <c r="AA12" s="27">
        <v>9</v>
      </c>
      <c r="AB12" s="27">
        <v>13</v>
      </c>
      <c r="AC12" s="27">
        <v>5</v>
      </c>
      <c r="AD12" s="27">
        <v>9</v>
      </c>
      <c r="AE12" s="27">
        <v>36</v>
      </c>
      <c r="AF12" s="27">
        <v>27</v>
      </c>
      <c r="AG12" s="27">
        <v>165</v>
      </c>
      <c r="AH12" s="27">
        <v>70</v>
      </c>
      <c r="AI12" s="27">
        <v>235</v>
      </c>
    </row>
    <row r="13" spans="1:35" ht="18.75" x14ac:dyDescent="0.3">
      <c r="A13" s="49">
        <v>10</v>
      </c>
      <c r="B13" s="21" t="s">
        <v>354</v>
      </c>
      <c r="C13" s="226" t="s">
        <v>375</v>
      </c>
      <c r="D13" s="225" t="s">
        <v>356</v>
      </c>
      <c r="E13" s="226" t="s">
        <v>378</v>
      </c>
      <c r="F13" s="226" t="s">
        <v>374</v>
      </c>
      <c r="G13" s="221"/>
      <c r="H13" s="49" t="s">
        <v>53</v>
      </c>
      <c r="I13" s="49" t="s">
        <v>332</v>
      </c>
      <c r="J13" s="229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83"/>
      <c r="X13" s="21">
        <v>4</v>
      </c>
      <c r="Y13" s="21">
        <v>17</v>
      </c>
      <c r="Z13" s="21">
        <v>12</v>
      </c>
      <c r="AA13" s="21">
        <v>9</v>
      </c>
      <c r="AB13" s="21">
        <v>16</v>
      </c>
      <c r="AC13" s="21">
        <v>5</v>
      </c>
      <c r="AD13" s="21">
        <v>18</v>
      </c>
      <c r="AE13" s="21">
        <v>43</v>
      </c>
      <c r="AF13" s="21">
        <v>39</v>
      </c>
      <c r="AG13" s="21">
        <v>200</v>
      </c>
      <c r="AH13" s="21">
        <v>145</v>
      </c>
      <c r="AI13" s="21">
        <v>345</v>
      </c>
    </row>
    <row r="14" spans="1:35" ht="18.75" x14ac:dyDescent="0.3">
      <c r="A14" s="49">
        <v>11</v>
      </c>
      <c r="B14" s="21" t="s">
        <v>355</v>
      </c>
      <c r="C14" s="226" t="s">
        <v>373</v>
      </c>
      <c r="D14" s="225" t="s">
        <v>357</v>
      </c>
      <c r="E14" s="226" t="s">
        <v>379</v>
      </c>
      <c r="F14" s="226" t="s">
        <v>374</v>
      </c>
      <c r="G14" s="221"/>
      <c r="H14" s="49" t="s">
        <v>53</v>
      </c>
      <c r="I14" s="49" t="s">
        <v>332</v>
      </c>
      <c r="J14" s="229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83"/>
      <c r="X14" s="21">
        <v>3</v>
      </c>
      <c r="Y14" s="21">
        <v>20</v>
      </c>
      <c r="Z14" s="21">
        <v>12</v>
      </c>
      <c r="AA14" s="21">
        <v>5</v>
      </c>
      <c r="AB14" s="21">
        <v>17</v>
      </c>
      <c r="AC14" s="21">
        <v>3</v>
      </c>
      <c r="AD14" s="21">
        <v>13</v>
      </c>
      <c r="AE14" s="21">
        <v>40</v>
      </c>
      <c r="AF14" s="21">
        <v>33</v>
      </c>
      <c r="AG14" s="21">
        <v>185</v>
      </c>
      <c r="AH14" s="21">
        <v>110</v>
      </c>
      <c r="AI14" s="21">
        <v>295</v>
      </c>
    </row>
    <row r="15" spans="1:35" ht="18.75" x14ac:dyDescent="0.3">
      <c r="A15" s="49">
        <v>12</v>
      </c>
      <c r="B15" s="21" t="s">
        <v>358</v>
      </c>
      <c r="C15" s="226" t="s">
        <v>388</v>
      </c>
      <c r="D15" s="225" t="s">
        <v>376</v>
      </c>
      <c r="E15" s="226" t="s">
        <v>377</v>
      </c>
      <c r="F15" s="21" t="s">
        <v>380</v>
      </c>
      <c r="G15" s="221"/>
      <c r="H15" s="49" t="s">
        <v>53</v>
      </c>
      <c r="I15" s="49" t="s">
        <v>346</v>
      </c>
      <c r="J15" s="229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83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</row>
    <row r="16" spans="1:35" ht="18.75" x14ac:dyDescent="0.3">
      <c r="A16" s="49">
        <v>13</v>
      </c>
      <c r="B16" s="21" t="s">
        <v>135</v>
      </c>
      <c r="C16" s="226" t="s">
        <v>136</v>
      </c>
      <c r="D16" s="225" t="s">
        <v>137</v>
      </c>
      <c r="E16" s="226" t="s">
        <v>359</v>
      </c>
      <c r="F16" s="21" t="s">
        <v>389</v>
      </c>
      <c r="G16" s="221"/>
      <c r="H16" s="49" t="s">
        <v>53</v>
      </c>
      <c r="I16" s="49" t="s">
        <v>360</v>
      </c>
      <c r="J16" s="229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83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</row>
    <row r="17" spans="1:35" ht="18.75" x14ac:dyDescent="0.3">
      <c r="A17" s="49">
        <v>14</v>
      </c>
      <c r="B17" s="21" t="s">
        <v>361</v>
      </c>
      <c r="C17" s="226" t="s">
        <v>384</v>
      </c>
      <c r="D17" s="225" t="s">
        <v>385</v>
      </c>
      <c r="E17" s="226" t="s">
        <v>362</v>
      </c>
      <c r="F17" s="21" t="s">
        <v>372</v>
      </c>
      <c r="G17" s="221"/>
      <c r="H17" s="49" t="s">
        <v>53</v>
      </c>
      <c r="I17" s="49" t="s">
        <v>309</v>
      </c>
      <c r="J17" s="229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83"/>
      <c r="X17" s="21">
        <v>1</v>
      </c>
      <c r="Y17" s="21">
        <v>11</v>
      </c>
      <c r="Z17" s="21">
        <v>7</v>
      </c>
      <c r="AA17" s="21">
        <v>6</v>
      </c>
      <c r="AB17" s="21">
        <v>10</v>
      </c>
      <c r="AC17" s="21">
        <v>5</v>
      </c>
      <c r="AD17" s="21">
        <v>10</v>
      </c>
      <c r="AE17" s="21">
        <v>25</v>
      </c>
      <c r="AF17" s="21">
        <v>25</v>
      </c>
      <c r="AG17" s="21">
        <v>100</v>
      </c>
      <c r="AH17" s="21">
        <v>60</v>
      </c>
      <c r="AI17" s="21">
        <v>160</v>
      </c>
    </row>
    <row r="18" spans="1:35" ht="18.75" x14ac:dyDescent="0.3">
      <c r="A18" s="49">
        <v>15</v>
      </c>
      <c r="B18" s="21" t="s">
        <v>363</v>
      </c>
      <c r="C18" s="226" t="s">
        <v>392</v>
      </c>
      <c r="D18" s="225" t="s">
        <v>393</v>
      </c>
      <c r="E18" s="226" t="s">
        <v>364</v>
      </c>
      <c r="F18" s="21" t="s">
        <v>394</v>
      </c>
      <c r="G18" s="221"/>
      <c r="H18" s="49" t="s">
        <v>53</v>
      </c>
      <c r="I18" s="49" t="s">
        <v>332</v>
      </c>
      <c r="J18" s="229" t="s">
        <v>53</v>
      </c>
      <c r="K18" s="21">
        <v>2</v>
      </c>
      <c r="L18" s="21">
        <v>10</v>
      </c>
      <c r="M18" s="21">
        <v>11</v>
      </c>
      <c r="N18" s="21">
        <v>14</v>
      </c>
      <c r="O18" s="21">
        <v>26</v>
      </c>
      <c r="P18" s="21">
        <v>5</v>
      </c>
      <c r="Q18" s="21">
        <v>18</v>
      </c>
      <c r="R18" s="21">
        <v>37</v>
      </c>
      <c r="S18" s="21">
        <v>49</v>
      </c>
      <c r="T18" s="21">
        <v>170</v>
      </c>
      <c r="U18" s="21">
        <v>210</v>
      </c>
      <c r="V18" s="21">
        <v>380</v>
      </c>
      <c r="W18" s="283"/>
      <c r="X18" s="27">
        <v>4</v>
      </c>
      <c r="Y18" s="27">
        <v>23</v>
      </c>
      <c r="Z18" s="27">
        <v>18</v>
      </c>
      <c r="AA18" s="27">
        <v>17</v>
      </c>
      <c r="AB18" s="27">
        <v>27</v>
      </c>
      <c r="AC18" s="27">
        <v>4</v>
      </c>
      <c r="AD18" s="27">
        <v>28</v>
      </c>
      <c r="AE18" s="27">
        <v>62</v>
      </c>
      <c r="AF18" s="27">
        <v>59</v>
      </c>
      <c r="AG18" s="27">
        <v>325</v>
      </c>
      <c r="AH18" s="27">
        <v>265</v>
      </c>
      <c r="AI18" s="27">
        <v>590</v>
      </c>
    </row>
    <row r="19" spans="1:35" ht="18.75" x14ac:dyDescent="0.3">
      <c r="A19" s="49">
        <v>16</v>
      </c>
      <c r="B19" s="21" t="s">
        <v>365</v>
      </c>
      <c r="C19" s="226" t="s">
        <v>395</v>
      </c>
      <c r="D19" s="225" t="s">
        <v>367</v>
      </c>
      <c r="E19" s="226" t="s">
        <v>366</v>
      </c>
      <c r="F19" s="21" t="s">
        <v>394</v>
      </c>
      <c r="G19" s="221"/>
      <c r="H19" s="49" t="s">
        <v>53</v>
      </c>
      <c r="I19" s="49" t="s">
        <v>332</v>
      </c>
      <c r="J19" s="229"/>
      <c r="K19" s="21">
        <v>0</v>
      </c>
      <c r="L19" s="21">
        <v>10</v>
      </c>
      <c r="M19" s="21">
        <v>5</v>
      </c>
      <c r="N19" s="21">
        <v>8</v>
      </c>
      <c r="O19" s="21">
        <v>12</v>
      </c>
      <c r="P19" s="21">
        <v>1</v>
      </c>
      <c r="Q19" s="21">
        <v>11</v>
      </c>
      <c r="R19" s="21">
        <v>23</v>
      </c>
      <c r="S19" s="21">
        <v>24</v>
      </c>
      <c r="T19" s="21">
        <v>90</v>
      </c>
      <c r="U19" s="21">
        <v>50</v>
      </c>
      <c r="V19" s="21">
        <v>140</v>
      </c>
      <c r="W19" s="283"/>
      <c r="X19" s="27">
        <v>0</v>
      </c>
      <c r="Y19" s="27">
        <v>0</v>
      </c>
      <c r="Z19" s="21">
        <v>3</v>
      </c>
      <c r="AA19" s="21">
        <v>8</v>
      </c>
      <c r="AB19" s="21">
        <v>18</v>
      </c>
      <c r="AC19" s="21">
        <v>4</v>
      </c>
      <c r="AD19" s="21">
        <v>15</v>
      </c>
      <c r="AE19" s="21">
        <v>11</v>
      </c>
      <c r="AF19" s="21">
        <v>37</v>
      </c>
      <c r="AG19" s="21">
        <v>30</v>
      </c>
      <c r="AH19" s="21">
        <v>130</v>
      </c>
      <c r="AI19" s="21">
        <v>160</v>
      </c>
    </row>
    <row r="20" spans="1:35" ht="18.75" x14ac:dyDescent="0.3">
      <c r="A20" s="49">
        <v>17</v>
      </c>
      <c r="B20" s="21" t="s">
        <v>424</v>
      </c>
      <c r="C20" s="226" t="s">
        <v>423</v>
      </c>
      <c r="D20" s="225" t="s">
        <v>420</v>
      </c>
      <c r="E20" s="226" t="s">
        <v>421</v>
      </c>
      <c r="F20" s="21" t="s">
        <v>394</v>
      </c>
      <c r="G20" s="221"/>
      <c r="H20" s="49" t="s">
        <v>53</v>
      </c>
      <c r="I20" s="49" t="s">
        <v>422</v>
      </c>
      <c r="J20" s="229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83"/>
      <c r="X20" s="21">
        <v>8</v>
      </c>
      <c r="Y20" s="21">
        <v>14</v>
      </c>
      <c r="Z20" s="21">
        <v>11</v>
      </c>
      <c r="AA20" s="21">
        <v>8</v>
      </c>
      <c r="AB20" s="21">
        <v>17</v>
      </c>
      <c r="AC20" s="21">
        <v>2</v>
      </c>
      <c r="AD20" s="21">
        <v>20</v>
      </c>
      <c r="AE20" s="21">
        <v>41</v>
      </c>
      <c r="AF20" s="21">
        <v>39</v>
      </c>
      <c r="AG20" s="21">
        <v>190</v>
      </c>
      <c r="AH20" s="21">
        <v>145</v>
      </c>
      <c r="AI20" s="21">
        <v>335</v>
      </c>
    </row>
    <row r="21" spans="1:35" ht="18.75" x14ac:dyDescent="0.3">
      <c r="A21" s="49">
        <v>18</v>
      </c>
      <c r="B21" s="21" t="s">
        <v>426</v>
      </c>
      <c r="C21" s="226" t="s">
        <v>428</v>
      </c>
      <c r="D21" s="225" t="s">
        <v>429</v>
      </c>
      <c r="E21" s="226" t="s">
        <v>427</v>
      </c>
      <c r="F21" s="21" t="s">
        <v>380</v>
      </c>
      <c r="G21" s="221"/>
      <c r="H21" s="49" t="s">
        <v>53</v>
      </c>
      <c r="I21" s="49" t="s">
        <v>309</v>
      </c>
      <c r="J21" s="229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83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</row>
    <row r="22" spans="1:35" ht="18.75" x14ac:dyDescent="0.3">
      <c r="A22" s="49">
        <v>19</v>
      </c>
      <c r="B22" s="21" t="s">
        <v>430</v>
      </c>
      <c r="C22" s="226" t="s">
        <v>384</v>
      </c>
      <c r="D22" s="225" t="s">
        <v>434</v>
      </c>
      <c r="E22" s="226" t="s">
        <v>362</v>
      </c>
      <c r="F22" s="21" t="s">
        <v>372</v>
      </c>
      <c r="G22" s="221"/>
      <c r="H22" s="49" t="s">
        <v>53</v>
      </c>
      <c r="I22" s="49" t="s">
        <v>309</v>
      </c>
      <c r="J22" s="229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83"/>
      <c r="X22" s="21">
        <v>2</v>
      </c>
      <c r="Y22" s="21">
        <v>10</v>
      </c>
      <c r="Z22" s="21">
        <v>9</v>
      </c>
      <c r="AA22" s="21">
        <v>8</v>
      </c>
      <c r="AB22" s="21">
        <v>8</v>
      </c>
      <c r="AC22" s="21">
        <v>2</v>
      </c>
      <c r="AD22" s="21">
        <v>13</v>
      </c>
      <c r="AE22" s="21">
        <v>29</v>
      </c>
      <c r="AF22" s="21">
        <v>23</v>
      </c>
      <c r="AG22" s="21">
        <v>125</v>
      </c>
      <c r="AH22" s="21">
        <v>45</v>
      </c>
      <c r="AI22" s="21">
        <v>170</v>
      </c>
    </row>
    <row r="23" spans="1:35" s="1" customFormat="1" ht="18.75" x14ac:dyDescent="0.3">
      <c r="A23" s="49">
        <v>20</v>
      </c>
      <c r="B23" s="21" t="s">
        <v>435</v>
      </c>
      <c r="C23" s="226" t="s">
        <v>436</v>
      </c>
      <c r="D23" s="225" t="s">
        <v>437</v>
      </c>
      <c r="E23" s="226" t="s">
        <v>438</v>
      </c>
      <c r="F23" s="21" t="s">
        <v>372</v>
      </c>
      <c r="G23" s="221"/>
      <c r="H23" s="49" t="s">
        <v>53</v>
      </c>
      <c r="I23" s="49" t="s">
        <v>309</v>
      </c>
      <c r="J23" s="229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83"/>
      <c r="X23" s="21">
        <v>0</v>
      </c>
      <c r="Y23" s="21">
        <v>11</v>
      </c>
      <c r="Z23" s="21">
        <v>6</v>
      </c>
      <c r="AA23" s="21">
        <v>10</v>
      </c>
      <c r="AB23" s="21">
        <v>18</v>
      </c>
      <c r="AC23" s="21">
        <v>2</v>
      </c>
      <c r="AD23" s="21">
        <v>15</v>
      </c>
      <c r="AE23" s="21">
        <v>17</v>
      </c>
      <c r="AF23" s="21">
        <v>35</v>
      </c>
      <c r="AG23" s="21">
        <v>60</v>
      </c>
      <c r="AH23" s="21">
        <v>120</v>
      </c>
      <c r="AI23" s="21">
        <v>180</v>
      </c>
    </row>
    <row r="24" spans="1:35" ht="18.75" x14ac:dyDescent="0.3">
      <c r="A24" s="2"/>
      <c r="C24" s="3"/>
      <c r="G24" s="33"/>
      <c r="K24" s="150"/>
      <c r="L24" s="150"/>
      <c r="M24" s="150"/>
      <c r="N24" s="150"/>
      <c r="O24" s="150"/>
      <c r="P24" s="150"/>
      <c r="Q24" s="150"/>
      <c r="R24" s="150"/>
      <c r="S24" s="150"/>
      <c r="T24" s="150"/>
      <c r="U24" s="150"/>
      <c r="V24" s="150"/>
      <c r="W24" s="150"/>
    </row>
    <row r="25" spans="1:35" s="1" customFormat="1" ht="18.75" x14ac:dyDescent="0.3">
      <c r="A25" s="2"/>
      <c r="G25" s="2"/>
      <c r="H25" s="2"/>
      <c r="I25" s="2"/>
      <c r="J25" s="2"/>
    </row>
    <row r="26" spans="1:35" s="1" customFormat="1" ht="18.75" x14ac:dyDescent="0.3">
      <c r="A26" s="2"/>
      <c r="G26" s="2"/>
      <c r="H26" s="2"/>
      <c r="I26" s="2"/>
      <c r="J26" s="2"/>
    </row>
    <row r="27" spans="1:35" ht="18.75" x14ac:dyDescent="0.3">
      <c r="B27" s="1"/>
    </row>
    <row r="28" spans="1:35" ht="18.75" x14ac:dyDescent="0.3">
      <c r="B28" s="1"/>
    </row>
  </sheetData>
  <mergeCells count="16">
    <mergeCell ref="AH2:AH3"/>
    <mergeCell ref="AI2:AI3"/>
    <mergeCell ref="W4:W23"/>
    <mergeCell ref="A1:E2"/>
    <mergeCell ref="X2:AA2"/>
    <mergeCell ref="AB2:AD2"/>
    <mergeCell ref="AE2:AE3"/>
    <mergeCell ref="AF2:AF3"/>
    <mergeCell ref="AG2:AG3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V6" sqref="V6"/>
    </sheetView>
  </sheetViews>
  <sheetFormatPr defaultRowHeight="18.75" x14ac:dyDescent="0.3"/>
  <cols>
    <col min="1" max="1" width="9.140625" style="2"/>
    <col min="2" max="2" width="31.5703125" style="1" customWidth="1"/>
    <col min="3" max="3" width="21.28515625" style="1" customWidth="1"/>
    <col min="4" max="4" width="19.85546875" style="1" customWidth="1"/>
    <col min="5" max="5" width="36.140625" style="1" customWidth="1"/>
    <col min="6" max="6" width="35.140625" style="1" customWidth="1"/>
    <col min="7" max="7" width="14.85546875" style="2" customWidth="1"/>
    <col min="8" max="8" width="13.85546875" style="2" customWidth="1"/>
    <col min="9" max="9" width="22" style="2" customWidth="1"/>
    <col min="10" max="10" width="21.140625" style="1" customWidth="1"/>
    <col min="11" max="17" width="9.140625" style="1"/>
    <col min="18" max="19" width="9.140625" style="1" customWidth="1"/>
    <col min="20" max="21" width="9.140625" style="1"/>
    <col min="22" max="22" width="14" style="1" customWidth="1"/>
    <col min="23" max="16384" width="9.140625" style="1"/>
  </cols>
  <sheetData>
    <row r="1" spans="1:22" x14ac:dyDescent="0.3">
      <c r="B1" s="168" t="s">
        <v>432</v>
      </c>
      <c r="D1" s="33"/>
      <c r="E1" s="33"/>
      <c r="F1" s="33"/>
      <c r="G1" s="33"/>
      <c r="K1" s="2"/>
      <c r="L1" s="2"/>
      <c r="M1" s="2"/>
      <c r="N1" s="2"/>
      <c r="O1" s="2"/>
      <c r="P1" s="2"/>
      <c r="Q1" s="2"/>
    </row>
    <row r="2" spans="1:22" x14ac:dyDescent="0.3">
      <c r="D2" s="33"/>
      <c r="E2" s="33"/>
      <c r="F2" s="33"/>
      <c r="G2" s="33"/>
      <c r="K2" s="275" t="s">
        <v>7</v>
      </c>
      <c r="L2" s="275"/>
      <c r="M2" s="275"/>
      <c r="N2" s="275"/>
      <c r="O2" s="276" t="s">
        <v>8</v>
      </c>
      <c r="P2" s="276"/>
      <c r="Q2" s="276"/>
      <c r="R2" s="277" t="s">
        <v>9</v>
      </c>
      <c r="S2" s="277" t="s">
        <v>10</v>
      </c>
      <c r="T2" s="277" t="s">
        <v>11</v>
      </c>
      <c r="U2" s="277" t="s">
        <v>12</v>
      </c>
      <c r="V2" s="277" t="s">
        <v>13</v>
      </c>
    </row>
    <row r="3" spans="1:22" s="2" customFormat="1" x14ac:dyDescent="0.3">
      <c r="A3" s="217" t="s">
        <v>6</v>
      </c>
      <c r="B3" s="217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217" t="s">
        <v>2</v>
      </c>
      <c r="I3" s="217" t="s">
        <v>173</v>
      </c>
      <c r="J3" s="217" t="s">
        <v>1</v>
      </c>
      <c r="K3" s="151" t="s">
        <v>14</v>
      </c>
      <c r="L3" s="152" t="s">
        <v>15</v>
      </c>
      <c r="M3" s="153" t="s">
        <v>16</v>
      </c>
      <c r="N3" s="154" t="s">
        <v>17</v>
      </c>
      <c r="O3" s="155" t="s">
        <v>18</v>
      </c>
      <c r="P3" s="156" t="s">
        <v>19</v>
      </c>
      <c r="Q3" s="157" t="s">
        <v>20</v>
      </c>
      <c r="R3" s="277"/>
      <c r="S3" s="277"/>
      <c r="T3" s="277"/>
      <c r="U3" s="277"/>
      <c r="V3" s="277"/>
    </row>
    <row r="4" spans="1:22" x14ac:dyDescent="0.3">
      <c r="A4" s="2">
        <v>1</v>
      </c>
      <c r="B4" s="1" t="s">
        <v>316</v>
      </c>
      <c r="C4" s="1" t="s">
        <v>425</v>
      </c>
      <c r="D4" s="3" t="s">
        <v>318</v>
      </c>
      <c r="E4" s="3" t="s">
        <v>317</v>
      </c>
      <c r="F4" s="1" t="s">
        <v>374</v>
      </c>
      <c r="H4" s="2" t="s">
        <v>53</v>
      </c>
      <c r="I4" s="2" t="s">
        <v>309</v>
      </c>
      <c r="K4" s="1">
        <v>3</v>
      </c>
      <c r="L4" s="1">
        <v>11</v>
      </c>
      <c r="M4" s="1">
        <v>12</v>
      </c>
      <c r="N4" s="1">
        <v>11</v>
      </c>
      <c r="O4" s="1">
        <v>17</v>
      </c>
      <c r="P4" s="1">
        <v>4</v>
      </c>
      <c r="Q4" s="1">
        <v>16</v>
      </c>
      <c r="R4" s="1">
        <v>37</v>
      </c>
      <c r="S4" s="1">
        <v>37</v>
      </c>
      <c r="T4" s="1">
        <v>170</v>
      </c>
      <c r="U4" s="1">
        <v>130</v>
      </c>
      <c r="V4" s="218">
        <v>300</v>
      </c>
    </row>
    <row r="5" spans="1:22" x14ac:dyDescent="0.3">
      <c r="A5" s="2">
        <v>2</v>
      </c>
      <c r="B5" s="150" t="s">
        <v>327</v>
      </c>
      <c r="C5" s="1" t="s">
        <v>409</v>
      </c>
      <c r="D5" s="54" t="s">
        <v>328</v>
      </c>
      <c r="E5" s="3" t="s">
        <v>410</v>
      </c>
      <c r="F5" s="1" t="s">
        <v>411</v>
      </c>
      <c r="H5" s="2" t="s">
        <v>53</v>
      </c>
      <c r="I5" s="2" t="s">
        <v>309</v>
      </c>
      <c r="K5" s="1">
        <v>1</v>
      </c>
      <c r="L5" s="1">
        <v>11</v>
      </c>
      <c r="M5" s="1">
        <v>11</v>
      </c>
      <c r="N5" s="1">
        <v>8</v>
      </c>
      <c r="O5" s="1">
        <v>9</v>
      </c>
      <c r="P5" s="1">
        <v>2</v>
      </c>
      <c r="Q5" s="1">
        <v>13</v>
      </c>
      <c r="R5" s="1">
        <v>31</v>
      </c>
      <c r="S5" s="1">
        <v>24</v>
      </c>
      <c r="T5" s="1">
        <v>135</v>
      </c>
      <c r="U5" s="1">
        <v>50</v>
      </c>
      <c r="V5" s="218">
        <v>185</v>
      </c>
    </row>
    <row r="6" spans="1:22" x14ac:dyDescent="0.3">
      <c r="A6" s="2">
        <v>3</v>
      </c>
      <c r="B6" s="1" t="s">
        <v>329</v>
      </c>
      <c r="C6" s="3" t="s">
        <v>412</v>
      </c>
      <c r="D6" s="3" t="s">
        <v>330</v>
      </c>
      <c r="E6" s="3" t="s">
        <v>331</v>
      </c>
      <c r="F6" s="3" t="s">
        <v>411</v>
      </c>
      <c r="G6" s="33"/>
      <c r="H6" s="2" t="s">
        <v>53</v>
      </c>
      <c r="I6" s="2" t="s">
        <v>332</v>
      </c>
      <c r="V6" s="218"/>
    </row>
    <row r="7" spans="1:22" ht="21" customHeight="1" x14ac:dyDescent="0.3">
      <c r="A7" s="2">
        <v>4</v>
      </c>
      <c r="B7" s="1" t="s">
        <v>343</v>
      </c>
      <c r="C7" s="3" t="s">
        <v>405</v>
      </c>
      <c r="D7" s="3" t="s">
        <v>344</v>
      </c>
      <c r="E7" s="3" t="s">
        <v>406</v>
      </c>
      <c r="F7" s="159" t="s">
        <v>407</v>
      </c>
      <c r="G7" s="33"/>
      <c r="H7" s="2" t="s">
        <v>53</v>
      </c>
      <c r="I7" s="2" t="s">
        <v>309</v>
      </c>
      <c r="V7" s="218"/>
    </row>
    <row r="8" spans="1:22" x14ac:dyDescent="0.3">
      <c r="A8" s="2">
        <v>5</v>
      </c>
      <c r="B8" s="1" t="s">
        <v>351</v>
      </c>
      <c r="C8" s="3" t="s">
        <v>408</v>
      </c>
      <c r="D8" s="3" t="s">
        <v>353</v>
      </c>
      <c r="E8" s="3" t="s">
        <v>352</v>
      </c>
      <c r="F8" s="3" t="s">
        <v>98</v>
      </c>
      <c r="G8" s="33"/>
      <c r="H8" s="2" t="s">
        <v>53</v>
      </c>
      <c r="I8" s="2" t="s">
        <v>309</v>
      </c>
      <c r="K8" s="1">
        <v>3</v>
      </c>
      <c r="L8" s="1">
        <v>14</v>
      </c>
      <c r="M8" s="1">
        <v>10</v>
      </c>
      <c r="N8" s="1">
        <v>4</v>
      </c>
      <c r="O8" s="1">
        <v>17</v>
      </c>
      <c r="P8" s="1">
        <v>2</v>
      </c>
      <c r="Q8" s="1">
        <v>13</v>
      </c>
      <c r="R8" s="1">
        <v>31</v>
      </c>
      <c r="S8" s="1">
        <v>32</v>
      </c>
      <c r="T8" s="1">
        <v>135</v>
      </c>
      <c r="U8" s="1">
        <v>100</v>
      </c>
      <c r="V8" s="218">
        <v>235</v>
      </c>
    </row>
    <row r="9" spans="1:22" x14ac:dyDescent="0.3">
      <c r="A9" s="2">
        <v>6</v>
      </c>
      <c r="B9" s="1" t="s">
        <v>403</v>
      </c>
      <c r="C9" s="3" t="s">
        <v>404</v>
      </c>
      <c r="D9" s="3" t="s">
        <v>368</v>
      </c>
      <c r="E9" s="3" t="s">
        <v>369</v>
      </c>
      <c r="F9" s="3" t="s">
        <v>372</v>
      </c>
      <c r="G9" s="33"/>
      <c r="H9" s="2" t="s">
        <v>53</v>
      </c>
      <c r="I9" s="2" t="s">
        <v>346</v>
      </c>
      <c r="K9" s="1">
        <v>6</v>
      </c>
      <c r="L9" s="1">
        <v>21</v>
      </c>
      <c r="M9" s="1">
        <v>22</v>
      </c>
      <c r="N9" s="1">
        <v>11</v>
      </c>
      <c r="O9" s="1">
        <v>17</v>
      </c>
      <c r="P9" s="1">
        <v>5</v>
      </c>
      <c r="Q9" s="1">
        <v>32</v>
      </c>
      <c r="R9" s="1">
        <v>60</v>
      </c>
      <c r="S9" s="1">
        <v>54</v>
      </c>
      <c r="T9" s="1">
        <v>315</v>
      </c>
      <c r="U9" s="1">
        <v>235</v>
      </c>
      <c r="V9" s="218">
        <v>550</v>
      </c>
    </row>
    <row r="10" spans="1:22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370</v>
      </c>
      <c r="V10" s="218"/>
    </row>
    <row r="11" spans="1:22" x14ac:dyDescent="0.3">
      <c r="A11" s="2">
        <v>8</v>
      </c>
      <c r="B11" s="1" t="s">
        <v>401</v>
      </c>
      <c r="C11" s="3" t="s">
        <v>413</v>
      </c>
      <c r="D11" s="3" t="s">
        <v>414</v>
      </c>
      <c r="E11" s="3" t="s">
        <v>415</v>
      </c>
      <c r="F11" s="3"/>
      <c r="G11" s="33"/>
      <c r="H11" s="2" t="s">
        <v>53</v>
      </c>
      <c r="I11" s="2" t="s">
        <v>309</v>
      </c>
      <c r="K11" s="1">
        <v>3</v>
      </c>
      <c r="L11" s="1">
        <v>11</v>
      </c>
      <c r="M11" s="1">
        <v>9</v>
      </c>
      <c r="N11" s="1">
        <v>13</v>
      </c>
      <c r="O11" s="1">
        <v>14</v>
      </c>
      <c r="P11" s="1">
        <v>6</v>
      </c>
      <c r="Q11" s="1">
        <v>15</v>
      </c>
      <c r="R11" s="1">
        <v>36</v>
      </c>
      <c r="S11" s="1">
        <v>35</v>
      </c>
      <c r="T11" s="1">
        <v>165</v>
      </c>
      <c r="U11" s="1">
        <v>120</v>
      </c>
      <c r="V11" s="218">
        <v>285</v>
      </c>
    </row>
    <row r="12" spans="1:22" x14ac:dyDescent="0.3">
      <c r="A12" s="2">
        <v>9</v>
      </c>
      <c r="B12" s="1" t="s">
        <v>417</v>
      </c>
      <c r="C12" s="3" t="s">
        <v>418</v>
      </c>
      <c r="D12" s="3" t="s">
        <v>402</v>
      </c>
      <c r="E12" s="3" t="s">
        <v>419</v>
      </c>
      <c r="F12" s="3"/>
      <c r="G12" s="33"/>
      <c r="H12" s="2" t="s">
        <v>53</v>
      </c>
      <c r="K12" s="1">
        <v>4</v>
      </c>
      <c r="L12" s="1">
        <v>17</v>
      </c>
      <c r="M12" s="1">
        <v>12</v>
      </c>
      <c r="N12" s="1">
        <v>10</v>
      </c>
      <c r="O12" s="1">
        <v>16</v>
      </c>
      <c r="P12" s="1">
        <v>4</v>
      </c>
      <c r="Q12" s="1">
        <v>25</v>
      </c>
      <c r="R12" s="1">
        <v>43</v>
      </c>
      <c r="S12" s="1">
        <v>45</v>
      </c>
      <c r="T12" s="1">
        <v>200</v>
      </c>
      <c r="U12" s="1">
        <v>180</v>
      </c>
      <c r="V12" s="218">
        <v>380</v>
      </c>
    </row>
    <row r="13" spans="1:22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416</v>
      </c>
      <c r="F13" s="3" t="s">
        <v>76</v>
      </c>
      <c r="G13" s="33"/>
      <c r="K13" s="1">
        <v>3</v>
      </c>
      <c r="L13" s="1">
        <v>13</v>
      </c>
      <c r="M13" s="1">
        <v>13</v>
      </c>
      <c r="N13" s="1">
        <v>8</v>
      </c>
      <c r="O13" s="1">
        <v>13</v>
      </c>
      <c r="P13" s="1">
        <v>4</v>
      </c>
      <c r="Q13" s="1">
        <v>13</v>
      </c>
      <c r="R13" s="1">
        <v>37</v>
      </c>
      <c r="S13" s="1">
        <v>30</v>
      </c>
      <c r="T13" s="1">
        <v>170</v>
      </c>
      <c r="U13" s="1">
        <v>90</v>
      </c>
      <c r="V13" s="218">
        <v>260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15"/>
  <sheetViews>
    <sheetView topLeftCell="B1" workbookViewId="0">
      <selection activeCell="N15" sqref="N15"/>
    </sheetView>
  </sheetViews>
  <sheetFormatPr defaultRowHeight="15" x14ac:dyDescent="0.25"/>
  <cols>
    <col min="2" max="2" width="27.85546875" customWidth="1"/>
    <col min="3" max="3" width="16.28515625" style="167" customWidth="1"/>
    <col min="4" max="4" width="20.85546875" style="167" customWidth="1"/>
    <col min="5" max="5" width="37.5703125" customWidth="1"/>
    <col min="6" max="6" width="43.85546875" customWidth="1"/>
    <col min="7" max="7" width="12.85546875" style="60" customWidth="1"/>
    <col min="8" max="8" width="16.140625" style="60" customWidth="1"/>
    <col min="9" max="9" width="19.140625" style="60" customWidth="1"/>
    <col min="10" max="10" width="17.140625" customWidth="1"/>
  </cols>
  <sheetData>
    <row r="1" spans="1:22" ht="18.75" x14ac:dyDescent="0.3">
      <c r="A1" s="2"/>
      <c r="B1" s="168" t="s">
        <v>503</v>
      </c>
      <c r="C1" s="77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3"/>
      <c r="G2" s="33"/>
      <c r="H2" s="2"/>
      <c r="I2" s="2"/>
      <c r="J2" s="1"/>
      <c r="K2" s="275" t="s">
        <v>7</v>
      </c>
      <c r="L2" s="275"/>
      <c r="M2" s="275"/>
      <c r="N2" s="275"/>
      <c r="O2" s="276" t="s">
        <v>8</v>
      </c>
      <c r="P2" s="276"/>
      <c r="Q2" s="276"/>
      <c r="R2" s="288" t="s">
        <v>323</v>
      </c>
      <c r="S2" s="288" t="s">
        <v>324</v>
      </c>
      <c r="T2" s="277" t="s">
        <v>11</v>
      </c>
      <c r="U2" s="277" t="s">
        <v>12</v>
      </c>
      <c r="V2" s="288" t="s">
        <v>325</v>
      </c>
    </row>
    <row r="3" spans="1:22" s="22" customFormat="1" ht="18.75" x14ac:dyDescent="0.3">
      <c r="A3" s="165" t="s">
        <v>6</v>
      </c>
      <c r="B3" s="165" t="s">
        <v>5</v>
      </c>
      <c r="C3" s="166" t="s">
        <v>4</v>
      </c>
      <c r="D3" s="166" t="s">
        <v>3</v>
      </c>
      <c r="E3" s="166" t="s">
        <v>117</v>
      </c>
      <c r="F3" s="166" t="s">
        <v>71</v>
      </c>
      <c r="G3" s="166" t="s">
        <v>106</v>
      </c>
      <c r="H3" s="165" t="s">
        <v>2</v>
      </c>
      <c r="I3" s="165" t="s">
        <v>173</v>
      </c>
      <c r="J3" s="165" t="s">
        <v>1</v>
      </c>
      <c r="K3" s="169" t="s">
        <v>14</v>
      </c>
      <c r="L3" s="170" t="s">
        <v>15</v>
      </c>
      <c r="M3" s="171" t="s">
        <v>16</v>
      </c>
      <c r="N3" s="172" t="s">
        <v>17</v>
      </c>
      <c r="O3" s="173" t="s">
        <v>18</v>
      </c>
      <c r="P3" s="174" t="s">
        <v>19</v>
      </c>
      <c r="Q3" s="175" t="s">
        <v>20</v>
      </c>
      <c r="R3" s="277"/>
      <c r="S3" s="277"/>
      <c r="T3" s="277"/>
      <c r="U3" s="277"/>
      <c r="V3" s="277"/>
    </row>
    <row r="4" spans="1:22" ht="18.75" x14ac:dyDescent="0.3">
      <c r="A4" s="2">
        <v>1</v>
      </c>
      <c r="B4" s="1" t="s">
        <v>313</v>
      </c>
      <c r="C4" s="158">
        <v>35107</v>
      </c>
      <c r="D4" s="34" t="s">
        <v>314</v>
      </c>
      <c r="E4" s="3" t="s">
        <v>315</v>
      </c>
      <c r="F4" s="1"/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439</v>
      </c>
      <c r="C5" s="34" t="s">
        <v>484</v>
      </c>
      <c r="D5" s="211" t="s">
        <v>440</v>
      </c>
      <c r="E5" s="3" t="s">
        <v>485</v>
      </c>
      <c r="F5" s="3" t="s">
        <v>486</v>
      </c>
      <c r="G5" s="33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58">
        <v>35471</v>
      </c>
      <c r="D6" s="211" t="s">
        <v>262</v>
      </c>
      <c r="E6" s="3" t="s">
        <v>261</v>
      </c>
      <c r="F6" s="3" t="s">
        <v>69</v>
      </c>
      <c r="G6" s="33"/>
      <c r="H6" s="2"/>
      <c r="I6" s="2" t="s">
        <v>447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441</v>
      </c>
      <c r="C7" s="34" t="s">
        <v>476</v>
      </c>
      <c r="D7" s="34" t="s">
        <v>442</v>
      </c>
      <c r="E7" s="3" t="s">
        <v>477</v>
      </c>
      <c r="F7" s="3" t="s">
        <v>235</v>
      </c>
      <c r="G7" s="33"/>
      <c r="H7" s="2" t="s">
        <v>53</v>
      </c>
      <c r="I7" s="2" t="s">
        <v>332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443</v>
      </c>
      <c r="C8" s="34" t="s">
        <v>478</v>
      </c>
      <c r="D8" s="34" t="s">
        <v>445</v>
      </c>
      <c r="E8" s="3" t="s">
        <v>477</v>
      </c>
      <c r="F8" s="3" t="s">
        <v>235</v>
      </c>
      <c r="G8" s="33"/>
      <c r="H8" s="2" t="s">
        <v>53</v>
      </c>
      <c r="I8" s="2" t="s">
        <v>332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  <row r="9" spans="1:22" s="1" customFormat="1" ht="18.75" x14ac:dyDescent="0.3">
      <c r="A9" s="2">
        <v>6</v>
      </c>
      <c r="B9" s="1" t="s">
        <v>444</v>
      </c>
      <c r="C9" s="158">
        <v>35217</v>
      </c>
      <c r="D9" s="211" t="s">
        <v>446</v>
      </c>
      <c r="E9" s="1" t="s">
        <v>477</v>
      </c>
      <c r="F9" s="1" t="s">
        <v>235</v>
      </c>
      <c r="G9" s="2"/>
      <c r="H9" s="2" t="s">
        <v>53</v>
      </c>
      <c r="I9" s="2" t="s">
        <v>332</v>
      </c>
    </row>
    <row r="10" spans="1:22" ht="18.75" x14ac:dyDescent="0.3">
      <c r="A10" s="2">
        <v>7</v>
      </c>
      <c r="B10" s="1" t="s">
        <v>449</v>
      </c>
      <c r="C10" s="77" t="s">
        <v>487</v>
      </c>
      <c r="D10" s="211" t="s">
        <v>450</v>
      </c>
      <c r="E10" s="1" t="s">
        <v>488</v>
      </c>
      <c r="F10" s="1" t="s">
        <v>489</v>
      </c>
      <c r="G10" s="2"/>
      <c r="H10" s="2" t="s">
        <v>53</v>
      </c>
      <c r="I10" s="2" t="s">
        <v>309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452</v>
      </c>
      <c r="C11" s="158">
        <v>34820</v>
      </c>
      <c r="D11" s="34" t="s">
        <v>455</v>
      </c>
      <c r="E11" s="1" t="s">
        <v>479</v>
      </c>
      <c r="F11" s="1" t="s">
        <v>480</v>
      </c>
      <c r="G11" s="2"/>
      <c r="H11" s="2" t="s">
        <v>53</v>
      </c>
      <c r="I11" s="2" t="s">
        <v>332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453</v>
      </c>
      <c r="C12" s="77" t="s">
        <v>481</v>
      </c>
      <c r="D12" s="211" t="s">
        <v>456</v>
      </c>
      <c r="E12" s="1" t="s">
        <v>482</v>
      </c>
      <c r="F12" s="1" t="s">
        <v>235</v>
      </c>
      <c r="G12" s="2"/>
      <c r="H12" s="2" t="s">
        <v>53</v>
      </c>
      <c r="I12" s="2" t="s">
        <v>309</v>
      </c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 t="s">
        <v>454</v>
      </c>
      <c r="C13" s="158">
        <v>35318</v>
      </c>
      <c r="D13" s="34" t="s">
        <v>457</v>
      </c>
      <c r="E13" s="1" t="s">
        <v>483</v>
      </c>
      <c r="F13" s="1" t="s">
        <v>235</v>
      </c>
      <c r="G13" s="2"/>
      <c r="H13" s="2" t="s">
        <v>53</v>
      </c>
      <c r="I13" s="2" t="s">
        <v>332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491</v>
      </c>
      <c r="C14" s="77" t="s">
        <v>501</v>
      </c>
      <c r="D14" s="34" t="s">
        <v>492</v>
      </c>
      <c r="E14" s="1" t="s">
        <v>502</v>
      </c>
      <c r="G14" s="2"/>
      <c r="H14" s="2" t="s">
        <v>53</v>
      </c>
      <c r="I14" s="2" t="s">
        <v>309</v>
      </c>
    </row>
    <row r="15" spans="1:22" s="1" customFormat="1" ht="18.75" x14ac:dyDescent="0.3">
      <c r="A15" s="2">
        <v>12</v>
      </c>
      <c r="B15" s="1" t="s">
        <v>497</v>
      </c>
      <c r="C15" s="158">
        <v>32606</v>
      </c>
      <c r="D15" s="34" t="s">
        <v>498</v>
      </c>
      <c r="E15" s="1" t="s">
        <v>499</v>
      </c>
      <c r="F15" s="1" t="s">
        <v>500</v>
      </c>
      <c r="G15" s="2"/>
      <c r="H15" s="2" t="s">
        <v>53</v>
      </c>
      <c r="I15" s="2" t="s">
        <v>332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14"/>
  <sheetViews>
    <sheetView topLeftCell="C1" workbookViewId="0">
      <selection activeCell="J8" sqref="J8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67" customWidth="1"/>
    <col min="4" max="4" width="23.140625" customWidth="1"/>
    <col min="5" max="5" width="48.28515625" customWidth="1"/>
    <col min="6" max="6" width="31.42578125" style="167" customWidth="1"/>
    <col min="7" max="7" width="17.42578125" customWidth="1"/>
    <col min="8" max="8" width="14.7109375" customWidth="1"/>
    <col min="9" max="9" width="17.28515625" customWidth="1"/>
    <col min="10" max="10" width="15" style="60" customWidth="1"/>
  </cols>
  <sheetData>
    <row r="1" spans="1:22" ht="18.75" x14ac:dyDescent="0.3">
      <c r="A1" s="2"/>
      <c r="B1" s="168" t="s">
        <v>504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4"/>
      <c r="G2" s="33"/>
      <c r="H2" s="2"/>
      <c r="I2" s="2"/>
      <c r="J2" s="2"/>
      <c r="K2" s="286" t="s">
        <v>7</v>
      </c>
      <c r="L2" s="286"/>
      <c r="M2" s="286"/>
      <c r="N2" s="286"/>
      <c r="O2" s="287" t="s">
        <v>8</v>
      </c>
      <c r="P2" s="287"/>
      <c r="Q2" s="287"/>
      <c r="R2" s="282" t="s">
        <v>323</v>
      </c>
      <c r="S2" s="282" t="s">
        <v>324</v>
      </c>
      <c r="T2" s="281" t="s">
        <v>11</v>
      </c>
      <c r="U2" s="281" t="s">
        <v>12</v>
      </c>
      <c r="V2" s="282" t="s">
        <v>325</v>
      </c>
    </row>
    <row r="3" spans="1:22" ht="18.75" x14ac:dyDescent="0.3">
      <c r="A3" s="165" t="s">
        <v>6</v>
      </c>
      <c r="B3" s="165" t="s">
        <v>5</v>
      </c>
      <c r="C3" s="196" t="s">
        <v>4</v>
      </c>
      <c r="D3" s="166" t="s">
        <v>3</v>
      </c>
      <c r="E3" s="166" t="s">
        <v>117</v>
      </c>
      <c r="F3" s="196" t="s">
        <v>71</v>
      </c>
      <c r="G3" s="166" t="s">
        <v>106</v>
      </c>
      <c r="H3" s="165" t="s">
        <v>2</v>
      </c>
      <c r="I3" s="165" t="s">
        <v>173</v>
      </c>
      <c r="J3" s="176" t="s">
        <v>1</v>
      </c>
      <c r="K3" s="169" t="s">
        <v>14</v>
      </c>
      <c r="L3" s="170" t="s">
        <v>15</v>
      </c>
      <c r="M3" s="171" t="s">
        <v>16</v>
      </c>
      <c r="N3" s="172" t="s">
        <v>17</v>
      </c>
      <c r="O3" s="173" t="s">
        <v>18</v>
      </c>
      <c r="P3" s="174" t="s">
        <v>19</v>
      </c>
      <c r="Q3" s="175" t="s">
        <v>20</v>
      </c>
      <c r="R3" s="281"/>
      <c r="S3" s="281"/>
      <c r="T3" s="281"/>
      <c r="U3" s="281"/>
      <c r="V3" s="281"/>
    </row>
    <row r="4" spans="1:22" s="210" customFormat="1" ht="18.75" x14ac:dyDescent="0.3">
      <c r="A4" s="205">
        <v>1</v>
      </c>
      <c r="B4" s="206" t="s">
        <v>188</v>
      </c>
      <c r="C4" s="207" t="s">
        <v>256</v>
      </c>
      <c r="D4" s="208" t="s">
        <v>189</v>
      </c>
      <c r="E4" s="209" t="s">
        <v>257</v>
      </c>
      <c r="F4" s="207" t="s">
        <v>89</v>
      </c>
      <c r="G4" s="205"/>
      <c r="H4" s="205" t="s">
        <v>53</v>
      </c>
      <c r="I4" s="205" t="s">
        <v>451</v>
      </c>
      <c r="J4" s="205"/>
      <c r="K4" s="206"/>
      <c r="L4" s="206"/>
      <c r="M4" s="206"/>
      <c r="N4" s="206"/>
      <c r="O4" s="206"/>
      <c r="P4" s="206"/>
      <c r="Q4" s="206"/>
      <c r="R4" s="206"/>
      <c r="S4" s="206"/>
      <c r="T4" s="206"/>
      <c r="U4" s="206"/>
      <c r="V4" s="206"/>
    </row>
    <row r="5" spans="1:22" ht="18.75" x14ac:dyDescent="0.3">
      <c r="A5" s="2">
        <v>2</v>
      </c>
      <c r="B5" s="1" t="s">
        <v>202</v>
      </c>
      <c r="C5" s="158">
        <v>34705</v>
      </c>
      <c r="D5" s="74" t="s">
        <v>467</v>
      </c>
      <c r="E5" s="34" t="s">
        <v>468</v>
      </c>
      <c r="F5" s="34" t="s">
        <v>260</v>
      </c>
      <c r="G5" s="33"/>
      <c r="H5" s="2" t="s">
        <v>53</v>
      </c>
      <c r="I5" s="2" t="s">
        <v>451</v>
      </c>
      <c r="J5" s="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466</v>
      </c>
      <c r="C6" s="158">
        <v>34983</v>
      </c>
      <c r="D6" s="34" t="s">
        <v>458</v>
      </c>
      <c r="E6" s="3" t="s">
        <v>469</v>
      </c>
      <c r="F6" s="34" t="s">
        <v>260</v>
      </c>
      <c r="G6" s="33"/>
      <c r="H6" s="2" t="s">
        <v>53</v>
      </c>
      <c r="I6" s="2" t="s">
        <v>309</v>
      </c>
      <c r="J6" s="2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459</v>
      </c>
      <c r="C7" s="34" t="s">
        <v>470</v>
      </c>
      <c r="D7" s="34" t="s">
        <v>460</v>
      </c>
      <c r="E7" s="3" t="s">
        <v>469</v>
      </c>
      <c r="F7" s="34" t="s">
        <v>471</v>
      </c>
      <c r="G7" s="33"/>
      <c r="H7" s="2" t="s">
        <v>53</v>
      </c>
      <c r="I7" s="2" t="s">
        <v>332</v>
      </c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195" customFormat="1" ht="18.75" x14ac:dyDescent="0.3">
      <c r="A8" s="190">
        <v>5</v>
      </c>
      <c r="B8" s="191" t="s">
        <v>463</v>
      </c>
      <c r="C8" s="192" t="s">
        <v>473</v>
      </c>
      <c r="D8" s="192" t="s">
        <v>461</v>
      </c>
      <c r="E8" s="193" t="s">
        <v>462</v>
      </c>
      <c r="F8" s="192" t="s">
        <v>472</v>
      </c>
      <c r="G8" s="194"/>
      <c r="H8" s="190" t="s">
        <v>53</v>
      </c>
      <c r="I8" s="190" t="s">
        <v>309</v>
      </c>
      <c r="J8" s="190"/>
      <c r="K8" s="191"/>
      <c r="L8" s="191"/>
      <c r="M8" s="191"/>
      <c r="N8" s="191"/>
      <c r="O8" s="191"/>
      <c r="P8" s="191"/>
      <c r="Q8" s="191"/>
      <c r="R8" s="191"/>
      <c r="S8" s="191"/>
      <c r="T8" s="191"/>
      <c r="U8" s="191"/>
      <c r="V8" s="191"/>
    </row>
    <row r="9" spans="1:22" ht="18.75" x14ac:dyDescent="0.3">
      <c r="A9" s="2">
        <v>6</v>
      </c>
      <c r="B9" s="1" t="s">
        <v>52</v>
      </c>
      <c r="C9" s="77" t="s">
        <v>96</v>
      </c>
      <c r="D9" s="34" t="s">
        <v>92</v>
      </c>
      <c r="E9" s="1" t="s">
        <v>128</v>
      </c>
      <c r="F9" s="77" t="s">
        <v>76</v>
      </c>
      <c r="G9" s="2"/>
      <c r="H9" s="2" t="s">
        <v>53</v>
      </c>
      <c r="I9" s="2" t="s">
        <v>490</v>
      </c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8" t="s">
        <v>63</v>
      </c>
      <c r="C10" s="59" t="s">
        <v>85</v>
      </c>
      <c r="D10" s="75" t="s">
        <v>86</v>
      </c>
      <c r="E10" s="59" t="s">
        <v>125</v>
      </c>
      <c r="F10" s="59" t="s">
        <v>89</v>
      </c>
      <c r="G10" s="2"/>
      <c r="H10" s="2" t="s">
        <v>53</v>
      </c>
      <c r="I10" s="2" t="s">
        <v>451</v>
      </c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464</v>
      </c>
      <c r="C11" s="77" t="s">
        <v>474</v>
      </c>
      <c r="D11" s="75" t="s">
        <v>465</v>
      </c>
      <c r="E11" s="1" t="s">
        <v>475</v>
      </c>
      <c r="F11" s="77" t="s">
        <v>89</v>
      </c>
      <c r="G11" s="2"/>
      <c r="H11" s="2" t="s">
        <v>53</v>
      </c>
      <c r="I11" s="2" t="s">
        <v>332</v>
      </c>
      <c r="J11" s="2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220</v>
      </c>
      <c r="C12" s="77" t="s">
        <v>249</v>
      </c>
      <c r="D12" s="75" t="s">
        <v>505</v>
      </c>
      <c r="E12" s="1"/>
      <c r="F12" s="77"/>
      <c r="G12" s="2"/>
      <c r="H12" s="2"/>
      <c r="I12" s="2"/>
      <c r="J12" s="2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/>
      <c r="C13" s="77"/>
      <c r="D13" s="77"/>
      <c r="E13" s="1"/>
      <c r="F13" s="77"/>
      <c r="G13" s="2"/>
      <c r="H13" s="2"/>
      <c r="I13" s="2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67"/>
      <c r="G14" s="60"/>
      <c r="H14" s="60"/>
      <c r="I14" s="60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7"/>
  <sheetViews>
    <sheetView tabSelected="1" workbookViewId="0">
      <selection activeCell="F13" sqref="F13"/>
    </sheetView>
  </sheetViews>
  <sheetFormatPr defaultRowHeight="15" x14ac:dyDescent="0.25"/>
  <cols>
    <col min="1" max="1" width="6.28515625" style="60" customWidth="1"/>
    <col min="2" max="2" width="26.28515625" customWidth="1"/>
    <col min="3" max="3" width="11.85546875" bestFit="1" customWidth="1"/>
    <col min="4" max="4" width="12.42578125" style="245" customWidth="1"/>
    <col min="5" max="5" width="8.85546875" bestFit="1" customWidth="1"/>
    <col min="6" max="6" width="15.5703125" bestFit="1" customWidth="1"/>
    <col min="7" max="7" width="12.85546875" bestFit="1" customWidth="1"/>
    <col min="8" max="8" width="9.7109375" bestFit="1" customWidth="1"/>
    <col min="9" max="9" width="16.5703125" style="60" bestFit="1" customWidth="1"/>
    <col min="10" max="10" width="10.7109375" bestFit="1" customWidth="1"/>
  </cols>
  <sheetData>
    <row r="1" spans="1:22" ht="18.75" x14ac:dyDescent="0.3">
      <c r="A1" s="246"/>
      <c r="B1" s="255" t="s">
        <v>508</v>
      </c>
      <c r="C1" s="256"/>
      <c r="D1" s="257"/>
      <c r="E1" s="221"/>
      <c r="F1" s="221"/>
      <c r="G1" s="221"/>
      <c r="H1" s="246"/>
      <c r="I1" s="246"/>
      <c r="J1" s="21"/>
      <c r="K1" s="246"/>
      <c r="L1" s="246"/>
      <c r="M1" s="246"/>
      <c r="N1" s="246"/>
      <c r="O1" s="246"/>
      <c r="P1" s="246"/>
      <c r="Q1" s="246"/>
      <c r="R1" s="21"/>
      <c r="S1" s="21"/>
      <c r="T1" s="21"/>
      <c r="U1" s="21"/>
      <c r="V1" s="21"/>
    </row>
    <row r="2" spans="1:22" ht="18.75" x14ac:dyDescent="0.3">
      <c r="A2" s="246"/>
      <c r="B2" s="21"/>
      <c r="C2" s="256"/>
      <c r="D2" s="257"/>
      <c r="E2" s="221"/>
      <c r="F2" s="221"/>
      <c r="G2" s="221"/>
      <c r="H2" s="246"/>
      <c r="I2" s="246"/>
      <c r="J2" s="21"/>
      <c r="K2" s="286" t="s">
        <v>7</v>
      </c>
      <c r="L2" s="286"/>
      <c r="M2" s="286"/>
      <c r="N2" s="286"/>
      <c r="O2" s="287" t="s">
        <v>8</v>
      </c>
      <c r="P2" s="287"/>
      <c r="Q2" s="287"/>
      <c r="R2" s="282" t="s">
        <v>323</v>
      </c>
      <c r="S2" s="282" t="s">
        <v>324</v>
      </c>
      <c r="T2" s="281" t="s">
        <v>11</v>
      </c>
      <c r="U2" s="281" t="s">
        <v>12</v>
      </c>
      <c r="V2" s="282" t="s">
        <v>325</v>
      </c>
    </row>
    <row r="3" spans="1:22" s="160" customFormat="1" x14ac:dyDescent="0.25">
      <c r="A3" s="230" t="s">
        <v>6</v>
      </c>
      <c r="B3" s="230" t="s">
        <v>5</v>
      </c>
      <c r="C3" s="231" t="s">
        <v>4</v>
      </c>
      <c r="D3" s="231" t="s">
        <v>3</v>
      </c>
      <c r="E3" s="231" t="s">
        <v>117</v>
      </c>
      <c r="F3" s="231" t="s">
        <v>71</v>
      </c>
      <c r="G3" s="231" t="s">
        <v>106</v>
      </c>
      <c r="H3" s="230" t="s">
        <v>2</v>
      </c>
      <c r="I3" s="230" t="s">
        <v>173</v>
      </c>
      <c r="J3" s="230" t="s">
        <v>1</v>
      </c>
      <c r="K3" s="232" t="s">
        <v>14</v>
      </c>
      <c r="L3" s="233" t="s">
        <v>15</v>
      </c>
      <c r="M3" s="234" t="s">
        <v>16</v>
      </c>
      <c r="N3" s="235" t="s">
        <v>17</v>
      </c>
      <c r="O3" s="236" t="s">
        <v>18</v>
      </c>
      <c r="P3" s="237" t="s">
        <v>19</v>
      </c>
      <c r="Q3" s="238" t="s">
        <v>20</v>
      </c>
      <c r="R3" s="281"/>
      <c r="S3" s="281"/>
      <c r="T3" s="281"/>
      <c r="U3" s="281"/>
      <c r="V3" s="281"/>
    </row>
    <row r="4" spans="1:22" s="210" customFormat="1" x14ac:dyDescent="0.25">
      <c r="A4" s="301">
        <v>1</v>
      </c>
      <c r="B4" s="302" t="s">
        <v>520</v>
      </c>
      <c r="C4" s="302"/>
      <c r="D4" s="303" t="s">
        <v>519</v>
      </c>
      <c r="E4" s="302"/>
      <c r="F4" s="302"/>
      <c r="G4" s="302"/>
      <c r="H4" s="302"/>
      <c r="I4" s="301" t="s">
        <v>309</v>
      </c>
      <c r="J4" s="302"/>
      <c r="K4" s="301">
        <v>4</v>
      </c>
      <c r="L4" s="301">
        <v>11</v>
      </c>
      <c r="M4" s="301">
        <v>4</v>
      </c>
      <c r="N4" s="301">
        <v>8</v>
      </c>
      <c r="O4" s="301">
        <v>15</v>
      </c>
      <c r="P4" s="301">
        <v>4</v>
      </c>
      <c r="Q4" s="301">
        <v>13</v>
      </c>
      <c r="R4" s="301">
        <f>SUM(K4:N4)</f>
        <v>27</v>
      </c>
      <c r="S4" s="301">
        <f>SUM(O4:Q4)</f>
        <v>32</v>
      </c>
      <c r="T4" s="301">
        <v>115</v>
      </c>
      <c r="U4" s="301">
        <v>100</v>
      </c>
      <c r="V4" s="301">
        <f>T4+U4</f>
        <v>215</v>
      </c>
    </row>
    <row r="5" spans="1:22" x14ac:dyDescent="0.25">
      <c r="A5" s="19">
        <v>2</v>
      </c>
      <c r="B5" s="22" t="s">
        <v>509</v>
      </c>
      <c r="C5" s="22"/>
      <c r="D5" s="258" t="s">
        <v>510</v>
      </c>
      <c r="E5" s="22"/>
      <c r="F5" s="22"/>
      <c r="G5" s="22"/>
      <c r="H5" s="22"/>
      <c r="I5" s="19" t="s">
        <v>309</v>
      </c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</row>
    <row r="6" spans="1:22" x14ac:dyDescent="0.25">
      <c r="A6" s="19">
        <v>3</v>
      </c>
      <c r="B6" s="253" t="s">
        <v>515</v>
      </c>
      <c r="C6" s="22"/>
      <c r="D6" s="254" t="s">
        <v>517</v>
      </c>
      <c r="E6" s="22"/>
      <c r="F6" s="22"/>
      <c r="G6" s="22"/>
      <c r="H6" s="22"/>
      <c r="I6" s="19" t="s">
        <v>309</v>
      </c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</row>
    <row r="7" spans="1:22" x14ac:dyDescent="0.25">
      <c r="A7" s="19">
        <v>4</v>
      </c>
      <c r="B7" s="253" t="s">
        <v>516</v>
      </c>
      <c r="C7" s="22"/>
      <c r="D7" s="254" t="s">
        <v>518</v>
      </c>
      <c r="E7" s="22"/>
      <c r="F7" s="22"/>
      <c r="G7" s="22"/>
      <c r="H7" s="22"/>
      <c r="I7" s="19" t="s">
        <v>309</v>
      </c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</row>
  </sheetData>
  <mergeCells count="7">
    <mergeCell ref="U2:U3"/>
    <mergeCell ref="V2:V3"/>
    <mergeCell ref="K2:N2"/>
    <mergeCell ref="O2:Q2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7"/>
  <sheetViews>
    <sheetView workbookViewId="0">
      <selection activeCell="E17" sqref="E17"/>
    </sheetView>
  </sheetViews>
  <sheetFormatPr defaultRowHeight="15" x14ac:dyDescent="0.25"/>
  <cols>
    <col min="1" max="1" width="9.140625" style="160"/>
    <col min="2" max="2" width="29.7109375" style="160" customWidth="1"/>
    <col min="3" max="3" width="18.140625" style="160" customWidth="1"/>
    <col min="4" max="4" width="20.85546875" style="160" customWidth="1"/>
    <col min="5" max="5" width="41.28515625" style="160" customWidth="1"/>
    <col min="6" max="6" width="30" style="160" customWidth="1"/>
    <col min="7" max="7" width="19.5703125" style="160" customWidth="1"/>
    <col min="8" max="8" width="13" style="160" customWidth="1"/>
    <col min="9" max="9" width="17.140625" style="160" customWidth="1"/>
    <col min="10" max="16384" width="9.140625" style="160"/>
  </cols>
  <sheetData>
    <row r="1" spans="1:21" ht="18.75" x14ac:dyDescent="0.3">
      <c r="A1" s="241"/>
      <c r="B1" s="168" t="s">
        <v>507</v>
      </c>
      <c r="C1" s="247"/>
      <c r="D1" s="164"/>
      <c r="E1" s="164"/>
      <c r="F1" s="163"/>
      <c r="G1" s="164"/>
      <c r="H1" s="241"/>
      <c r="I1" s="241"/>
      <c r="J1" s="241"/>
      <c r="K1" s="241"/>
      <c r="L1" s="241"/>
      <c r="M1" s="241"/>
      <c r="N1" s="241"/>
      <c r="O1" s="241"/>
      <c r="P1" s="241"/>
    </row>
    <row r="2" spans="1:21" x14ac:dyDescent="0.25">
      <c r="A2" s="241"/>
      <c r="C2" s="247"/>
      <c r="D2" s="163"/>
      <c r="E2" s="164"/>
      <c r="F2" s="163"/>
      <c r="G2" s="164"/>
      <c r="H2" s="241"/>
      <c r="I2" s="241"/>
      <c r="J2" s="291" t="s">
        <v>7</v>
      </c>
      <c r="K2" s="291"/>
      <c r="L2" s="291"/>
      <c r="M2" s="291"/>
      <c r="N2" s="292" t="s">
        <v>8</v>
      </c>
      <c r="O2" s="292"/>
      <c r="P2" s="292"/>
      <c r="Q2" s="289" t="s">
        <v>323</v>
      </c>
      <c r="R2" s="289" t="s">
        <v>324</v>
      </c>
      <c r="S2" s="290" t="s">
        <v>11</v>
      </c>
      <c r="T2" s="290" t="s">
        <v>12</v>
      </c>
      <c r="U2" s="289" t="s">
        <v>325</v>
      </c>
    </row>
    <row r="3" spans="1:21" x14ac:dyDescent="0.25">
      <c r="A3" s="230" t="s">
        <v>6</v>
      </c>
      <c r="B3" s="230" t="s">
        <v>5</v>
      </c>
      <c r="C3" s="239" t="s">
        <v>4</v>
      </c>
      <c r="D3" s="231" t="s">
        <v>3</v>
      </c>
      <c r="E3" s="240" t="s">
        <v>117</v>
      </c>
      <c r="F3" s="231" t="s">
        <v>71</v>
      </c>
      <c r="G3" s="231" t="s">
        <v>106</v>
      </c>
      <c r="H3" s="230" t="s">
        <v>2</v>
      </c>
      <c r="I3" s="230" t="s">
        <v>173</v>
      </c>
      <c r="J3" s="232" t="s">
        <v>14</v>
      </c>
      <c r="K3" s="233" t="s">
        <v>15</v>
      </c>
      <c r="L3" s="234" t="s">
        <v>16</v>
      </c>
      <c r="M3" s="235" t="s">
        <v>17</v>
      </c>
      <c r="N3" s="236" t="s">
        <v>18</v>
      </c>
      <c r="O3" s="237" t="s">
        <v>19</v>
      </c>
      <c r="P3" s="238" t="s">
        <v>20</v>
      </c>
      <c r="Q3" s="290"/>
      <c r="R3" s="290"/>
      <c r="S3" s="290"/>
      <c r="T3" s="290"/>
      <c r="U3" s="290"/>
    </row>
    <row r="4" spans="1:21" x14ac:dyDescent="0.25">
      <c r="A4" s="241">
        <v>1</v>
      </c>
      <c r="B4" s="160" t="s">
        <v>363</v>
      </c>
      <c r="C4" s="242">
        <v>35013</v>
      </c>
      <c r="D4" s="243" t="s">
        <v>393</v>
      </c>
      <c r="E4" s="163" t="s">
        <v>364</v>
      </c>
      <c r="F4" s="163"/>
      <c r="G4" s="164"/>
      <c r="H4" s="241" t="s">
        <v>53</v>
      </c>
      <c r="I4" s="241" t="s">
        <v>451</v>
      </c>
    </row>
    <row r="5" spans="1:21" x14ac:dyDescent="0.25">
      <c r="A5" s="241">
        <v>2</v>
      </c>
      <c r="B5" s="160" t="s">
        <v>334</v>
      </c>
      <c r="C5" s="242">
        <v>34824</v>
      </c>
      <c r="D5" s="163" t="s">
        <v>337</v>
      </c>
      <c r="E5" s="244" t="s">
        <v>335</v>
      </c>
      <c r="F5" s="163"/>
      <c r="G5" s="164"/>
      <c r="H5" s="241" t="s">
        <v>53</v>
      </c>
      <c r="I5" s="241" t="s">
        <v>451</v>
      </c>
    </row>
    <row r="6" spans="1:21" x14ac:dyDescent="0.25">
      <c r="A6" s="241">
        <v>3</v>
      </c>
      <c r="B6" s="160" t="s">
        <v>511</v>
      </c>
      <c r="C6" s="163"/>
      <c r="D6" s="163" t="s">
        <v>512</v>
      </c>
      <c r="E6" s="244" t="s">
        <v>513</v>
      </c>
      <c r="F6" s="163"/>
      <c r="G6" s="164"/>
      <c r="H6" s="241" t="s">
        <v>53</v>
      </c>
      <c r="I6" s="241" t="s">
        <v>514</v>
      </c>
    </row>
    <row r="7" spans="1:21" x14ac:dyDescent="0.25">
      <c r="A7" s="248"/>
      <c r="B7" s="249"/>
      <c r="C7" s="250"/>
      <c r="D7" s="250"/>
      <c r="E7" s="251"/>
      <c r="F7" s="250"/>
      <c r="G7" s="252"/>
      <c r="H7" s="248"/>
      <c r="I7" s="248"/>
      <c r="J7" s="249"/>
      <c r="K7" s="249"/>
      <c r="L7" s="249"/>
      <c r="M7" s="249"/>
      <c r="N7" s="249"/>
      <c r="O7" s="249"/>
      <c r="P7" s="249"/>
      <c r="Q7" s="249"/>
      <c r="R7" s="249"/>
      <c r="S7" s="249"/>
      <c r="T7" s="249"/>
      <c r="U7" s="249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TOEIC AK8</vt:lpstr>
      <vt:lpstr>TOEIC BK6</vt:lpstr>
      <vt:lpstr>TOEIC AK9</vt:lpstr>
      <vt:lpstr>TOEIC BK7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2018-03-06T03:05:28Z</dcterms:modified>
</cp:coreProperties>
</file>