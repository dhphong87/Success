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5" activeTab="19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  <sheet name="TOEIC AK11" sheetId="37" r:id="rId20"/>
    <sheet name="TOEIC BK9" sheetId="36" r:id="rId21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<sst xmlns="http://schemas.openxmlformats.org/spreadsheetml/2006/main" count="2680" uniqueCount="651">
  <si>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</si>
  <si>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</si>
  <si>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</si>
  <si>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</si>
  <si>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</si>
  <si>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</si>
  <si>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</si>
  <si>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</si>
  <si>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</si>
  <si>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</si>
  <si>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</si>
  <si>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</si>
  <si>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</si>
  <si>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</si>
  <si>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</si>
  <si>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</si>
  <si>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</si>
  <si>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</si>
  <si>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</si>
  <si>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</si>
  <si>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</si>
  <si>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</si>
  <si>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</si>
  <si>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</si>
  <si>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</si>
  <si>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</si>
  <si>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</si>
  <si>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</si>
  <si>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</si>
  <si>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</si>
  <si>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</si>
  <si>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</si>
  <si>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</si>
  <si>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</si>
  <si>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</si>
  <si>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</si>
  <si>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</si>
  <si>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</si>
  <si>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</si>
  <si>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</si>
  <si>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</si>
  <si>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</si>
  <si>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</si>
  <si>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</si>
  <si>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</si>
  <si>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</si>
  <si>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</si>
  <si>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</si>
  <si>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</si>
  <si>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</si>
  <si>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</si>
  <si>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</si>
  <si>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</si>
  <si>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</si>
  <si>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</si>
  <si>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</si>
  <si>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</si>
  <si>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</si>
  <si>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</si>
  <si>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</si>
  <si>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</si>
  <si>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</si>
  <si>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</si>
  <si>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</si>
  <si>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</si>
  <si>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</si>
  <si>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</si>
  <si>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</si>
  <si>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</si>
  <si>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</si>
  <si>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</si>
  <si>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</si>
  <si>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</si>
  <si>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</si>
  <si>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</si>
  <si>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</si>
  <si>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</si>
  <si>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</si>
  <si>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</si>
  <si>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</si>
  <si>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</si>
  <si>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</si>
  <si>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</si>
  <si>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</si>
  <si>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</si>
  <si>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</si>
  <si>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</si>
  <si>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</si>
  <si>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</si>
  <si>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</si>
  <si>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</si>
  <si>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</si>
  <si>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</si>
  <si>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</si>
  <si>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</si>
  <si>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</si>
  <si>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</si>
  <si>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</si>
  <si>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</si>
  <si>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</si>
  <si>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</si>
  <si>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</si>
  <si>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</si>
  <si>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</si>
  <si>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</si>
  <si>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</si>
  <si>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</si>
  <si>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</si>
  <si>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</si>
  <si>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</si>
  <si>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</si>
  <si>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</si>
  <si>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</si>
  <si>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</si>
  <si>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</si>
  <si>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</si>
  <si>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</si>
  <si>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</si>
  <si>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</si>
  <si>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</si>
  <si>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</si>
  <si>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</si>
  <si>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</si>
  <si>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</si>
  <si>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</si>
  <si>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</si>
  <si>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</si>
  <si>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</si>
  <si>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</si>
  <si>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</si>
  <si>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</si>
  <si>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</si>
  <si>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</si>
  <si>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</si>
  <si>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</si>
  <si>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</si>
  <si>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</si>
  <si>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</si>
  <si>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</si>
  <si>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</si>
  <si>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</si>
  <si>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</si>
  <si>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</si>
  <si>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</si>
  <si>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</si>
  <si>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</si>
  <si>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</si>
  <si>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</si>
  <si>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</si>
  <si>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</si>
  <si>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</si>
  <si>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</si>
  <si>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</si>
  <si>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</si>
  <si>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</si>
  <si>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</si>
  <si>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</si>
  <si>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</si>
  <si>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</si>
  <si>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</si>
  <si>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</si>
  <si>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</si>
  <si>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</si>
  <si>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</si>
  <si>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</si>
  <si>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</si>
  <si>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</si>
  <si>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</si>
  <si>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</si>
  <si>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</si>
  <si>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</si>
  <si>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</si>
  <si>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</si>
  <si>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</si>
  <si>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</si>
  <si>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</si>
  <si>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</si>
  <si>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</si>
  <si>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</si>
  <si>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</si>
  <si>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</si>
  <si>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</si>
  <si>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</si>
  <si>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</si>
  <si>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</si>
  <si>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</si>
  <si>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</si>
  <si>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</si>
  <si>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</si>
  <si>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</si>
  <si>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</si>
  <si>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</si>
  <si>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</si>
  <si>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</si>
  <si>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</si>
  <si>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</si>
  <si>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</si>
  <si>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</si>
  <si>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</si>
  <si>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</si>
  <si>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</si>
  <si>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</si>
  <si>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</si>
  <si>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</si>
  <si>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</si>
  <si>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</si>
  <si>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</si>
  <si>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</si>
  <si>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</si>
  <si>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</si>
  <si>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</si>
  <si>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</si>
  <si>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</si>
  <si>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</si>
  <si>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</si>
  <si>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</si>
  <si>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</si>
  <si>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</si>
  <si>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</si>
  <si>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</si>
  <si>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</si>
  <si>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</si>
  <si>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</si>
  <si>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</si>
  <si>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</si>
  <si>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</si>
  <si>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</si>
  <si>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</si>
  <si>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</si>
  <si>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</si>
  <si>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</si>
  <si>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</si>
  <si>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</si>
  <si>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</si>
  <si>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</si>
  <si>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</si>
  <si>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</si>
  <si>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</si>
  <si>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</si>
  <si>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</si>
  <si>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</si>
  <si>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</si>
  <si>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</si>
  <si>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</si>
  <si>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</si>
  <si>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</si>
  <si>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</si>
  <si>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</si>
  <si>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</si>
  <si>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</si>
  <si>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</si>
  <si>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</si>
  <si>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</si>
  <si>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</si>
  <si>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</si>
  <si>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</si>
  <si>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</si>
  <si>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</si>
  <si>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</si>
  <si>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</si>
  <si>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</si>
  <si>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</si>
  <si>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</si>
  <si>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</si>
  <si>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</si>
  <si>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</si>
  <si>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</si>
  <si>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</si>
  <si>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</si>
  <si>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</si>
  <si>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</si>
  <si>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</si>
  <si>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</si>
  <si>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</si>
  <si>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</si>
  <si>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</si>
  <si>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</si>
  <si>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</si>
  <si>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</si>
  <si>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</si>
  <si>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</si>
  <si>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</si>
  <si>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</si>
  <si>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</si>
  <si>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</si>
  <si>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</si>
  <si>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</si>
  <si>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</si>
  <si>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</si>
  <si>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</si>
  <si>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</si>
  <si>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</si>
  <si>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</si>
  <si>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</si>
  <si>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</si>
  <si>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</si>
  <si>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</si>
  <si>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</si>
  <si>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</si>
  <si>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</si>
  <si>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</si>
  <si>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</si>
  <si>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</si>
  <si>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</si>
  <si>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</si>
  <si>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</si>
  <si>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</si>
  <si>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</si>
  <si>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</si>
  <si>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</si>
  <si>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</si>
  <si>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</si>
  <si>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</si>
  <si>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</si>
  <si>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</si>
  <si>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</si>
  <si>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</si>
  <si>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</si>
  <si>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</si>
  <si>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</si>
  <si>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</si>
  <si>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</si>
  <si>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</si>
  <si>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</si>
  <si>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</si>
  <si>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</si>
  <si>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</si>
  <si>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</si>
  <si>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</si>
  <si>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</si>
  <si>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</si>
  <si>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</si>
  <si>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</si>
  <si>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</si>
  <si>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</si>
  <si>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</si>
  <si>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</si>
  <si>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</si>
  <si>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</si>
  <si>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</si>
  <si>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</si>
  <si>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</si>
  <si>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</si>
  <si>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</si>
  <si>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</si>
  <si>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</si>
  <si>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</si>
  <si>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</si>
  <si>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</si>
  <si>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</si>
  <si>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</si>
  <si>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</si>
  <si>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</si>
  <si>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</si>
  <si>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</si>
  <si>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</si>
  <si>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</si>
  <si>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</si>
  <si>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</si>
  <si>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</si>
  <si>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</si>
  <si>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</si>
  <si>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</si>
  <si>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</si>
  <si>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</si>
  <si>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</si>
  <si>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</si>
  <si>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</si>
  <si>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</si>
  <si>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</si>
  <si>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</si>
  <si>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</si>
  <si>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</si>
  <si>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</si>
  <si>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</si>
  <si>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</si>
  <si>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</si>
  <si>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</si>
  <si>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</si>
  <si>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</si>
  <si>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</si>
  <si>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</si>
  <si>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</si>
  <si>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</si>
  <si>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</si>
  <si>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</si>
  <si>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</si>
  <si>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</si>
  <si>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</si>
  <si>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</si>
  <si>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</si>
  <si>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</si>
  <si>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</si>
  <si>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</si>
  <si>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</si>
  <si>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</si>
  <si>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</si>
  <si>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</si>
  <si>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</si>
  <si>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</si>
  <si>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</si>
  <si>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</si>
  <si>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</si>
  <si>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</si>
  <si>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</si>
  <si>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</si>
  <si>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</si>
  <si>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</si>
  <si>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</si>
  <si>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</si>
  <si>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</si>
  <si>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</si>
  <si>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</si>
  <si>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</si>
  <si>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</si>
  <si>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</si>
  <si>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</si>
  <si>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</si>
  <si>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</si>
  <si>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</si>
  <si>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</si>
  <si>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</si>
  <si>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</si>
  <si>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</si>
  <si>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</si>
  <si>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</si>
  <si>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</si>
  <si>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</si>
  <si>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</si>
  <si>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</si>
  <si>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</si>
  <si>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</si>
  <si>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</si>
  <si>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</si>
  <si>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</si>
  <si>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</si>
  <si>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</si>
  <si>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</si>
  <si>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</si>
  <si>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</si>
  <si>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</si>
  <si>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</si>
  <si>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</si>
  <si>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</si>
  <si>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</si>
  <si>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</si>
  <si>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</si>
  <si>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</si>
  <si>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</si>
  <si>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</si>
  <si>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</si>
  <si>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</si>
  <si>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</si>
  <si>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</si>
  <si>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</si>
  <si>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</si>
  <si>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</si>
  <si>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</si>
  <si>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</si>
  <si>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</si>
  <si>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</si>
  <si>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</si>
  <si>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</si>
  <si>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</si>
  <si>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</si>
  <si>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</si>
  <si>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</si>
  <si>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</si>
  <si>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</si>
  <si>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</si>
  <si>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</si>
  <si>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</si>
  <si>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</si>
  <si>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</si>
  <si>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</si>
  <si>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</si>
  <si>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</si>
  <si>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</si>
  <si>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</si>
  <si>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</si>
  <si>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</si>
  <si>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</si>
  <si>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</si>
  <si>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</si>
  <si>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</si>
  <si>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</si>
  <si>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</si>
  <si>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</si>
  <si>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</si>
  <si>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</si>
  <si>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</si>
  <si>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</si>
  <si>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</si>
  <si>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</si>
  <si>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</si>
  <si>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</si>
  <si>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</si>
  <si>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</si>
  <si>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</si>
  <si>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</si>
  <si>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</si>
  <si>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</si>
  <si>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</si>
  <si>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</si>
  <si>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</si>
  <si>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</si>
  <si>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</si>
  <si>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</si>
  <si>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</si>
  <si>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</si>
  <si>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</si>
  <si>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</si>
  <si>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</si>
  <si>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</si>
  <si>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</si>
  <si>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</si>
  <si>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</si>
  <si>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</si>
  <si>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</si>
  <si>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</si>
  <si>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</si>
  <si>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</si>
  <si>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</si>
  <si>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</si>
  <si>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</si>
  <si>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</si>
  <si>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</si>
  <si>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</si>
  <si>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</si>
  <si>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</si>
  <si>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</si>
  <si>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</si>
  <si>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</si>
  <si>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</si>
  <si>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</si>
  <si>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</si>
  <si>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</si>
  <si>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</si>
  <si>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</si>
  <si>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</si>
  <si>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</si>
  <si>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</si>
  <si>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</si>
  <si>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</si>
  <si>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</si>
  <si>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</si>
  <si>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</si>
  <si>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</si>
  <si>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</si>
  <si>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</si>
  <si>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</si>
  <si>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</si>
  <si>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</si>
  <si>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</si>
  <si>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</si>
  <si>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</si>
  <si>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</si>
  <si>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</si>
  <si>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</si>
  <si>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</si>
  <si>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</si>
  <si>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</si>
  <si>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</si>
  <si>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</si>
  <si>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</si>
  <si>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</si>
  <si>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</si>
  <si>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</si>
  <si>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</si>
  <si>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</si>
  <si>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</si>
  <si>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</si>
  <si>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</si>
  <si>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</si>
  <si>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</si>
  <si>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</si>
  <si>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</si>
  <si>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</si>
  <si>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</si>
  <si>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</si>
  <si>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</si>
  <si>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</si>
  <si>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</si>
  <si>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</si>
  <si>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</si>
  <si>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</si>
  <si>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</si>
  <si>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</si>
  <si>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</si>
  <si>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</si>
  <si>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</si>
  <si>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</si>
  <si>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</si>
  <si>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</si>
  <si>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</si>
  <si>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</si>
  <si>
    <t>Trương Minh Nhật</t>
  </si>
  <si>
    <t>Hà Trương Khả Tú</t>
  </si>
  <si>
    <t>0906552514</t>
  </si>
  <si>
    <t>Bảo Lưu</t>
  </si>
  <si>
    <t>Võ Thanh Quang</t>
  </si>
  <si>
    <t>Nguyễn Thanh Hùng</t>
  </si>
  <si>
    <t>0943765450</t>
  </si>
  <si>
    <t>0916663859</t>
  </si>
  <si>
    <t>Pham Hoang Kiều Oanh</t>
  </si>
  <si>
    <t>Đông Trúc</t>
  </si>
  <si>
    <t>01263644544</t>
  </si>
  <si>
    <t>01658620129</t>
  </si>
  <si>
    <t>Trần Thị Lệ Quỳnh</t>
  </si>
  <si>
    <t>Trần Hồng Minh</t>
  </si>
  <si>
    <t>01667790323</t>
  </si>
  <si>
    <t>0935374742</t>
  </si>
  <si>
    <t>Nguyễn Thị Khánh Vân</t>
  </si>
  <si>
    <t>Nguyễn Đăng Phước</t>
  </si>
  <si>
    <t>01698589704</t>
  </si>
  <si>
    <t>0981434879</t>
  </si>
  <si>
    <t xml:space="preserve">Phong </t>
  </si>
  <si>
    <t>Nguyễn Thị Hồng Nhung</t>
  </si>
  <si>
    <t>01683730816</t>
  </si>
  <si>
    <t>Nguyễn Thị Nhật Nam</t>
  </si>
  <si>
    <t>01658833371</t>
  </si>
  <si>
    <t>Khóa TOEIC A K10 (9/7/2018 - 10/2018)</t>
  </si>
  <si>
    <t>Khóa TOEIC B K9 (10/7/2018 - 10/2018)</t>
  </si>
  <si>
    <t>Trần Khôi Nguyên</t>
  </si>
  <si>
    <t>0935175875</t>
  </si>
  <si>
    <t>Bạn Minh Châu</t>
  </si>
  <si>
    <t>Phan Thị Minh Trang</t>
  </si>
  <si>
    <t>01266571056</t>
  </si>
  <si>
    <t>Văn Thị Thúy Hằng</t>
  </si>
  <si>
    <t>01264464102</t>
  </si>
  <si>
    <t>Nguyễn Thị Ngọc Hân</t>
  </si>
  <si>
    <t>Châu Thị Ly Na</t>
  </si>
  <si>
    <t>01258393502</t>
  </si>
  <si>
    <t>0966475599</t>
  </si>
  <si>
    <t>Nguyễn Huyền Trang</t>
  </si>
  <si>
    <t>Huỳnh Thị Như Ý</t>
  </si>
  <si>
    <t>Trần Khánh Quỳnh Hương</t>
  </si>
  <si>
    <t>01292177179</t>
  </si>
  <si>
    <t>01626480257</t>
  </si>
  <si>
    <t>0906468111</t>
  </si>
  <si>
    <t>Trần Thị Trà Giang</t>
  </si>
  <si>
    <t>Nguyễn Thị Như Quỳnh</t>
  </si>
  <si>
    <t>01635177159</t>
  </si>
  <si>
    <t>0967227041</t>
  </si>
  <si>
    <t>Trần Ngọc Sung</t>
  </si>
  <si>
    <t>01226219802</t>
  </si>
  <si>
    <t>Đặng Văn Phi</t>
  </si>
  <si>
    <t>Lê Đức Thuận</t>
  </si>
  <si>
    <t>01674115097</t>
  </si>
  <si>
    <t>01635677079</t>
  </si>
  <si>
    <t xml:space="preserve"> 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</si>
</sst>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3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1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14" fontId="1" fillId="0" borderId="0" xfId="0" applyNumberFormat="1" applyFont="1" applyFill="1" applyAlignment="1">
      <alignment horizontal="left" vertical="center"/>
    </xf>
    <xf numFmtId="49" fontId="1" fillId="0" borderId="0" xfId="0" applyNumberFormat="1" applyFont="1" applyFill="1" applyAlignment="1">
      <alignment vertical="center" wrapText="1"/>
    </xf>
    <xf numFmtId="49" fontId="1" fillId="0" borderId="0" xfId="0" applyNumberFormat="1" applyFont="1" applyFill="1" applyAlignment="1">
      <alignment horizontal="center" vertical="center"/>
    </xf>
    <xf numFmtId="0" fontId="9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14" fontId="9" fillId="0" borderId="3" xfId="0" applyNumberFormat="1" applyFont="1" applyBorder="1" applyAlignment="1">
      <alignment horizontal="center"/>
    </xf>
    <xf numFmtId="14" fontId="9" fillId="0" borderId="4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291">
        <v>10</v>
      </c>
      <c r="B11" s="39" t="s">
        <v>549</v>
      </c>
      <c r="G11" s="292" t="s">
        <v>593</v>
      </c>
      <c r="H11" s="292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302" t="s">
        <v>165</v>
      </c>
      <c r="B2" s="302"/>
      <c r="C2" s="302"/>
      <c r="D2" s="302"/>
      <c r="E2" s="302"/>
      <c r="F2" s="302"/>
      <c r="G2" s="38"/>
    </row>
    <row r="3" spans="1:8" x14ac:dyDescent="0.25">
      <c r="B3" s="68" t="s">
        <v>166</v>
      </c>
      <c r="C3" s="69">
        <f ca="1">MONTH(TODAY())</f>
        <v>7</v>
      </c>
      <c r="D3" s="79"/>
      <c r="E3" s="66" t="s">
        <v>167</v>
      </c>
      <c r="G3" t="s">
        <v>227</v>
      </c>
      <c r="H3" s="70">
        <f ca="1">TODAY()</f>
        <v>43290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>Đã xong</v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Đã xong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>Đã xong</v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Đã xong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>Trong tháng có SN</v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/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304" t="s">
        <v>7</v>
      </c>
      <c r="K2" s="304"/>
      <c r="L2" s="304"/>
      <c r="M2" s="304"/>
      <c r="N2" s="305" t="s">
        <v>8</v>
      </c>
      <c r="O2" s="305"/>
      <c r="P2" s="305"/>
      <c r="Q2" s="306" t="s">
        <v>9</v>
      </c>
      <c r="R2" s="306" t="s">
        <v>10</v>
      </c>
      <c r="S2" s="306" t="s">
        <v>11</v>
      </c>
      <c r="T2" s="306" t="s">
        <v>12</v>
      </c>
      <c r="U2" s="303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06"/>
      <c r="R3" s="306"/>
      <c r="S3" s="306"/>
      <c r="T3" s="306"/>
      <c r="U3" s="303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14" t="s">
        <v>6</v>
      </c>
      <c r="B3" s="314" t="s">
        <v>5</v>
      </c>
      <c r="C3" s="24"/>
      <c r="D3" s="24"/>
      <c r="E3" s="24"/>
      <c r="F3" s="24"/>
      <c r="G3" s="316"/>
      <c r="H3" s="316"/>
      <c r="I3" s="316"/>
      <c r="J3" s="313"/>
      <c r="K3" s="308"/>
      <c r="L3" s="309"/>
      <c r="M3" s="313"/>
      <c r="N3" s="308"/>
      <c r="O3" s="309"/>
      <c r="P3" s="313"/>
      <c r="Q3" s="308"/>
      <c r="R3" s="309"/>
      <c r="S3" s="313"/>
      <c r="T3" s="308"/>
      <c r="U3" s="309"/>
      <c r="V3" s="313"/>
      <c r="W3" s="308"/>
      <c r="X3" s="309"/>
      <c r="Y3" s="313"/>
      <c r="Z3" s="308"/>
      <c r="AA3" s="309"/>
      <c r="AB3" s="313"/>
      <c r="AC3" s="308"/>
      <c r="AD3" s="309"/>
      <c r="AE3" s="313"/>
      <c r="AF3" s="308"/>
      <c r="AG3" s="309"/>
      <c r="AH3" s="313"/>
      <c r="AI3" s="308"/>
      <c r="AJ3" s="309"/>
      <c r="AK3" s="313"/>
      <c r="AL3" s="308"/>
      <c r="AM3" s="309"/>
      <c r="AN3" s="313"/>
      <c r="AO3" s="308"/>
      <c r="AP3" s="309"/>
      <c r="AQ3" s="313"/>
      <c r="AR3" s="308"/>
      <c r="AS3" s="309"/>
      <c r="AT3" s="313"/>
      <c r="AU3" s="308"/>
      <c r="AV3" s="309"/>
      <c r="AW3" s="313"/>
      <c r="AX3" s="308"/>
      <c r="AY3" s="309"/>
      <c r="AZ3" s="313"/>
      <c r="BA3" s="308"/>
      <c r="BB3" s="309"/>
      <c r="BC3" s="310" t="s">
        <v>116</v>
      </c>
      <c r="BD3" s="311"/>
      <c r="BE3" s="312"/>
      <c r="BF3" s="307">
        <v>42930</v>
      </c>
      <c r="BG3" s="308"/>
      <c r="BH3" s="309"/>
      <c r="BI3" s="313" t="s">
        <v>147</v>
      </c>
      <c r="BJ3" s="308"/>
      <c r="BK3" s="309"/>
      <c r="BL3" s="313" t="s">
        <v>148</v>
      </c>
      <c r="BM3" s="308"/>
      <c r="BN3" s="309"/>
      <c r="BO3" s="313" t="s">
        <v>170</v>
      </c>
      <c r="BP3" s="308"/>
      <c r="BQ3" s="309"/>
      <c r="BR3" s="307">
        <v>42940</v>
      </c>
      <c r="BS3" s="308"/>
      <c r="BT3" s="309"/>
      <c r="BU3" s="307">
        <v>42942</v>
      </c>
      <c r="BV3" s="308"/>
      <c r="BW3" s="309"/>
      <c r="BX3" s="307">
        <v>42944</v>
      </c>
      <c r="BY3" s="308"/>
      <c r="BZ3" s="309"/>
      <c r="CA3" s="307">
        <v>42947</v>
      </c>
      <c r="CB3" s="308"/>
      <c r="CC3" s="309"/>
      <c r="CD3" s="26"/>
    </row>
    <row r="4" spans="1:82" s="17" customFormat="1" ht="21" customHeight="1" x14ac:dyDescent="0.25">
      <c r="A4" s="315"/>
      <c r="B4" s="315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304" t="s">
        <v>7</v>
      </c>
      <c r="K2" s="304"/>
      <c r="L2" s="304"/>
      <c r="M2" s="304"/>
      <c r="N2" s="305" t="s">
        <v>8</v>
      </c>
      <c r="O2" s="305"/>
      <c r="P2" s="305"/>
      <c r="Q2" s="306" t="s">
        <v>9</v>
      </c>
      <c r="R2" s="306" t="s">
        <v>10</v>
      </c>
      <c r="S2" s="306" t="s">
        <v>11</v>
      </c>
      <c r="T2" s="306" t="s">
        <v>12</v>
      </c>
      <c r="U2" s="303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06"/>
      <c r="R3" s="306"/>
      <c r="S3" s="306"/>
      <c r="T3" s="306"/>
      <c r="U3" s="303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14" t="s">
        <v>6</v>
      </c>
      <c r="B3" s="314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16" t="s">
        <v>31</v>
      </c>
      <c r="H3" s="316"/>
      <c r="I3" s="316"/>
      <c r="J3" s="313" t="s">
        <v>32</v>
      </c>
      <c r="K3" s="308"/>
      <c r="L3" s="309"/>
      <c r="M3" s="313" t="s">
        <v>33</v>
      </c>
      <c r="N3" s="308"/>
      <c r="O3" s="309"/>
      <c r="P3" s="313" t="s">
        <v>34</v>
      </c>
      <c r="Q3" s="308"/>
      <c r="R3" s="309"/>
      <c r="S3" s="313" t="s">
        <v>35</v>
      </c>
      <c r="T3" s="308"/>
      <c r="U3" s="309"/>
      <c r="V3" s="313" t="s">
        <v>36</v>
      </c>
      <c r="W3" s="308"/>
      <c r="X3" s="309"/>
      <c r="Y3" s="313" t="s">
        <v>37</v>
      </c>
      <c r="Z3" s="308"/>
      <c r="AA3" s="309"/>
      <c r="AB3" s="313" t="s">
        <v>38</v>
      </c>
      <c r="AC3" s="308"/>
      <c r="AD3" s="309"/>
      <c r="AE3" s="313" t="s">
        <v>39</v>
      </c>
      <c r="AF3" s="308"/>
      <c r="AG3" s="309"/>
      <c r="AH3" s="313" t="s">
        <v>40</v>
      </c>
      <c r="AI3" s="308"/>
      <c r="AJ3" s="309"/>
      <c r="AK3" s="313" t="s">
        <v>41</v>
      </c>
      <c r="AL3" s="308"/>
      <c r="AM3" s="309"/>
      <c r="AN3" s="313" t="s">
        <v>42</v>
      </c>
      <c r="AO3" s="308"/>
      <c r="AP3" s="309"/>
      <c r="AQ3" s="313" t="s">
        <v>43</v>
      </c>
      <c r="AR3" s="308"/>
      <c r="AS3" s="309"/>
      <c r="AT3" s="313" t="s">
        <v>44</v>
      </c>
      <c r="AU3" s="308"/>
      <c r="AV3" s="309"/>
      <c r="AW3" s="313" t="s">
        <v>45</v>
      </c>
      <c r="AX3" s="308"/>
      <c r="AY3" s="309"/>
      <c r="AZ3" s="313" t="s">
        <v>46</v>
      </c>
      <c r="BA3" s="308"/>
      <c r="BB3" s="309"/>
      <c r="BC3" s="313" t="s">
        <v>47</v>
      </c>
      <c r="BD3" s="308"/>
      <c r="BE3" s="309"/>
      <c r="BF3" s="313" t="s">
        <v>48</v>
      </c>
      <c r="BG3" s="308"/>
      <c r="BH3" s="309"/>
      <c r="BI3" s="313" t="s">
        <v>49</v>
      </c>
      <c r="BJ3" s="308"/>
      <c r="BK3" s="309"/>
      <c r="BL3" s="313"/>
      <c r="BM3" s="308"/>
      <c r="BN3" s="309"/>
      <c r="BO3" s="313"/>
      <c r="BP3" s="308"/>
      <c r="BQ3" s="309"/>
      <c r="BR3" s="313"/>
      <c r="BS3" s="308"/>
      <c r="BT3" s="309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14"/>
      <c r="B4" s="314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18" t="s">
        <v>7</v>
      </c>
      <c r="P2" s="318"/>
      <c r="Q2" s="318"/>
      <c r="R2" s="318"/>
      <c r="S2" s="319" t="s">
        <v>8</v>
      </c>
      <c r="T2" s="319"/>
      <c r="U2" s="319"/>
      <c r="V2" s="320" t="s">
        <v>9</v>
      </c>
      <c r="W2" s="320" t="s">
        <v>10</v>
      </c>
      <c r="X2" s="320" t="s">
        <v>11</v>
      </c>
      <c r="Y2" s="320" t="s">
        <v>12</v>
      </c>
      <c r="Z2" s="317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20"/>
      <c r="W3" s="320"/>
      <c r="X3" s="320"/>
      <c r="Y3" s="320"/>
      <c r="Z3" s="317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14" t="s">
        <v>6</v>
      </c>
      <c r="B3" s="314" t="s">
        <v>5</v>
      </c>
      <c r="C3" s="60"/>
      <c r="D3" s="60"/>
      <c r="E3" s="60"/>
      <c r="F3" s="60"/>
      <c r="G3" s="316"/>
      <c r="H3" s="316"/>
      <c r="I3" s="316"/>
      <c r="J3" s="316"/>
      <c r="K3" s="316"/>
      <c r="L3" s="316"/>
      <c r="M3" s="316"/>
      <c r="N3" s="316"/>
      <c r="O3" s="316"/>
      <c r="P3" s="316"/>
      <c r="Q3" s="316"/>
      <c r="R3" s="316"/>
      <c r="S3" s="316"/>
      <c r="T3" s="316"/>
      <c r="U3" s="316"/>
      <c r="V3" s="316"/>
      <c r="W3" s="316"/>
      <c r="X3" s="316"/>
      <c r="Y3" s="316"/>
      <c r="Z3" s="316"/>
      <c r="AA3" s="316"/>
      <c r="AB3" s="316"/>
      <c r="AC3" s="316"/>
      <c r="AD3" s="316"/>
      <c r="AE3" s="316"/>
      <c r="AF3" s="316"/>
      <c r="AG3" s="316"/>
      <c r="AH3" s="316"/>
      <c r="AI3" s="316"/>
      <c r="AJ3" s="316"/>
      <c r="AK3" s="316"/>
      <c r="AL3" s="316"/>
      <c r="AM3" s="316"/>
      <c r="AN3" s="316"/>
      <c r="AO3" s="316"/>
      <c r="AP3" s="316"/>
      <c r="AQ3" s="316"/>
      <c r="AR3" s="316"/>
      <c r="AS3" s="316"/>
      <c r="AT3" s="316"/>
      <c r="AU3" s="316"/>
      <c r="AV3" s="316"/>
      <c r="AW3" s="316"/>
      <c r="AX3" s="316"/>
      <c r="AY3" s="316"/>
      <c r="AZ3" s="316"/>
      <c r="BA3" s="316"/>
      <c r="BB3" s="316"/>
      <c r="BC3" s="321"/>
      <c r="BD3" s="321"/>
      <c r="BE3" s="321"/>
      <c r="BF3" s="322">
        <v>42976</v>
      </c>
      <c r="BG3" s="316"/>
      <c r="BH3" s="316"/>
      <c r="BI3" s="316"/>
      <c r="BJ3" s="316"/>
      <c r="BK3" s="316"/>
      <c r="BL3" s="316"/>
      <c r="BM3" s="316"/>
      <c r="BN3" s="316"/>
      <c r="BO3" s="316"/>
      <c r="BP3" s="316"/>
      <c r="BQ3" s="316"/>
      <c r="BR3" s="322"/>
      <c r="BS3" s="316"/>
      <c r="BT3" s="316"/>
      <c r="BU3" s="316"/>
      <c r="BV3" s="316"/>
      <c r="BW3" s="316"/>
      <c r="BX3" s="316"/>
      <c r="BY3" s="316"/>
      <c r="BZ3" s="316"/>
      <c r="CA3" s="316"/>
      <c r="CB3" s="316"/>
      <c r="CC3" s="316"/>
      <c r="CD3" s="26"/>
    </row>
    <row r="4" spans="1:82" s="17" customFormat="1" ht="21" customHeight="1" x14ac:dyDescent="0.25">
      <c r="A4" s="314"/>
      <c r="B4" s="314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23" t="s">
        <v>224</v>
      </c>
      <c r="C1" s="323"/>
      <c r="D1" s="323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304" t="s">
        <v>7</v>
      </c>
      <c r="O2" s="304"/>
      <c r="P2" s="304"/>
      <c r="Q2" s="304"/>
      <c r="R2" s="305" t="s">
        <v>8</v>
      </c>
      <c r="S2" s="305"/>
      <c r="T2" s="305"/>
      <c r="U2" s="306" t="s">
        <v>9</v>
      </c>
      <c r="V2" s="306" t="s">
        <v>10</v>
      </c>
      <c r="W2" s="306" t="s">
        <v>11</v>
      </c>
      <c r="X2" s="306" t="s">
        <v>12</v>
      </c>
      <c r="Y2" s="303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306"/>
      <c r="V3" s="306"/>
      <c r="W3" s="306"/>
      <c r="X3" s="306"/>
      <c r="Y3" s="303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4" workbookViewId="0">
      <selection activeCell="D12" sqref="D12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27" t="s">
        <v>430</v>
      </c>
      <c r="B1" s="328"/>
      <c r="C1" s="328"/>
      <c r="D1" s="328"/>
      <c r="E1" s="328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28"/>
      <c r="B2" s="328"/>
      <c r="C2" s="328"/>
      <c r="D2" s="328"/>
      <c r="E2" s="328"/>
      <c r="F2" s="196"/>
      <c r="G2" s="196"/>
      <c r="H2" s="49"/>
      <c r="I2" s="49"/>
      <c r="J2" s="204"/>
      <c r="K2" s="329" t="s">
        <v>7</v>
      </c>
      <c r="L2" s="329"/>
      <c r="M2" s="329"/>
      <c r="N2" s="329"/>
      <c r="O2" s="330" t="s">
        <v>8</v>
      </c>
      <c r="P2" s="330"/>
      <c r="Q2" s="330"/>
      <c r="R2" s="325" t="s">
        <v>322</v>
      </c>
      <c r="S2" s="325" t="s">
        <v>323</v>
      </c>
      <c r="T2" s="324" t="s">
        <v>11</v>
      </c>
      <c r="U2" s="324" t="s">
        <v>12</v>
      </c>
      <c r="V2" s="325" t="s">
        <v>324</v>
      </c>
      <c r="W2" s="194"/>
      <c r="X2" s="329" t="s">
        <v>7</v>
      </c>
      <c r="Y2" s="329"/>
      <c r="Z2" s="329"/>
      <c r="AA2" s="329"/>
      <c r="AB2" s="330" t="s">
        <v>8</v>
      </c>
      <c r="AC2" s="330"/>
      <c r="AD2" s="330"/>
      <c r="AE2" s="325" t="s">
        <v>322</v>
      </c>
      <c r="AF2" s="325" t="s">
        <v>323</v>
      </c>
      <c r="AG2" s="324" t="s">
        <v>11</v>
      </c>
      <c r="AH2" s="324" t="s">
        <v>12</v>
      </c>
      <c r="AI2" s="325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4"/>
      <c r="S3" s="324"/>
      <c r="T3" s="324"/>
      <c r="U3" s="324"/>
      <c r="V3" s="324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24"/>
      <c r="AF3" s="324"/>
      <c r="AG3" s="324"/>
      <c r="AH3" s="324"/>
      <c r="AI3" s="324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26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26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26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26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26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26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26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26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26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26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26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26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26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26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26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26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26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26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26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26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18" t="s">
        <v>7</v>
      </c>
      <c r="L2" s="318"/>
      <c r="M2" s="318"/>
      <c r="N2" s="318"/>
      <c r="O2" s="319" t="s">
        <v>8</v>
      </c>
      <c r="P2" s="319"/>
      <c r="Q2" s="319"/>
      <c r="R2" s="320" t="s">
        <v>9</v>
      </c>
      <c r="S2" s="320" t="s">
        <v>10</v>
      </c>
      <c r="T2" s="320" t="s">
        <v>11</v>
      </c>
      <c r="U2" s="320" t="s">
        <v>12</v>
      </c>
      <c r="V2" s="320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20"/>
      <c r="S3" s="320"/>
      <c r="T3" s="320"/>
      <c r="U3" s="320"/>
      <c r="V3" s="320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18" t="s">
        <v>7</v>
      </c>
      <c r="L2" s="318"/>
      <c r="M2" s="318"/>
      <c r="N2" s="318"/>
      <c r="O2" s="319" t="s">
        <v>8</v>
      </c>
      <c r="P2" s="319"/>
      <c r="Q2" s="319"/>
      <c r="R2" s="331" t="s">
        <v>322</v>
      </c>
      <c r="S2" s="331" t="s">
        <v>323</v>
      </c>
      <c r="T2" s="320" t="s">
        <v>11</v>
      </c>
      <c r="U2" s="320" t="s">
        <v>12</v>
      </c>
      <c r="V2" s="331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0"/>
      <c r="S3" s="320"/>
      <c r="T3" s="320"/>
      <c r="U3" s="320"/>
      <c r="V3" s="320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29" t="s">
        <v>7</v>
      </c>
      <c r="L2" s="329"/>
      <c r="M2" s="329"/>
      <c r="N2" s="329"/>
      <c r="O2" s="330" t="s">
        <v>8</v>
      </c>
      <c r="P2" s="330"/>
      <c r="Q2" s="330"/>
      <c r="R2" s="325" t="s">
        <v>322</v>
      </c>
      <c r="S2" s="325" t="s">
        <v>323</v>
      </c>
      <c r="T2" s="324" t="s">
        <v>11</v>
      </c>
      <c r="U2" s="324" t="s">
        <v>12</v>
      </c>
      <c r="V2" s="325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4"/>
      <c r="S3" s="324"/>
      <c r="T3" s="324"/>
      <c r="U3" s="324"/>
      <c r="V3" s="324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B7" sqref="B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34" t="s">
        <v>7</v>
      </c>
      <c r="L2" s="334"/>
      <c r="M2" s="334"/>
      <c r="N2" s="334"/>
      <c r="O2" s="335" t="s">
        <v>8</v>
      </c>
      <c r="P2" s="335"/>
      <c r="Q2" s="335"/>
      <c r="R2" s="333" t="s">
        <v>322</v>
      </c>
      <c r="S2" s="333" t="s">
        <v>323</v>
      </c>
      <c r="T2" s="332" t="s">
        <v>11</v>
      </c>
      <c r="U2" s="332" t="s">
        <v>12</v>
      </c>
      <c r="V2" s="333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32"/>
      <c r="S3" s="332"/>
      <c r="T3" s="332"/>
      <c r="U3" s="332"/>
      <c r="V3" s="332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290" customFormat="1" ht="18.75" x14ac:dyDescent="0.3">
      <c r="A11" s="285">
        <v>8</v>
      </c>
      <c r="B11" s="286" t="s">
        <v>535</v>
      </c>
      <c r="C11" s="287">
        <v>33428</v>
      </c>
      <c r="D11" s="288" t="s">
        <v>536</v>
      </c>
      <c r="E11" s="289" t="s">
        <v>537</v>
      </c>
      <c r="F11" s="289"/>
      <c r="G11" s="285" t="s">
        <v>53</v>
      </c>
      <c r="H11" s="289"/>
      <c r="I11" s="285"/>
      <c r="J11" s="289"/>
      <c r="K11" s="289"/>
      <c r="L11" s="289"/>
      <c r="M11" s="289"/>
      <c r="N11" s="289"/>
      <c r="O11" s="289"/>
      <c r="P11" s="289"/>
      <c r="Q11" s="289"/>
      <c r="R11" s="289"/>
      <c r="S11" s="289"/>
      <c r="T11" s="289"/>
      <c r="U11" s="289"/>
      <c r="V11" s="289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topLeftCell="G1" workbookViewId="0">
      <selection activeCell="Q5" sqref="Q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9" t="s">
        <v>7</v>
      </c>
      <c r="K2" s="329"/>
      <c r="L2" s="329"/>
      <c r="M2" s="329"/>
      <c r="N2" s="330" t="s">
        <v>8</v>
      </c>
      <c r="O2" s="330"/>
      <c r="P2" s="330"/>
      <c r="Q2" s="325" t="s">
        <v>322</v>
      </c>
      <c r="R2" s="325" t="s">
        <v>323</v>
      </c>
      <c r="S2" s="324" t="s">
        <v>11</v>
      </c>
      <c r="T2" s="324" t="s">
        <v>12</v>
      </c>
      <c r="U2" s="325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4"/>
      <c r="R3" s="324"/>
      <c r="S3" s="324"/>
      <c r="T3" s="324"/>
      <c r="U3" s="324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  <c r="J4" s="1">
        <v>5</v>
      </c>
      <c r="K4" s="1">
        <v>21</v>
      </c>
      <c r="L4" s="1">
        <v>17</v>
      </c>
      <c r="M4" s="1">
        <v>14</v>
      </c>
      <c r="N4" s="1">
        <v>32</v>
      </c>
      <c r="O4" s="1">
        <v>5</v>
      </c>
      <c r="P4" s="1">
        <v>32</v>
      </c>
      <c r="Q4" s="1">
        <v>57</v>
      </c>
      <c r="R4" s="1">
        <v>69</v>
      </c>
      <c r="S4" s="1">
        <v>295</v>
      </c>
      <c r="T4" s="1">
        <v>330</v>
      </c>
      <c r="U4" s="1">
        <v>625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29" t="s">
        <v>7</v>
      </c>
      <c r="K2" s="329"/>
      <c r="L2" s="329"/>
      <c r="M2" s="329"/>
      <c r="N2" s="330" t="s">
        <v>8</v>
      </c>
      <c r="O2" s="330"/>
      <c r="P2" s="330"/>
      <c r="Q2" s="325" t="s">
        <v>322</v>
      </c>
      <c r="R2" s="325" t="s">
        <v>323</v>
      </c>
      <c r="S2" s="324" t="s">
        <v>11</v>
      </c>
      <c r="T2" s="324" t="s">
        <v>12</v>
      </c>
      <c r="U2" s="325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4"/>
      <c r="R3" s="324"/>
      <c r="S3" s="324"/>
      <c r="T3" s="324"/>
      <c r="U3" s="324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D14"/>
  <sheetViews>
    <sheetView topLeftCell="BX1" workbookViewId="0">
      <selection activeCell="CZ6" sqref="CZ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108" width="5.5703125" style="59" customWidth="1"/>
  </cols>
  <sheetData>
    <row r="1" spans="1:108" ht="26.25" x14ac:dyDescent="0.4">
      <c r="B1" s="5" t="s">
        <v>591</v>
      </c>
      <c r="M1" s="48" t="s">
        <v>28</v>
      </c>
    </row>
    <row r="3" spans="1:108" s="17" customFormat="1" ht="21" customHeight="1" x14ac:dyDescent="0.25">
      <c r="A3" s="314" t="s">
        <v>6</v>
      </c>
      <c r="B3" s="314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316" t="s">
        <v>31</v>
      </c>
      <c r="H3" s="316"/>
      <c r="I3" s="316"/>
      <c r="J3" s="316" t="s">
        <v>32</v>
      </c>
      <c r="K3" s="316"/>
      <c r="L3" s="316"/>
      <c r="M3" s="316" t="s">
        <v>33</v>
      </c>
      <c r="N3" s="316"/>
      <c r="O3" s="316"/>
      <c r="P3" s="316" t="s">
        <v>34</v>
      </c>
      <c r="Q3" s="316"/>
      <c r="R3" s="316"/>
      <c r="S3" s="316" t="s">
        <v>35</v>
      </c>
      <c r="T3" s="316"/>
      <c r="U3" s="316"/>
      <c r="V3" s="316" t="s">
        <v>36</v>
      </c>
      <c r="W3" s="316"/>
      <c r="X3" s="316"/>
      <c r="Y3" s="316" t="s">
        <v>37</v>
      </c>
      <c r="Z3" s="316"/>
      <c r="AA3" s="316"/>
      <c r="AB3" s="316" t="s">
        <v>38</v>
      </c>
      <c r="AC3" s="316"/>
      <c r="AD3" s="316"/>
      <c r="AE3" s="316" t="s">
        <v>39</v>
      </c>
      <c r="AF3" s="316"/>
      <c r="AG3" s="316"/>
      <c r="AH3" s="316" t="s">
        <v>40</v>
      </c>
      <c r="AI3" s="316"/>
      <c r="AJ3" s="316"/>
      <c r="AK3" s="316" t="s">
        <v>41</v>
      </c>
      <c r="AL3" s="316"/>
      <c r="AM3" s="316"/>
      <c r="AN3" s="316" t="s">
        <v>42</v>
      </c>
      <c r="AO3" s="316"/>
      <c r="AP3" s="316"/>
      <c r="AQ3" s="316" t="s">
        <v>43</v>
      </c>
      <c r="AR3" s="316"/>
      <c r="AS3" s="316"/>
      <c r="AT3" s="316" t="s">
        <v>44</v>
      </c>
      <c r="AU3" s="316"/>
      <c r="AV3" s="316"/>
      <c r="AW3" s="316" t="s">
        <v>45</v>
      </c>
      <c r="AX3" s="316"/>
      <c r="AY3" s="316"/>
      <c r="AZ3" s="316" t="s">
        <v>46</v>
      </c>
      <c r="BA3" s="316"/>
      <c r="BB3" s="316"/>
      <c r="BC3" s="316" t="s">
        <v>47</v>
      </c>
      <c r="BD3" s="316"/>
      <c r="BE3" s="316"/>
      <c r="BF3" s="316" t="s">
        <v>48</v>
      </c>
      <c r="BG3" s="316"/>
      <c r="BH3" s="316"/>
      <c r="BI3" s="316" t="s">
        <v>49</v>
      </c>
      <c r="BJ3" s="316"/>
      <c r="BK3" s="316"/>
      <c r="BL3" s="322">
        <v>43244</v>
      </c>
      <c r="BM3" s="316"/>
      <c r="BN3" s="316"/>
      <c r="BO3" s="322">
        <v>43246</v>
      </c>
      <c r="BP3" s="316"/>
      <c r="BQ3" s="316"/>
      <c r="BR3" s="322">
        <v>43249</v>
      </c>
      <c r="BS3" s="316"/>
      <c r="BT3" s="316"/>
      <c r="BU3" s="322">
        <v>43256</v>
      </c>
      <c r="BV3" s="316"/>
      <c r="BW3" s="316"/>
      <c r="BX3" s="307">
        <v>43258</v>
      </c>
      <c r="BY3" s="308"/>
      <c r="BZ3" s="309"/>
      <c r="CA3" s="307">
        <v>43260</v>
      </c>
      <c r="CB3" s="308"/>
      <c r="CC3" s="309"/>
      <c r="CD3" s="307">
        <v>43263</v>
      </c>
      <c r="CE3" s="308"/>
      <c r="CF3" s="309"/>
      <c r="CG3" s="307">
        <v>43265</v>
      </c>
      <c r="CH3" s="308"/>
      <c r="CI3" s="309"/>
      <c r="CJ3" s="307">
        <v>43267</v>
      </c>
      <c r="CK3" s="308"/>
      <c r="CL3" s="309"/>
      <c r="CM3" s="307">
        <v>43270</v>
      </c>
      <c r="CN3" s="308"/>
      <c r="CO3" s="309"/>
      <c r="CP3" s="307">
        <v>43272</v>
      </c>
      <c r="CQ3" s="308"/>
      <c r="CR3" s="309"/>
      <c r="CS3" s="307">
        <v>43277</v>
      </c>
      <c r="CT3" s="336"/>
      <c r="CU3" s="337"/>
      <c r="CV3" s="307">
        <v>43279</v>
      </c>
      <c r="CW3" s="336"/>
      <c r="CX3" s="337"/>
      <c r="CY3" s="307">
        <v>43281</v>
      </c>
      <c r="CZ3" s="336"/>
      <c r="DA3" s="337"/>
      <c r="DB3" s="307">
        <v>43277</v>
      </c>
      <c r="DC3" s="336"/>
      <c r="DD3" s="337"/>
    </row>
    <row r="4" spans="1:108" s="17" customFormat="1" ht="21" customHeight="1" x14ac:dyDescent="0.25">
      <c r="A4" s="314"/>
      <c r="B4" s="314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 t="s">
        <v>23</v>
      </c>
      <c r="BY4" s="267" t="s">
        <v>24</v>
      </c>
      <c r="BZ4" s="267" t="s">
        <v>22</v>
      </c>
      <c r="CA4" s="282" t="s">
        <v>23</v>
      </c>
      <c r="CB4" s="282" t="s">
        <v>24</v>
      </c>
      <c r="CC4" s="282" t="s">
        <v>22</v>
      </c>
      <c r="CD4" s="267" t="s">
        <v>23</v>
      </c>
      <c r="CE4" s="267" t="s">
        <v>24</v>
      </c>
      <c r="CF4" s="267" t="s">
        <v>22</v>
      </c>
      <c r="CG4" s="267" t="s">
        <v>23</v>
      </c>
      <c r="CH4" s="267" t="s">
        <v>24</v>
      </c>
      <c r="CI4" s="267" t="s">
        <v>22</v>
      </c>
      <c r="CJ4" s="293" t="s">
        <v>23</v>
      </c>
      <c r="CK4" s="293" t="s">
        <v>24</v>
      </c>
      <c r="CL4" s="293" t="s">
        <v>22</v>
      </c>
      <c r="CM4" s="293" t="s">
        <v>23</v>
      </c>
      <c r="CN4" s="293" t="s">
        <v>24</v>
      </c>
      <c r="CO4" s="293" t="s">
        <v>22</v>
      </c>
      <c r="CP4" s="293" t="s">
        <v>23</v>
      </c>
      <c r="CQ4" s="293" t="s">
        <v>24</v>
      </c>
      <c r="CR4" s="293" t="s">
        <v>22</v>
      </c>
      <c r="CS4" s="300" t="s">
        <v>23</v>
      </c>
      <c r="CT4" s="300" t="s">
        <v>24</v>
      </c>
      <c r="CU4" s="300" t="s">
        <v>22</v>
      </c>
      <c r="CV4" s="300" t="s">
        <v>23</v>
      </c>
      <c r="CW4" s="300" t="s">
        <v>24</v>
      </c>
      <c r="CX4" s="300" t="s">
        <v>22</v>
      </c>
      <c r="CY4" s="300" t="s">
        <v>23</v>
      </c>
      <c r="CZ4" s="300" t="s">
        <v>24</v>
      </c>
      <c r="DA4" s="300" t="s">
        <v>22</v>
      </c>
      <c r="DB4" s="300" t="s">
        <v>23</v>
      </c>
      <c r="DC4" s="300" t="s">
        <v>24</v>
      </c>
      <c r="DD4" s="300" t="s">
        <v>22</v>
      </c>
    </row>
    <row r="5" spans="1:108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 t="s">
        <v>0</v>
      </c>
      <c r="BV5" s="267" t="s">
        <v>0</v>
      </c>
      <c r="BW5" s="267"/>
      <c r="BX5" s="267" t="s">
        <v>0</v>
      </c>
      <c r="BY5" s="267" t="s">
        <v>0</v>
      </c>
      <c r="BZ5" s="267"/>
      <c r="CA5" s="282" t="s">
        <v>0</v>
      </c>
      <c r="CB5" s="282" t="s">
        <v>0</v>
      </c>
      <c r="CC5" s="282"/>
      <c r="CD5" s="267" t="s">
        <v>0</v>
      </c>
      <c r="CE5" s="267"/>
      <c r="CF5" s="267"/>
      <c r="CG5" s="267" t="s">
        <v>0</v>
      </c>
      <c r="CH5" s="267" t="s">
        <v>0</v>
      </c>
      <c r="CI5" s="267"/>
      <c r="CJ5" s="293" t="s">
        <v>0</v>
      </c>
      <c r="CK5" s="293" t="s">
        <v>0</v>
      </c>
      <c r="CL5" s="293"/>
      <c r="CM5" s="293" t="s">
        <v>0</v>
      </c>
      <c r="CN5" s="293" t="s">
        <v>0</v>
      </c>
      <c r="CO5" s="293"/>
      <c r="CP5" s="293" t="s">
        <v>0</v>
      </c>
      <c r="CQ5" s="293" t="s">
        <v>0</v>
      </c>
      <c r="CR5" s="293"/>
      <c r="CS5" s="300" t="s">
        <v>0</v>
      </c>
      <c r="CT5" s="300" t="s">
        <v>0</v>
      </c>
      <c r="CU5" s="300"/>
      <c r="CV5" s="300" t="s">
        <v>0</v>
      </c>
      <c r="CW5" s="300" t="s">
        <v>0</v>
      </c>
      <c r="CX5" s="300"/>
      <c r="CY5" s="300" t="s">
        <v>0</v>
      </c>
      <c r="CZ5" s="300"/>
      <c r="DA5" s="300"/>
      <c r="DB5" s="300"/>
      <c r="DC5" s="300"/>
      <c r="DD5" s="300"/>
    </row>
    <row r="6" spans="1:108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 t="s">
        <v>0</v>
      </c>
      <c r="BV6" s="267" t="s">
        <v>0</v>
      </c>
      <c r="BW6" s="267"/>
      <c r="BX6" s="267" t="s">
        <v>0</v>
      </c>
      <c r="BY6" s="267" t="s">
        <v>0</v>
      </c>
      <c r="BZ6" s="267"/>
      <c r="CA6" s="282" t="s">
        <v>0</v>
      </c>
      <c r="CB6" s="282" t="s">
        <v>0</v>
      </c>
      <c r="CC6" s="282"/>
      <c r="CD6" s="267" t="s">
        <v>0</v>
      </c>
      <c r="CE6" s="267" t="s">
        <v>0</v>
      </c>
      <c r="CF6" s="267"/>
      <c r="CG6" s="267" t="s">
        <v>0</v>
      </c>
      <c r="CH6" s="267"/>
      <c r="CI6" s="267"/>
      <c r="CJ6" s="293" t="s">
        <v>0</v>
      </c>
      <c r="CK6" s="293"/>
      <c r="CL6" s="293"/>
      <c r="CM6" s="293" t="s">
        <v>0</v>
      </c>
      <c r="CN6" s="293"/>
      <c r="CO6" s="293"/>
      <c r="CP6" s="293" t="s">
        <v>0</v>
      </c>
      <c r="CQ6" s="293"/>
      <c r="CR6" s="293"/>
      <c r="CS6" s="300" t="s">
        <v>0</v>
      </c>
      <c r="CT6" s="300"/>
      <c r="CU6" s="300"/>
      <c r="CV6" s="300" t="s">
        <v>0</v>
      </c>
      <c r="CW6" s="300"/>
      <c r="CX6" s="300"/>
      <c r="CY6" s="300" t="s">
        <v>0</v>
      </c>
      <c r="CZ6" s="300"/>
      <c r="DA6" s="300"/>
      <c r="DB6" s="300"/>
      <c r="DC6" s="300"/>
      <c r="DD6" s="300"/>
    </row>
    <row r="7" spans="1:108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 t="s">
        <v>0</v>
      </c>
      <c r="BV7" s="267" t="s">
        <v>0</v>
      </c>
      <c r="BW7" s="267"/>
      <c r="BX7" s="267" t="s">
        <v>0</v>
      </c>
      <c r="BY7" s="267" t="s">
        <v>0</v>
      </c>
      <c r="BZ7" s="267"/>
      <c r="CA7" s="282" t="s">
        <v>0</v>
      </c>
      <c r="CB7" s="282" t="s">
        <v>0</v>
      </c>
      <c r="CC7" s="282"/>
      <c r="CD7" s="267" t="s">
        <v>0</v>
      </c>
      <c r="CE7" s="267" t="s">
        <v>0</v>
      </c>
      <c r="CF7" s="267"/>
      <c r="CG7" s="267" t="s">
        <v>0</v>
      </c>
      <c r="CH7" s="267" t="s">
        <v>0</v>
      </c>
      <c r="CI7" s="267"/>
      <c r="CJ7" s="293" t="s">
        <v>0</v>
      </c>
      <c r="CK7" s="293" t="s">
        <v>0</v>
      </c>
      <c r="CL7" s="293"/>
      <c r="CM7" s="293" t="s">
        <v>0</v>
      </c>
      <c r="CN7" s="293"/>
      <c r="CO7" s="293"/>
      <c r="CP7" s="293" t="s">
        <v>0</v>
      </c>
      <c r="CQ7" s="293"/>
      <c r="CR7" s="293"/>
      <c r="CS7" s="300" t="s">
        <v>0</v>
      </c>
      <c r="CT7" s="300"/>
      <c r="CU7" s="300"/>
      <c r="CV7" s="300"/>
      <c r="CW7" s="300"/>
      <c r="CX7" s="300"/>
      <c r="CY7" s="300"/>
      <c r="CZ7" s="300"/>
      <c r="DA7" s="300"/>
      <c r="DB7" s="300"/>
      <c r="DC7" s="300"/>
      <c r="DD7" s="300"/>
    </row>
    <row r="8" spans="1:108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</row>
    <row r="9" spans="1:108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  <c r="CV9" s="51"/>
      <c r="CW9" s="51"/>
      <c r="CX9" s="51"/>
      <c r="CY9" s="51"/>
      <c r="CZ9" s="51"/>
      <c r="DA9" s="51"/>
      <c r="DB9" s="51"/>
      <c r="DC9" s="51"/>
      <c r="DD9" s="51"/>
    </row>
    <row r="10" spans="1:108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  <c r="CV10" s="51"/>
      <c r="CW10" s="51"/>
      <c r="CX10" s="51"/>
      <c r="CY10" s="51"/>
      <c r="CZ10" s="51"/>
      <c r="DA10" s="51"/>
      <c r="DB10" s="51"/>
      <c r="DC10" s="51"/>
      <c r="DD10" s="51"/>
    </row>
    <row r="11" spans="1:108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</row>
    <row r="12" spans="1:108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</row>
    <row r="13" spans="1:108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</row>
    <row r="14" spans="1:108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</row>
  </sheetData>
  <mergeCells count="36">
    <mergeCell ref="CY3:DA3"/>
    <mergeCell ref="DB3:DD3"/>
    <mergeCell ref="BX3:BZ3"/>
    <mergeCell ref="CD3:CF3"/>
    <mergeCell ref="CG3:CI3"/>
    <mergeCell ref="CV3:CX3"/>
    <mergeCell ref="CS3:CU3"/>
    <mergeCell ref="BU3:BW3"/>
    <mergeCell ref="CA3:CC3"/>
    <mergeCell ref="CJ3:CL3"/>
    <mergeCell ref="CM3:CO3"/>
    <mergeCell ref="CP3:CR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9" t="s">
        <v>7</v>
      </c>
      <c r="K2" s="329"/>
      <c r="L2" s="329"/>
      <c r="M2" s="329"/>
      <c r="N2" s="330" t="s">
        <v>8</v>
      </c>
      <c r="O2" s="330"/>
      <c r="P2" s="330"/>
      <c r="Q2" s="325" t="s">
        <v>322</v>
      </c>
      <c r="R2" s="325" t="s">
        <v>323</v>
      </c>
      <c r="S2" s="324" t="s">
        <v>11</v>
      </c>
      <c r="T2" s="324" t="s">
        <v>12</v>
      </c>
      <c r="U2" s="325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4"/>
      <c r="R3" s="324"/>
      <c r="S3" s="324"/>
      <c r="T3" s="324"/>
      <c r="U3" s="324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</row>
    <row r="5" spans="1:21" s="186" customFormat="1" x14ac:dyDescent="0.3">
      <c r="A5" s="185">
        <v>2</v>
      </c>
      <c r="B5" s="186" t="s">
        <v>549</v>
      </c>
      <c r="C5" s="283"/>
      <c r="D5" s="187"/>
      <c r="E5" s="189"/>
      <c r="F5" s="187"/>
      <c r="G5" s="284"/>
      <c r="H5" s="185" t="s">
        <v>53</v>
      </c>
      <c r="I5" s="185" t="s">
        <v>562</v>
      </c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3"/>
  <sheetViews>
    <sheetView tabSelected="1" topLeftCell="A3" workbookViewId="0">
      <selection activeCell="H23" sqref="H23"/>
    </sheetView>
  </sheetViews>
  <sheetFormatPr defaultRowHeight="18.75" x14ac:dyDescent="0.3"/>
  <cols>
    <col min="1" max="1" width="9.140625" style="2"/>
    <col min="2" max="2" width="29.7109375" style="1" customWidth="1"/>
    <col min="3" max="3" width="16.85546875" style="1" customWidth="1"/>
    <col min="4" max="4" width="18.85546875" style="1" customWidth="1"/>
    <col min="5" max="5" width="40.85546875" style="1" customWidth="1"/>
    <col min="6" max="6" width="43.140625" style="1" customWidth="1"/>
    <col min="7" max="7" width="15.28515625" style="1" customWidth="1"/>
    <col min="8" max="8" width="10.5703125" style="2" customWidth="1"/>
    <col min="9" max="9" width="17.140625" style="2" customWidth="1"/>
    <col min="10" max="16384" width="9.140625" style="1"/>
  </cols>
  <sheetData>
    <row r="1" spans="1:21" x14ac:dyDescent="0.3">
      <c r="B1" s="159" t="s">
        <v>621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C2" s="76"/>
      <c r="D2" s="34"/>
      <c r="E2" s="33"/>
      <c r="F2" s="34"/>
      <c r="G2" s="33"/>
      <c r="J2" s="329" t="s">
        <v>7</v>
      </c>
      <c r="K2" s="329"/>
      <c r="L2" s="329"/>
      <c r="M2" s="329"/>
      <c r="N2" s="330" t="s">
        <v>8</v>
      </c>
      <c r="O2" s="330"/>
      <c r="P2" s="330"/>
      <c r="Q2" s="325" t="s">
        <v>322</v>
      </c>
      <c r="R2" s="325" t="s">
        <v>323</v>
      </c>
      <c r="S2" s="324" t="s">
        <v>11</v>
      </c>
      <c r="T2" s="324" t="s">
        <v>12</v>
      </c>
      <c r="U2" s="325" t="s">
        <v>324</v>
      </c>
    </row>
    <row r="3" spans="1:21" s="2" customFormat="1" x14ac:dyDescent="0.3">
      <c r="A3" s="156" t="s">
        <v>6</v>
      </c>
      <c r="B3" s="156" t="s">
        <v>5</v>
      </c>
      <c r="C3" s="301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4"/>
      <c r="R3" s="324"/>
      <c r="S3" s="324"/>
      <c r="T3" s="324"/>
      <c r="U3" s="324"/>
    </row>
    <row r="4" spans="1:21" x14ac:dyDescent="0.3">
      <c r="A4" s="2">
        <v>1</v>
      </c>
      <c r="B4" s="1" t="s">
        <v>546</v>
      </c>
      <c r="C4" s="34" t="s">
        <v>580</v>
      </c>
      <c r="D4" s="191" t="s">
        <v>547</v>
      </c>
      <c r="E4" s="3" t="s">
        <v>581</v>
      </c>
      <c r="F4" s="3" t="s">
        <v>579</v>
      </c>
      <c r="G4" s="33"/>
      <c r="H4" s="2" t="s">
        <v>53</v>
      </c>
      <c r="I4" s="2" t="s">
        <v>599</v>
      </c>
    </row>
    <row r="5" spans="1:21" s="296" customFormat="1" x14ac:dyDescent="0.25">
      <c r="A5" s="295">
        <v>2</v>
      </c>
      <c r="B5" s="296" t="s">
        <v>600</v>
      </c>
      <c r="C5" s="297"/>
      <c r="D5" s="251" t="s">
        <v>602</v>
      </c>
      <c r="E5" s="298"/>
      <c r="F5" s="251"/>
      <c r="G5" s="299"/>
      <c r="H5" s="295" t="s">
        <v>53</v>
      </c>
      <c r="I5" s="295" t="s">
        <v>331</v>
      </c>
    </row>
    <row r="6" spans="1:21" s="179" customFormat="1" x14ac:dyDescent="0.3">
      <c r="A6" s="178">
        <v>3</v>
      </c>
      <c r="B6" s="179" t="s">
        <v>601</v>
      </c>
      <c r="C6" s="180"/>
      <c r="D6" s="180" t="s">
        <v>603</v>
      </c>
      <c r="E6" s="181"/>
      <c r="F6" s="180"/>
      <c r="G6" s="182"/>
      <c r="H6" s="178" t="s">
        <v>53</v>
      </c>
      <c r="I6" s="178" t="s">
        <v>331</v>
      </c>
    </row>
    <row r="7" spans="1:21" x14ac:dyDescent="0.3">
      <c r="A7" s="209">
        <v>4</v>
      </c>
      <c r="B7" s="208" t="s">
        <v>608</v>
      </c>
      <c r="C7" s="149"/>
      <c r="D7" s="180" t="s">
        <v>610</v>
      </c>
      <c r="E7" s="210"/>
      <c r="G7" s="2"/>
      <c r="H7" s="2" t="s">
        <v>53</v>
      </c>
    </row>
    <row r="8" spans="1:21" s="249" customFormat="1" x14ac:dyDescent="0.25">
      <c r="A8" s="173" t="s">
        <v>650</v>
      </c>
      <c r="B8" s="249" t="s">
        <v>609</v>
      </c>
      <c r="C8" s="250"/>
      <c r="D8" s="251" t="s">
        <v>611</v>
      </c>
      <c r="E8" s="252"/>
      <c r="G8" s="173"/>
      <c r="H8" s="173" t="s">
        <v>53</v>
      </c>
      <c r="I8" s="173"/>
    </row>
    <row r="9" spans="1:21" x14ac:dyDescent="0.3">
      <c r="A9" s="2">
        <v>6</v>
      </c>
      <c r="B9" s="1" t="s">
        <v>612</v>
      </c>
      <c r="D9" s="251" t="s">
        <v>614</v>
      </c>
      <c r="H9" s="2" t="s">
        <v>53</v>
      </c>
      <c r="I9" s="2" t="s">
        <v>616</v>
      </c>
    </row>
    <row r="10" spans="1:21" x14ac:dyDescent="0.3">
      <c r="A10" s="2">
        <v>7</v>
      </c>
      <c r="B10" s="1" t="s">
        <v>613</v>
      </c>
      <c r="D10" s="251" t="s">
        <v>615</v>
      </c>
      <c r="H10" s="2" t="s">
        <v>53</v>
      </c>
      <c r="I10" s="2" t="s">
        <v>616</v>
      </c>
    </row>
    <row r="11" spans="1:21" x14ac:dyDescent="0.3">
      <c r="A11" s="2">
        <v>8</v>
      </c>
      <c r="B11" s="1" t="s">
        <v>619</v>
      </c>
      <c r="D11" s="251" t="s">
        <v>620</v>
      </c>
      <c r="H11" s="2" t="s">
        <v>53</v>
      </c>
    </row>
    <row r="12" spans="1:21" x14ac:dyDescent="0.3">
      <c r="A12" s="2">
        <v>9</v>
      </c>
      <c r="B12" s="1" t="s">
        <v>630</v>
      </c>
      <c r="D12" s="251" t="s">
        <v>632</v>
      </c>
      <c r="H12" s="2" t="s">
        <v>53</v>
      </c>
      <c r="I12" s="2" t="s">
        <v>331</v>
      </c>
    </row>
    <row r="13" spans="1:21" x14ac:dyDescent="0.3">
      <c r="A13" s="2">
        <v>10</v>
      </c>
      <c r="B13" s="1" t="s">
        <v>631</v>
      </c>
      <c r="D13" s="251" t="s">
        <v>633</v>
      </c>
      <c r="H13" s="2" t="s">
        <v>53</v>
      </c>
      <c r="I13" s="2" t="s">
        <v>331</v>
      </c>
    </row>
    <row r="14" spans="1:21" x14ac:dyDescent="0.3">
      <c r="A14" s="2">
        <v>11</v>
      </c>
      <c r="B14" s="1" t="s">
        <v>634</v>
      </c>
      <c r="D14" s="251" t="s">
        <v>637</v>
      </c>
      <c r="H14" s="2" t="s">
        <v>53</v>
      </c>
      <c r="I14" s="2" t="s">
        <v>331</v>
      </c>
    </row>
    <row r="15" spans="1:21" x14ac:dyDescent="0.3">
      <c r="A15" s="2">
        <v>12</v>
      </c>
      <c r="B15" s="1" t="s">
        <v>635</v>
      </c>
      <c r="D15" s="251" t="s">
        <v>638</v>
      </c>
      <c r="H15" s="2" t="s">
        <v>53</v>
      </c>
      <c r="I15" s="2" t="s">
        <v>331</v>
      </c>
    </row>
    <row r="16" spans="1:21" x14ac:dyDescent="0.3">
      <c r="A16" s="2">
        <v>13</v>
      </c>
      <c r="B16" s="1" t="s">
        <v>636</v>
      </c>
      <c r="D16" s="251" t="s">
        <v>639</v>
      </c>
      <c r="H16" s="2" t="s">
        <v>53</v>
      </c>
      <c r="I16" s="2" t="s">
        <v>331</v>
      </c>
    </row>
    <row r="17" spans="1:9" x14ac:dyDescent="0.3">
      <c r="A17" s="2">
        <v>14</v>
      </c>
      <c r="B17" s="1" t="s">
        <v>626</v>
      </c>
      <c r="D17" s="251" t="s">
        <v>627</v>
      </c>
      <c r="H17" s="2" t="s">
        <v>53</v>
      </c>
      <c r="I17" s="2" t="s">
        <v>331</v>
      </c>
    </row>
    <row r="18" spans="1:9" x14ac:dyDescent="0.3">
      <c r="A18" s="2">
        <v>15</v>
      </c>
      <c r="B18" s="1" t="s">
        <v>628</v>
      </c>
      <c r="D18" s="251" t="s">
        <v>629</v>
      </c>
      <c r="H18" s="2" t="s">
        <v>53</v>
      </c>
      <c r="I18" s="2" t="s">
        <v>331</v>
      </c>
    </row>
    <row r="19" spans="1:9" x14ac:dyDescent="0.3">
      <c r="A19" s="2">
        <v>16</v>
      </c>
      <c r="B19" s="1" t="s">
        <v>640</v>
      </c>
      <c r="D19" s="251" t="s">
        <v>642</v>
      </c>
      <c r="H19" s="2" t="s">
        <v>53</v>
      </c>
      <c r="I19" s="2" t="s">
        <v>331</v>
      </c>
    </row>
    <row r="20" spans="1:9" x14ac:dyDescent="0.3">
      <c r="A20" s="2">
        <v>17</v>
      </c>
      <c r="B20" s="1" t="s">
        <v>641</v>
      </c>
      <c r="D20" s="251" t="s">
        <v>643</v>
      </c>
      <c r="H20" s="2" t="s">
        <v>53</v>
      </c>
      <c r="I20" s="2" t="s">
        <v>331</v>
      </c>
    </row>
    <row r="21" spans="1:9" x14ac:dyDescent="0.3">
      <c r="A21" s="2">
        <v>18</v>
      </c>
      <c r="B21" s="1" t="s">
        <v>644</v>
      </c>
      <c r="D21" s="251" t="s">
        <v>645</v>
      </c>
      <c r="H21" s="2" t="s">
        <v>53</v>
      </c>
      <c r="I21" s="2" t="s">
        <v>331</v>
      </c>
    </row>
    <row r="22" spans="1:9" x14ac:dyDescent="0.3">
      <c r="A22" s="2">
        <v>19</v>
      </c>
      <c r="B22" s="1" t="s">
        <v>646</v>
      </c>
      <c r="D22" s="251" t="s">
        <v>648</v>
      </c>
      <c r="H22" s="2" t="s">
        <v>53</v>
      </c>
      <c r="I22" s="2" t="s">
        <v>616</v>
      </c>
    </row>
    <row r="23" spans="1:9" x14ac:dyDescent="0.3">
      <c r="A23" s="2">
        <v>20</v>
      </c>
      <c r="B23" s="1" t="s">
        <v>647</v>
      </c>
      <c r="D23" s="251" t="s">
        <v>649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9" sqref="B9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622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9" t="s">
        <v>7</v>
      </c>
      <c r="K2" s="329"/>
      <c r="L2" s="329"/>
      <c r="M2" s="329"/>
      <c r="N2" s="330" t="s">
        <v>8</v>
      </c>
      <c r="O2" s="330"/>
      <c r="P2" s="330"/>
      <c r="Q2" s="325" t="s">
        <v>322</v>
      </c>
      <c r="R2" s="325" t="s">
        <v>323</v>
      </c>
      <c r="S2" s="324" t="s">
        <v>11</v>
      </c>
      <c r="T2" s="324" t="s">
        <v>12</v>
      </c>
      <c r="U2" s="325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4"/>
      <c r="R3" s="324"/>
      <c r="S3" s="324"/>
      <c r="T3" s="324"/>
      <c r="U3" s="324"/>
    </row>
    <row r="4" spans="1:21" x14ac:dyDescent="0.3">
      <c r="A4" s="2">
        <v>1</v>
      </c>
      <c r="B4" s="1" t="s">
        <v>596</v>
      </c>
      <c r="C4" s="34"/>
      <c r="D4" s="191" t="s">
        <v>439</v>
      </c>
      <c r="E4" s="3"/>
      <c r="F4" s="3"/>
      <c r="G4" s="33"/>
      <c r="H4" s="2" t="s">
        <v>53</v>
      </c>
      <c r="I4" s="2" t="s">
        <v>359</v>
      </c>
    </row>
    <row r="5" spans="1:21" s="179" customFormat="1" x14ac:dyDescent="0.3">
      <c r="A5" s="178">
        <v>2</v>
      </c>
      <c r="B5" s="179" t="s">
        <v>597</v>
      </c>
      <c r="C5" s="294"/>
      <c r="D5" s="180" t="s">
        <v>598</v>
      </c>
      <c r="E5" s="181"/>
      <c r="F5" s="180"/>
      <c r="G5" s="182"/>
      <c r="H5" s="178" t="s">
        <v>53</v>
      </c>
      <c r="I5" s="178" t="s">
        <v>345</v>
      </c>
      <c r="J5" s="211">
        <v>2</v>
      </c>
      <c r="K5" s="211">
        <v>9</v>
      </c>
      <c r="L5" s="211">
        <v>9</v>
      </c>
      <c r="M5" s="211">
        <v>8</v>
      </c>
      <c r="N5" s="211">
        <v>14</v>
      </c>
      <c r="O5" s="211">
        <v>3</v>
      </c>
      <c r="P5" s="211">
        <v>9</v>
      </c>
      <c r="Q5" s="211">
        <v>28</v>
      </c>
      <c r="R5" s="211">
        <v>26</v>
      </c>
      <c r="S5" s="211">
        <v>120</v>
      </c>
      <c r="T5" s="211">
        <v>65</v>
      </c>
      <c r="U5" s="211">
        <v>185</v>
      </c>
    </row>
    <row r="6" spans="1:21" x14ac:dyDescent="0.3">
      <c r="A6" s="2">
        <v>3</v>
      </c>
      <c r="B6" s="1" t="s">
        <v>604</v>
      </c>
      <c r="C6" s="34"/>
      <c r="D6" s="34" t="s">
        <v>606</v>
      </c>
      <c r="E6" s="3"/>
      <c r="F6" s="34"/>
      <c r="G6" s="33"/>
      <c r="H6" s="2" t="s">
        <v>53</v>
      </c>
      <c r="I6" s="2" t="s">
        <v>331</v>
      </c>
      <c r="J6" s="211">
        <v>5</v>
      </c>
      <c r="K6" s="211">
        <v>9</v>
      </c>
      <c r="L6" s="211">
        <v>15</v>
      </c>
      <c r="M6" s="211">
        <v>10</v>
      </c>
      <c r="N6" s="211">
        <v>20</v>
      </c>
      <c r="O6" s="211">
        <v>4</v>
      </c>
      <c r="P6" s="211">
        <v>24</v>
      </c>
      <c r="Q6" s="211">
        <v>39</v>
      </c>
      <c r="R6" s="211">
        <v>48</v>
      </c>
      <c r="S6" s="211">
        <v>180</v>
      </c>
      <c r="T6" s="211">
        <v>200</v>
      </c>
      <c r="U6" s="211">
        <v>380</v>
      </c>
    </row>
    <row r="7" spans="1:21" x14ac:dyDescent="0.3">
      <c r="A7" s="178">
        <v>4</v>
      </c>
      <c r="B7" s="208" t="s">
        <v>605</v>
      </c>
      <c r="C7" s="180"/>
      <c r="D7" s="180" t="s">
        <v>607</v>
      </c>
      <c r="E7" s="181"/>
      <c r="F7" s="180"/>
      <c r="G7" s="182"/>
      <c r="H7" s="178" t="s">
        <v>53</v>
      </c>
      <c r="I7" s="178" t="s">
        <v>331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46" t="s">
        <v>617</v>
      </c>
      <c r="C8" s="247"/>
      <c r="D8" s="245" t="s">
        <v>618</v>
      </c>
      <c r="E8" s="248"/>
      <c r="F8" s="247"/>
      <c r="G8" s="2"/>
      <c r="H8" s="178" t="s">
        <v>53</v>
      </c>
      <c r="I8" s="178" t="s">
        <v>331</v>
      </c>
    </row>
    <row r="9" spans="1:21" x14ac:dyDescent="0.3">
      <c r="A9" s="2">
        <v>6</v>
      </c>
      <c r="B9" s="1" t="s">
        <v>623</v>
      </c>
      <c r="D9" s="180" t="s">
        <v>624</v>
      </c>
      <c r="G9" s="2"/>
      <c r="H9" s="178" t="s">
        <v>446</v>
      </c>
      <c r="I9" s="178" t="s">
        <v>625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  <vt:lpstr>TOEIC AK11</vt:lpstr>
      <vt:lpstr>TOEIC BK9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2018-07-09T12:53:31Z</dcterms:modified>
</cp:coreProperties>
</file>