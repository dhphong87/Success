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<sst xmlns="http://schemas.openxmlformats.org/spreadsheetml/2006/main" count="2471" uniqueCount="548">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</sst>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/>
    <xf numFmtId="0" fontId="13" fillId="18" borderId="1" xfId="0" applyFont="1" applyFill="1" applyBorder="1" applyAlignment="1">
      <alignment horizontal="lef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"/>
  <sheetViews>
    <sheetView workbookViewId="0">
      <selection activeCell="D7" sqref="D7"/>
    </sheetView>
  </sheetViews>
  <sheetFormatPr defaultRowHeight="17.25" x14ac:dyDescent="0.3"/>
  <cols>
    <col min="1" max="1" width="5.7109375" style="283" customWidth="1"/>
    <col min="2" max="2" width="24.140625" style="268" customWidth="1"/>
    <col min="3" max="3" width="16.7109375" style="268" customWidth="1"/>
    <col min="4" max="4" width="17.7109375" style="268" customWidth="1"/>
    <col min="5" max="5" width="41" style="268" customWidth="1"/>
    <col min="6" max="6" width="19.140625" style="268" customWidth="1"/>
    <col min="7" max="7" width="30.5703125" style="268" customWidth="1"/>
    <col min="8" max="8" width="22.28515625" style="284" customWidth="1"/>
    <col min="9" max="9" width="22.5703125" style="268" customWidth="1"/>
    <col min="10" max="10" width="19.7109375" style="268" customWidth="1"/>
    <col min="11" max="16384" width="9.140625" style="268"/>
  </cols>
  <sheetData>
    <row r="1" spans="1:23" x14ac:dyDescent="0.3">
      <c r="A1" s="265" t="s">
        <v>6</v>
      </c>
      <c r="B1" s="266" t="s">
        <v>5</v>
      </c>
      <c r="C1" s="266" t="s">
        <v>139</v>
      </c>
      <c r="D1" s="266" t="s">
        <v>140</v>
      </c>
      <c r="E1" s="266" t="s">
        <v>117</v>
      </c>
      <c r="F1" s="266" t="s">
        <v>141</v>
      </c>
      <c r="G1" s="266" t="s">
        <v>146</v>
      </c>
      <c r="H1" s="267" t="s">
        <v>142</v>
      </c>
      <c r="I1" s="266" t="s">
        <v>144</v>
      </c>
      <c r="J1" s="266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73" customFormat="1" x14ac:dyDescent="0.3">
      <c r="A2" s="269">
        <v>1</v>
      </c>
      <c r="B2" s="270" t="s">
        <v>108</v>
      </c>
      <c r="C2" s="270" t="s">
        <v>109</v>
      </c>
      <c r="D2" s="270" t="s">
        <v>110</v>
      </c>
      <c r="E2" s="270" t="s">
        <v>120</v>
      </c>
      <c r="F2" s="271" t="s">
        <v>79</v>
      </c>
      <c r="G2" s="271" t="s">
        <v>149</v>
      </c>
      <c r="H2" s="272" t="s">
        <v>143</v>
      </c>
      <c r="I2" s="271" t="s">
        <v>297</v>
      </c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</row>
    <row r="3" spans="1:23" s="273" customFormat="1" ht="21" customHeight="1" x14ac:dyDescent="0.3">
      <c r="A3" s="269">
        <v>2</v>
      </c>
      <c r="B3" s="271" t="s">
        <v>63</v>
      </c>
      <c r="C3" s="270" t="s">
        <v>85</v>
      </c>
      <c r="D3" s="270" t="s">
        <v>86</v>
      </c>
      <c r="E3" s="270" t="s">
        <v>125</v>
      </c>
      <c r="F3" s="270" t="s">
        <v>89</v>
      </c>
      <c r="G3" s="270" t="s">
        <v>154</v>
      </c>
      <c r="H3" s="274" t="s">
        <v>171</v>
      </c>
      <c r="I3" s="270" t="s">
        <v>299</v>
      </c>
      <c r="J3" s="271" t="s">
        <v>209</v>
      </c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</row>
    <row r="4" spans="1:23" s="275" customFormat="1" x14ac:dyDescent="0.3">
      <c r="A4" s="288">
        <v>3</v>
      </c>
      <c r="B4" s="289" t="s">
        <v>225</v>
      </c>
      <c r="C4" s="290">
        <v>35560</v>
      </c>
      <c r="D4" s="291" t="s">
        <v>262</v>
      </c>
      <c r="E4" s="292" t="s">
        <v>261</v>
      </c>
      <c r="F4" s="292" t="s">
        <v>69</v>
      </c>
      <c r="G4" s="293" t="s">
        <v>174</v>
      </c>
      <c r="H4" s="294" t="s">
        <v>292</v>
      </c>
      <c r="I4" s="289" t="s">
        <v>293</v>
      </c>
      <c r="J4" s="289" t="s">
        <v>496</v>
      </c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</row>
    <row r="5" spans="1:23" s="276" customFormat="1" x14ac:dyDescent="0.3">
      <c r="A5" s="269">
        <v>4</v>
      </c>
      <c r="B5" s="271" t="s">
        <v>195</v>
      </c>
      <c r="C5" s="271"/>
      <c r="D5" s="271"/>
      <c r="E5" s="271"/>
      <c r="F5" s="271" t="s">
        <v>294</v>
      </c>
      <c r="G5" s="271" t="s">
        <v>176</v>
      </c>
      <c r="H5" s="282" t="s">
        <v>296</v>
      </c>
      <c r="I5" s="282" t="s">
        <v>295</v>
      </c>
      <c r="J5" s="271"/>
      <c r="K5" s="271"/>
      <c r="L5" s="271"/>
      <c r="M5" s="271"/>
      <c r="N5" s="271"/>
      <c r="O5" s="271"/>
      <c r="P5" s="271"/>
      <c r="Q5" s="271"/>
      <c r="R5" s="271"/>
      <c r="S5" s="271"/>
      <c r="T5" s="271"/>
      <c r="U5" s="271"/>
      <c r="V5" s="271"/>
      <c r="W5" s="285"/>
    </row>
    <row r="6" spans="1:23" s="271" customFormat="1" x14ac:dyDescent="0.3">
      <c r="A6" s="269">
        <v>5</v>
      </c>
      <c r="B6" s="271" t="s">
        <v>210</v>
      </c>
      <c r="C6" s="272" t="s">
        <v>287</v>
      </c>
      <c r="D6" s="277" t="s">
        <v>288</v>
      </c>
      <c r="E6" s="271" t="s">
        <v>289</v>
      </c>
      <c r="G6" s="271" t="s">
        <v>300</v>
      </c>
      <c r="H6" s="272" t="s">
        <v>292</v>
      </c>
      <c r="I6" s="271" t="s">
        <v>298</v>
      </c>
      <c r="W6" s="286"/>
    </row>
    <row r="7" spans="1:23" s="78" customFormat="1" x14ac:dyDescent="0.3">
      <c r="A7" s="278">
        <v>1</v>
      </c>
      <c r="B7" s="78" t="s">
        <v>188</v>
      </c>
      <c r="C7" s="279" t="s">
        <v>256</v>
      </c>
      <c r="D7" s="280" t="s">
        <v>189</v>
      </c>
      <c r="E7" s="280" t="s">
        <v>257</v>
      </c>
      <c r="F7" s="279" t="s">
        <v>89</v>
      </c>
      <c r="G7" s="78" t="s">
        <v>493</v>
      </c>
      <c r="H7" s="281" t="s">
        <v>494</v>
      </c>
      <c r="I7" s="78" t="s">
        <v>495</v>
      </c>
      <c r="W7" s="287"/>
    </row>
    <row r="8" spans="1:23" s="273" customFormat="1" x14ac:dyDescent="0.3">
      <c r="A8" s="269">
        <v>1</v>
      </c>
      <c r="B8" s="271" t="s">
        <v>520</v>
      </c>
      <c r="C8" s="271"/>
      <c r="D8" s="270" t="s">
        <v>519</v>
      </c>
      <c r="E8" s="271"/>
      <c r="F8" s="271"/>
      <c r="G8" s="271" t="s">
        <v>521</v>
      </c>
      <c r="H8" s="282">
        <v>43437</v>
      </c>
      <c r="I8" s="282">
        <v>43443</v>
      </c>
      <c r="J8" s="271"/>
      <c r="K8" s="269">
        <v>4</v>
      </c>
      <c r="L8" s="269">
        <v>11</v>
      </c>
      <c r="M8" s="269">
        <v>4</v>
      </c>
      <c r="N8" s="269">
        <v>8</v>
      </c>
      <c r="O8" s="269">
        <v>15</v>
      </c>
      <c r="P8" s="269">
        <v>4</v>
      </c>
      <c r="Q8" s="269">
        <v>13</v>
      </c>
      <c r="R8" s="269">
        <f>SUM(K8:N8)</f>
        <v>27</v>
      </c>
      <c r="S8" s="269">
        <f>SUM(O8:Q8)</f>
        <v>32</v>
      </c>
      <c r="T8" s="269">
        <v>115</v>
      </c>
      <c r="U8" s="269">
        <v>100</v>
      </c>
      <c r="V8" s="269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31" t="s">
        <v>165</v>
      </c>
      <c r="B2" s="231"/>
      <c r="C2" s="231"/>
      <c r="D2" s="231"/>
      <c r="E2" s="231"/>
      <c r="F2" s="231"/>
      <c r="G2" s="38"/>
    </row>
    <row r="3" spans="1:8" x14ac:dyDescent="0.25">
      <c r="B3" s="69" t="s">
        <v>166</v>
      </c>
      <c r="C3" s="70">
        <f ca="1">MONTH(TODAY())</f>
        <v>4</v>
      </c>
      <c r="D3" s="80"/>
      <c r="E3" s="67" t="s">
        <v>167</v>
      </c>
      <c r="G3" t="s">
        <v>227</v>
      </c>
      <c r="H3" s="71">
        <f ca="1">TODAY()</f>
        <v>43206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Trong tháng có SN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33" t="s">
        <v>7</v>
      </c>
      <c r="K2" s="233"/>
      <c r="L2" s="233"/>
      <c r="M2" s="233"/>
      <c r="N2" s="234" t="s">
        <v>8</v>
      </c>
      <c r="O2" s="234"/>
      <c r="P2" s="234"/>
      <c r="Q2" s="235" t="s">
        <v>9</v>
      </c>
      <c r="R2" s="235" t="s">
        <v>10</v>
      </c>
      <c r="S2" s="235" t="s">
        <v>11</v>
      </c>
      <c r="T2" s="235" t="s">
        <v>12</v>
      </c>
      <c r="U2" s="23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5"/>
      <c r="R3" s="235"/>
      <c r="S3" s="235"/>
      <c r="T3" s="235"/>
      <c r="U3" s="23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39" t="s">
        <v>6</v>
      </c>
      <c r="B3" s="239" t="s">
        <v>5</v>
      </c>
      <c r="C3" s="24"/>
      <c r="D3" s="24"/>
      <c r="E3" s="24"/>
      <c r="F3" s="24"/>
      <c r="G3" s="241"/>
      <c r="H3" s="241"/>
      <c r="I3" s="241"/>
      <c r="J3" s="236"/>
      <c r="K3" s="237"/>
      <c r="L3" s="238"/>
      <c r="M3" s="236"/>
      <c r="N3" s="237"/>
      <c r="O3" s="238"/>
      <c r="P3" s="236"/>
      <c r="Q3" s="237"/>
      <c r="R3" s="238"/>
      <c r="S3" s="236"/>
      <c r="T3" s="237"/>
      <c r="U3" s="238"/>
      <c r="V3" s="236"/>
      <c r="W3" s="237"/>
      <c r="X3" s="238"/>
      <c r="Y3" s="236"/>
      <c r="Z3" s="237"/>
      <c r="AA3" s="238"/>
      <c r="AB3" s="236"/>
      <c r="AC3" s="237"/>
      <c r="AD3" s="238"/>
      <c r="AE3" s="236"/>
      <c r="AF3" s="237"/>
      <c r="AG3" s="238"/>
      <c r="AH3" s="236"/>
      <c r="AI3" s="237"/>
      <c r="AJ3" s="238"/>
      <c r="AK3" s="236"/>
      <c r="AL3" s="237"/>
      <c r="AM3" s="238"/>
      <c r="AN3" s="236"/>
      <c r="AO3" s="237"/>
      <c r="AP3" s="238"/>
      <c r="AQ3" s="236"/>
      <c r="AR3" s="237"/>
      <c r="AS3" s="238"/>
      <c r="AT3" s="236"/>
      <c r="AU3" s="237"/>
      <c r="AV3" s="238"/>
      <c r="AW3" s="236"/>
      <c r="AX3" s="237"/>
      <c r="AY3" s="238"/>
      <c r="AZ3" s="236"/>
      <c r="BA3" s="237"/>
      <c r="BB3" s="238"/>
      <c r="BC3" s="243" t="s">
        <v>116</v>
      </c>
      <c r="BD3" s="244"/>
      <c r="BE3" s="245"/>
      <c r="BF3" s="242">
        <v>42930</v>
      </c>
      <c r="BG3" s="237"/>
      <c r="BH3" s="238"/>
      <c r="BI3" s="236" t="s">
        <v>147</v>
      </c>
      <c r="BJ3" s="237"/>
      <c r="BK3" s="238"/>
      <c r="BL3" s="236" t="s">
        <v>148</v>
      </c>
      <c r="BM3" s="237"/>
      <c r="BN3" s="238"/>
      <c r="BO3" s="236" t="s">
        <v>170</v>
      </c>
      <c r="BP3" s="237"/>
      <c r="BQ3" s="238"/>
      <c r="BR3" s="242">
        <v>42940</v>
      </c>
      <c r="BS3" s="237"/>
      <c r="BT3" s="238"/>
      <c r="BU3" s="242">
        <v>42942</v>
      </c>
      <c r="BV3" s="237"/>
      <c r="BW3" s="238"/>
      <c r="BX3" s="242">
        <v>42944</v>
      </c>
      <c r="BY3" s="237"/>
      <c r="BZ3" s="238"/>
      <c r="CA3" s="242">
        <v>42947</v>
      </c>
      <c r="CB3" s="237"/>
      <c r="CC3" s="238"/>
      <c r="CD3" s="26"/>
    </row>
    <row r="4" spans="1:82" s="17" customFormat="1" ht="21" customHeight="1" x14ac:dyDescent="0.25">
      <c r="A4" s="240"/>
      <c r="B4" s="24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33" t="s">
        <v>7</v>
      </c>
      <c r="K2" s="233"/>
      <c r="L2" s="233"/>
      <c r="M2" s="233"/>
      <c r="N2" s="234" t="s">
        <v>8</v>
      </c>
      <c r="O2" s="234"/>
      <c r="P2" s="234"/>
      <c r="Q2" s="235" t="s">
        <v>9</v>
      </c>
      <c r="R2" s="235" t="s">
        <v>10</v>
      </c>
      <c r="S2" s="235" t="s">
        <v>11</v>
      </c>
      <c r="T2" s="235" t="s">
        <v>12</v>
      </c>
      <c r="U2" s="23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5"/>
      <c r="R3" s="235"/>
      <c r="S3" s="235"/>
      <c r="T3" s="235"/>
      <c r="U3" s="23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39" t="s">
        <v>6</v>
      </c>
      <c r="B3" s="23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41" t="s">
        <v>31</v>
      </c>
      <c r="H3" s="241"/>
      <c r="I3" s="241"/>
      <c r="J3" s="236" t="s">
        <v>32</v>
      </c>
      <c r="K3" s="237"/>
      <c r="L3" s="238"/>
      <c r="M3" s="236" t="s">
        <v>33</v>
      </c>
      <c r="N3" s="237"/>
      <c r="O3" s="238"/>
      <c r="P3" s="236" t="s">
        <v>34</v>
      </c>
      <c r="Q3" s="237"/>
      <c r="R3" s="238"/>
      <c r="S3" s="236" t="s">
        <v>35</v>
      </c>
      <c r="T3" s="237"/>
      <c r="U3" s="238"/>
      <c r="V3" s="236" t="s">
        <v>36</v>
      </c>
      <c r="W3" s="237"/>
      <c r="X3" s="238"/>
      <c r="Y3" s="236" t="s">
        <v>37</v>
      </c>
      <c r="Z3" s="237"/>
      <c r="AA3" s="238"/>
      <c r="AB3" s="236" t="s">
        <v>38</v>
      </c>
      <c r="AC3" s="237"/>
      <c r="AD3" s="238"/>
      <c r="AE3" s="236" t="s">
        <v>39</v>
      </c>
      <c r="AF3" s="237"/>
      <c r="AG3" s="238"/>
      <c r="AH3" s="236" t="s">
        <v>40</v>
      </c>
      <c r="AI3" s="237"/>
      <c r="AJ3" s="238"/>
      <c r="AK3" s="236" t="s">
        <v>41</v>
      </c>
      <c r="AL3" s="237"/>
      <c r="AM3" s="238"/>
      <c r="AN3" s="236" t="s">
        <v>42</v>
      </c>
      <c r="AO3" s="237"/>
      <c r="AP3" s="238"/>
      <c r="AQ3" s="236" t="s">
        <v>43</v>
      </c>
      <c r="AR3" s="237"/>
      <c r="AS3" s="238"/>
      <c r="AT3" s="236" t="s">
        <v>44</v>
      </c>
      <c r="AU3" s="237"/>
      <c r="AV3" s="238"/>
      <c r="AW3" s="236" t="s">
        <v>45</v>
      </c>
      <c r="AX3" s="237"/>
      <c r="AY3" s="238"/>
      <c r="AZ3" s="236" t="s">
        <v>46</v>
      </c>
      <c r="BA3" s="237"/>
      <c r="BB3" s="238"/>
      <c r="BC3" s="236" t="s">
        <v>47</v>
      </c>
      <c r="BD3" s="237"/>
      <c r="BE3" s="238"/>
      <c r="BF3" s="236" t="s">
        <v>48</v>
      </c>
      <c r="BG3" s="237"/>
      <c r="BH3" s="238"/>
      <c r="BI3" s="236" t="s">
        <v>49</v>
      </c>
      <c r="BJ3" s="237"/>
      <c r="BK3" s="238"/>
      <c r="BL3" s="236"/>
      <c r="BM3" s="237"/>
      <c r="BN3" s="238"/>
      <c r="BO3" s="236"/>
      <c r="BP3" s="237"/>
      <c r="BQ3" s="238"/>
      <c r="BR3" s="236"/>
      <c r="BS3" s="237"/>
      <c r="BT3" s="23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39"/>
      <c r="B4" s="23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47" t="s">
        <v>7</v>
      </c>
      <c r="P2" s="247"/>
      <c r="Q2" s="247"/>
      <c r="R2" s="247"/>
      <c r="S2" s="248" t="s">
        <v>8</v>
      </c>
      <c r="T2" s="248"/>
      <c r="U2" s="248"/>
      <c r="V2" s="249" t="s">
        <v>9</v>
      </c>
      <c r="W2" s="249" t="s">
        <v>10</v>
      </c>
      <c r="X2" s="249" t="s">
        <v>11</v>
      </c>
      <c r="Y2" s="249" t="s">
        <v>12</v>
      </c>
      <c r="Z2" s="246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49"/>
      <c r="W3" s="249"/>
      <c r="X3" s="249"/>
      <c r="Y3" s="249"/>
      <c r="Z3" s="24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39" t="s">
        <v>6</v>
      </c>
      <c r="B3" s="239" t="s">
        <v>5</v>
      </c>
      <c r="C3" s="61"/>
      <c r="D3" s="61"/>
      <c r="E3" s="61"/>
      <c r="F3" s="6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241"/>
      <c r="AY3" s="241"/>
      <c r="AZ3" s="241"/>
      <c r="BA3" s="241"/>
      <c r="BB3" s="241"/>
      <c r="BC3" s="250"/>
      <c r="BD3" s="250"/>
      <c r="BE3" s="250"/>
      <c r="BF3" s="251">
        <v>42976</v>
      </c>
      <c r="BG3" s="241"/>
      <c r="BH3" s="241"/>
      <c r="BI3" s="241"/>
      <c r="BJ3" s="241"/>
      <c r="BK3" s="241"/>
      <c r="BL3" s="241"/>
      <c r="BM3" s="241"/>
      <c r="BN3" s="241"/>
      <c r="BO3" s="241"/>
      <c r="BP3" s="241"/>
      <c r="BQ3" s="241"/>
      <c r="BR3" s="251"/>
      <c r="BS3" s="241"/>
      <c r="BT3" s="241"/>
      <c r="BU3" s="241"/>
      <c r="BV3" s="241"/>
      <c r="BW3" s="241"/>
      <c r="BX3" s="241"/>
      <c r="BY3" s="241"/>
      <c r="BZ3" s="241"/>
      <c r="CA3" s="241"/>
      <c r="CB3" s="241"/>
      <c r="CC3" s="241"/>
      <c r="CD3" s="26"/>
    </row>
    <row r="4" spans="1:82" s="17" customFormat="1" ht="21" customHeight="1" x14ac:dyDescent="0.25">
      <c r="A4" s="239"/>
      <c r="B4" s="239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52" t="s">
        <v>224</v>
      </c>
      <c r="C1" s="252"/>
      <c r="D1" s="252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33" t="s">
        <v>7</v>
      </c>
      <c r="O2" s="233"/>
      <c r="P2" s="233"/>
      <c r="Q2" s="233"/>
      <c r="R2" s="234" t="s">
        <v>8</v>
      </c>
      <c r="S2" s="234"/>
      <c r="T2" s="234"/>
      <c r="U2" s="235" t="s">
        <v>9</v>
      </c>
      <c r="V2" s="235" t="s">
        <v>10</v>
      </c>
      <c r="W2" s="235" t="s">
        <v>11</v>
      </c>
      <c r="X2" s="235" t="s">
        <v>12</v>
      </c>
      <c r="Y2" s="232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35"/>
      <c r="V3" s="235"/>
      <c r="W3" s="235"/>
      <c r="X3" s="235"/>
      <c r="Y3" s="232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39" t="s">
        <v>6</v>
      </c>
      <c r="B3" s="239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41" t="s">
        <v>31</v>
      </c>
      <c r="H3" s="241"/>
      <c r="I3" s="241"/>
      <c r="J3" s="236" t="s">
        <v>32</v>
      </c>
      <c r="K3" s="237"/>
      <c r="L3" s="238"/>
      <c r="M3" s="236" t="s">
        <v>33</v>
      </c>
      <c r="N3" s="237"/>
      <c r="O3" s="238"/>
      <c r="P3" s="236" t="s">
        <v>34</v>
      </c>
      <c r="Q3" s="237"/>
      <c r="R3" s="238"/>
      <c r="S3" s="236" t="s">
        <v>35</v>
      </c>
      <c r="T3" s="237"/>
      <c r="U3" s="238"/>
      <c r="V3" s="236" t="s">
        <v>36</v>
      </c>
      <c r="W3" s="237"/>
      <c r="X3" s="238"/>
      <c r="Y3" s="236" t="s">
        <v>37</v>
      </c>
      <c r="Z3" s="237"/>
      <c r="AA3" s="238"/>
      <c r="AB3" s="236" t="s">
        <v>38</v>
      </c>
      <c r="AC3" s="237"/>
      <c r="AD3" s="238"/>
      <c r="AE3" s="236" t="s">
        <v>39</v>
      </c>
      <c r="AF3" s="237"/>
      <c r="AG3" s="238"/>
      <c r="AH3" s="236" t="s">
        <v>40</v>
      </c>
      <c r="AI3" s="237"/>
      <c r="AJ3" s="238"/>
      <c r="AK3" s="236" t="s">
        <v>41</v>
      </c>
      <c r="AL3" s="237"/>
      <c r="AM3" s="238"/>
      <c r="AN3" s="236" t="s">
        <v>42</v>
      </c>
      <c r="AO3" s="237"/>
      <c r="AP3" s="238"/>
      <c r="AQ3" s="236" t="s">
        <v>43</v>
      </c>
      <c r="AR3" s="237"/>
      <c r="AS3" s="238"/>
      <c r="AT3" s="236" t="s">
        <v>44</v>
      </c>
      <c r="AU3" s="237"/>
      <c r="AV3" s="238"/>
      <c r="AW3" s="236" t="s">
        <v>45</v>
      </c>
      <c r="AX3" s="237"/>
      <c r="AY3" s="238"/>
      <c r="AZ3" s="236" t="s">
        <v>46</v>
      </c>
      <c r="BA3" s="237"/>
      <c r="BB3" s="238"/>
      <c r="BC3" s="236" t="s">
        <v>47</v>
      </c>
      <c r="BD3" s="237"/>
      <c r="BE3" s="238"/>
      <c r="BF3" s="236" t="s">
        <v>48</v>
      </c>
      <c r="BG3" s="237"/>
      <c r="BH3" s="238"/>
      <c r="BI3" s="236" t="s">
        <v>49</v>
      </c>
      <c r="BJ3" s="237"/>
      <c r="BK3" s="238"/>
      <c r="BL3" s="242">
        <v>42970</v>
      </c>
      <c r="BM3" s="237"/>
      <c r="BN3" s="238"/>
      <c r="BO3" s="242">
        <v>42972</v>
      </c>
      <c r="BP3" s="237"/>
      <c r="BQ3" s="238"/>
      <c r="BR3" s="242">
        <v>42975</v>
      </c>
      <c r="BS3" s="237"/>
      <c r="BT3" s="238"/>
      <c r="BU3" s="242">
        <v>42977</v>
      </c>
      <c r="BV3" s="237"/>
      <c r="BW3" s="23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39"/>
      <c r="B4" s="239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56" t="s">
        <v>431</v>
      </c>
      <c r="B1" s="257"/>
      <c r="C1" s="257"/>
      <c r="D1" s="257"/>
      <c r="E1" s="257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57"/>
      <c r="B2" s="257"/>
      <c r="C2" s="257"/>
      <c r="D2" s="257"/>
      <c r="E2" s="257"/>
      <c r="F2" s="199"/>
      <c r="G2" s="199"/>
      <c r="H2" s="49"/>
      <c r="I2" s="49"/>
      <c r="J2" s="207"/>
      <c r="K2" s="258" t="s">
        <v>7</v>
      </c>
      <c r="L2" s="258"/>
      <c r="M2" s="258"/>
      <c r="N2" s="258"/>
      <c r="O2" s="259" t="s">
        <v>8</v>
      </c>
      <c r="P2" s="259"/>
      <c r="Q2" s="259"/>
      <c r="R2" s="254" t="s">
        <v>323</v>
      </c>
      <c r="S2" s="254" t="s">
        <v>324</v>
      </c>
      <c r="T2" s="253" t="s">
        <v>11</v>
      </c>
      <c r="U2" s="253" t="s">
        <v>12</v>
      </c>
      <c r="V2" s="254" t="s">
        <v>325</v>
      </c>
      <c r="W2" s="197"/>
      <c r="X2" s="258" t="s">
        <v>7</v>
      </c>
      <c r="Y2" s="258"/>
      <c r="Z2" s="258"/>
      <c r="AA2" s="258"/>
      <c r="AB2" s="259" t="s">
        <v>8</v>
      </c>
      <c r="AC2" s="259"/>
      <c r="AD2" s="259"/>
      <c r="AE2" s="254" t="s">
        <v>323</v>
      </c>
      <c r="AF2" s="254" t="s">
        <v>324</v>
      </c>
      <c r="AG2" s="253" t="s">
        <v>11</v>
      </c>
      <c r="AH2" s="253" t="s">
        <v>12</v>
      </c>
      <c r="AI2" s="254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53"/>
      <c r="S3" s="253"/>
      <c r="T3" s="253"/>
      <c r="U3" s="253"/>
      <c r="V3" s="253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253"/>
      <c r="AF3" s="253"/>
      <c r="AG3" s="253"/>
      <c r="AH3" s="253"/>
      <c r="AI3" s="253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5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255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255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5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5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5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5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5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5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5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5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5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5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5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5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5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5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5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5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5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47" t="s">
        <v>7</v>
      </c>
      <c r="L2" s="247"/>
      <c r="M2" s="247"/>
      <c r="N2" s="247"/>
      <c r="O2" s="248" t="s">
        <v>8</v>
      </c>
      <c r="P2" s="248"/>
      <c r="Q2" s="248"/>
      <c r="R2" s="249" t="s">
        <v>9</v>
      </c>
      <c r="S2" s="249" t="s">
        <v>10</v>
      </c>
      <c r="T2" s="249" t="s">
        <v>11</v>
      </c>
      <c r="U2" s="249" t="s">
        <v>12</v>
      </c>
      <c r="V2" s="249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49"/>
      <c r="S3" s="249"/>
      <c r="T3" s="249"/>
      <c r="U3" s="249"/>
      <c r="V3" s="24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47" t="s">
        <v>7</v>
      </c>
      <c r="L2" s="247"/>
      <c r="M2" s="247"/>
      <c r="N2" s="247"/>
      <c r="O2" s="248" t="s">
        <v>8</v>
      </c>
      <c r="P2" s="248"/>
      <c r="Q2" s="248"/>
      <c r="R2" s="260" t="s">
        <v>323</v>
      </c>
      <c r="S2" s="260" t="s">
        <v>324</v>
      </c>
      <c r="T2" s="249" t="s">
        <v>11</v>
      </c>
      <c r="U2" s="249" t="s">
        <v>12</v>
      </c>
      <c r="V2" s="260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49"/>
      <c r="S3" s="249"/>
      <c r="T3" s="249"/>
      <c r="U3" s="249"/>
      <c r="V3" s="249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I9" sqref="I9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58" t="s">
        <v>7</v>
      </c>
      <c r="L2" s="258"/>
      <c r="M2" s="258"/>
      <c r="N2" s="258"/>
      <c r="O2" s="259" t="s">
        <v>8</v>
      </c>
      <c r="P2" s="259"/>
      <c r="Q2" s="259"/>
      <c r="R2" s="254" t="s">
        <v>323</v>
      </c>
      <c r="S2" s="254" t="s">
        <v>324</v>
      </c>
      <c r="T2" s="253" t="s">
        <v>11</v>
      </c>
      <c r="U2" s="253" t="s">
        <v>12</v>
      </c>
      <c r="V2" s="254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53"/>
      <c r="S3" s="253"/>
      <c r="T3" s="253"/>
      <c r="U3" s="253"/>
      <c r="V3" s="253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263" t="s">
        <v>7</v>
      </c>
      <c r="L2" s="263"/>
      <c r="M2" s="263"/>
      <c r="N2" s="263"/>
      <c r="O2" s="264" t="s">
        <v>8</v>
      </c>
      <c r="P2" s="264"/>
      <c r="Q2" s="264"/>
      <c r="R2" s="262" t="s">
        <v>323</v>
      </c>
      <c r="S2" s="262" t="s">
        <v>324</v>
      </c>
      <c r="T2" s="261" t="s">
        <v>11</v>
      </c>
      <c r="U2" s="261" t="s">
        <v>12</v>
      </c>
      <c r="V2" s="262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61"/>
      <c r="S3" s="261"/>
      <c r="T3" s="261"/>
      <c r="U3" s="261"/>
      <c r="V3" s="261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B4" sqref="B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58" t="s">
        <v>7</v>
      </c>
      <c r="K2" s="258"/>
      <c r="L2" s="258"/>
      <c r="M2" s="258"/>
      <c r="N2" s="259" t="s">
        <v>8</v>
      </c>
      <c r="O2" s="259"/>
      <c r="P2" s="259"/>
      <c r="Q2" s="254" t="s">
        <v>323</v>
      </c>
      <c r="R2" s="254" t="s">
        <v>324</v>
      </c>
      <c r="S2" s="253" t="s">
        <v>11</v>
      </c>
      <c r="T2" s="253" t="s">
        <v>12</v>
      </c>
      <c r="U2" s="25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53"/>
      <c r="R3" s="253"/>
      <c r="S3" s="253"/>
      <c r="T3" s="253"/>
      <c r="U3" s="253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77">
        <v>901901610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workbookViewId="0">
      <selection activeCell="D4" sqref="D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58" t="s">
        <v>7</v>
      </c>
      <c r="K2" s="258"/>
      <c r="L2" s="258"/>
      <c r="M2" s="258"/>
      <c r="N2" s="259" t="s">
        <v>8</v>
      </c>
      <c r="O2" s="259"/>
      <c r="P2" s="259"/>
      <c r="Q2" s="254" t="s">
        <v>323</v>
      </c>
      <c r="R2" s="254" t="s">
        <v>324</v>
      </c>
      <c r="S2" s="253" t="s">
        <v>11</v>
      </c>
      <c r="T2" s="253" t="s">
        <v>12</v>
      </c>
      <c r="U2" s="25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53"/>
      <c r="R3" s="253"/>
      <c r="S3" s="253"/>
      <c r="T3" s="253"/>
      <c r="U3" s="253"/>
    </row>
    <row r="4" spans="1:21" x14ac:dyDescent="0.3">
      <c r="A4" s="2">
        <v>1</v>
      </c>
      <c r="B4" s="1" t="s">
        <v>520</v>
      </c>
      <c r="C4" s="34"/>
      <c r="D4" s="194" t="s">
        <v>519</v>
      </c>
      <c r="E4" s="3"/>
      <c r="F4" s="3"/>
      <c r="G4" s="33"/>
      <c r="H4" s="2"/>
      <c r="I4" s="2" t="s">
        <v>547</v>
      </c>
    </row>
    <row r="5" spans="1:21" x14ac:dyDescent="0.3">
      <c r="A5" s="2">
        <v>2</v>
      </c>
      <c r="C5" s="152"/>
      <c r="D5" s="34"/>
      <c r="E5" s="3"/>
      <c r="F5" s="34"/>
      <c r="G5" s="33"/>
      <c r="H5" s="2"/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58" t="s">
        <v>7</v>
      </c>
      <c r="K2" s="258"/>
      <c r="L2" s="258"/>
      <c r="M2" s="258"/>
      <c r="N2" s="259" t="s">
        <v>8</v>
      </c>
      <c r="O2" s="259"/>
      <c r="P2" s="259"/>
      <c r="Q2" s="254" t="s">
        <v>323</v>
      </c>
      <c r="R2" s="254" t="s">
        <v>324</v>
      </c>
      <c r="S2" s="253" t="s">
        <v>11</v>
      </c>
      <c r="T2" s="253" t="s">
        <v>12</v>
      </c>
      <c r="U2" s="25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53"/>
      <c r="R3" s="253"/>
      <c r="S3" s="253"/>
      <c r="T3" s="253"/>
      <c r="U3" s="253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C5" s="152"/>
      <c r="D5" s="34"/>
      <c r="E5" s="3"/>
      <c r="F5" s="34"/>
      <c r="G5" s="33"/>
      <c r="H5" s="2"/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2018-04-16T10:05:53Z</dcterms:modified>
</cp:coreProperties>
</file>