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9" activeTab="11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F42" i="20" l="1"/>
  <c r="F43" i="20"/>
  <c r="F49" i="20"/>
  <c r="E42" i="20"/>
  <c r="E43" i="20"/>
  <c r="E44" i="20"/>
  <c r="F44" i="20" s="1"/>
  <c r="E45" i="20"/>
  <c r="E46" i="20"/>
  <c r="F46" i="20" s="1"/>
  <c r="E47" i="20"/>
  <c r="F47" i="20" s="1"/>
  <c r="E48" i="20"/>
  <c r="E49" i="20"/>
  <c r="E26" i="20"/>
  <c r="E27" i="20"/>
  <c r="E28" i="20"/>
  <c r="E29" i="20"/>
  <c r="F29" i="20" s="1"/>
  <c r="E30" i="20"/>
  <c r="E31" i="20"/>
  <c r="F31" i="20" s="1"/>
  <c r="E32" i="20"/>
  <c r="F32" i="20" s="1"/>
  <c r="E33" i="20"/>
  <c r="F33" i="20" s="1"/>
  <c r="E34" i="20"/>
  <c r="E35" i="20"/>
  <c r="F35" i="20" s="1"/>
  <c r="E36" i="20"/>
  <c r="E37" i="20"/>
  <c r="F37" i="20" s="1"/>
  <c r="E38" i="20"/>
  <c r="E39" i="20"/>
  <c r="E40" i="20"/>
  <c r="E41" i="20"/>
  <c r="E25" i="20"/>
  <c r="F25" i="20" s="1"/>
  <c r="E23" i="20"/>
  <c r="E24" i="20"/>
  <c r="F24" i="20" s="1"/>
  <c r="E22" i="20"/>
  <c r="H3" i="20" l="1"/>
  <c r="E10" i="20" l="1"/>
  <c r="C3" i="20" l="1"/>
  <c r="E13" i="20"/>
  <c r="E6" i="20"/>
  <c r="F6" i="20" s="1"/>
  <c r="E20" i="20"/>
  <c r="E21" i="20"/>
  <c r="F21" i="20" s="1"/>
  <c r="F22" i="20"/>
  <c r="E7" i="20"/>
  <c r="F7" i="20" s="1"/>
  <c r="E8" i="20"/>
  <c r="F8" i="20" s="1"/>
  <c r="E9" i="20"/>
  <c r="F9" i="20" s="1"/>
  <c r="E11" i="20"/>
  <c r="F11" i="20" s="1"/>
  <c r="E12" i="20"/>
  <c r="E14" i="20"/>
  <c r="F14" i="20" s="1"/>
  <c r="E15" i="20"/>
  <c r="E16" i="20"/>
  <c r="F16" i="20" s="1"/>
  <c r="E17" i="20"/>
  <c r="F17" i="20" s="1"/>
  <c r="E18" i="20"/>
  <c r="E19" i="20"/>
  <c r="F19" i="20" s="1"/>
  <c r="F38" i="20" l="1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<sst xmlns="http://schemas.openxmlformats.org/spreadsheetml/2006/main" count="1951" uniqueCount="358">
  <si>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</si>
  <si>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</si>
  <si>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</si>
  <si>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</si>
  <si>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</si>
  <si>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</si>
  <si>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</si>
  <si>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</si>
  <si>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</si>
  <si>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</si>
  <si>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</si>
  <si>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</si>
  <si>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</si>
  <si>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</si>
  <si>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</si>
  <si>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</si>
  <si>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</si>
  <si>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</si>
  <si>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</si>
  <si>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</si>
  <si>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</si>
  <si>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</si>
  <si>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</si>
  <si>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</si>
  <si>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</si>
  <si>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</si>
  <si>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</si>
  <si>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</si>
  <si>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</si>
  <si>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</si>
  <si>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</si>
  <si>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</si>
  <si>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</si>
  <si>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</si>
  <si>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</si>
  <si>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</si>
  <si>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</si>
  <si>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</si>
  <si>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</si>
  <si>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</si>
  <si>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</si>
  <si>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</si>
  <si>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</si>
  <si>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</si>
  <si>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</si>
  <si>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</si>
  <si>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</si>
  <si>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</si>
  <si>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</si>
  <si>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</si>
  <si>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</si>
  <si>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</si>
  <si>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</si>
  <si>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</si>
  <si>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</si>
  <si>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</si>
  <si>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</si>
  <si>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</si>
  <si>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</si>
  <si>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</si>
  <si>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</si>
  <si>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</si>
  <si>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</si>
  <si>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</si>
  <si>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</si>
  <si>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</si>
  <si>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</si>
  <si>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</si>
  <si>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</si>
  <si>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</si>
  <si>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</si>
  <si>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</si>
  <si>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</si>
  <si>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</si>
  <si>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</si>
  <si>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</si>
  <si>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</si>
  <si>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</si>
  <si>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</si>
  <si>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</si>
  <si>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</si>
  <si>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</si>
  <si>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</si>
  <si>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</si>
  <si>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</si>
  <si>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</si>
  <si>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</si>
  <si>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</si>
  <si>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</si>
  <si>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</si>
  <si>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</si>
  <si>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</si>
  <si>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</si>
  <si>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</si>
  <si>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</si>
  <si>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</si>
  <si>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</si>
  <si>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</si>
  <si>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</si>
  <si>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</si>
  <si>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</si>
  <si>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</si>
  <si>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</si>
  <si>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</si>
  <si>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</si>
  <si>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</si>
  <si>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</si>
  <si>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</si>
  <si>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</si>
  <si>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</si>
  <si>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</si>
  <si>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</si>
  <si>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</si>
  <si>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</si>
  <si>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</si>
  <si>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</si>
  <si>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</si>
  <si>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</si>
  <si>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</si>
  <si>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</si>
  <si>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</si>
  <si>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</si>
  <si>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</si>
  <si>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</si>
  <si>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</si>
  <si>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</si>
  <si>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</si>
  <si>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</si>
  <si>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</si>
  <si>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</si>
  <si>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</si>
  <si>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</si>
  <si>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</si>
  <si>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</si>
  <si>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</si>
  <si>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</si>
  <si>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</si>
  <si>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</si>
  <si>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</si>
  <si>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</si>
  <si>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</si>
  <si>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</si>
  <si>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</si>
  <si>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</si>
  <si>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</si>
  <si>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</si>
  <si>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</si>
  <si>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</si>
  <si>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</si>
  <si>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</si>
  <si>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</si>
  <si>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</si>
  <si>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</si>
  <si>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</si>
  <si>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</si>
  <si>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</si>
  <si>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</si>
  <si>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</si>
  <si>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</si>
  <si>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</si>
  <si>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</si>
  <si>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</si>
  <si>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</si>
  <si>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</si>
  <si>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</si>
  <si>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</si>
  <si>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</si>
  <si>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</si>
  <si>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</si>
  <si>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</si>
  <si>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</si>
  <si>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</si>
  <si>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</si>
  <si>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</si>
  <si>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</si>
  <si>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</si>
  <si>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</si>
  <si>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</si>
  <si>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</si>
  <si>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</si>
  <si>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</si>
  <si>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</si>
  <si>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</si>
  <si>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</si>
  <si>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</si>
  <si>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</si>
  <si>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</si>
  <si>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</si>
  <si>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</si>
  <si>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</si>
  <si>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</si>
  <si>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</si>
  <si>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</si>
  <si>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</si>
  <si>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</si>
  <si>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</si>
  <si>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</si>
  <si>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</si>
  <si>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</si>
  <si>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</si>
  <si>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</si>
  <si>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</si>
  <si>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</si>
  <si>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</si>
  <si>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</si>
  <si>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</si>
  <si>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</si>
  <si>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</si>
  <si>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</si>
  <si>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</si>
  <si>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</si>
  <si>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</si>
  <si>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</si>
  <si>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</si>
  <si>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</si>
  <si>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</si>
  <si>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</si>
  <si>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</si>
  <si>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</si>
  <si>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</si>
  <si>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</si>
  <si>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</si>
  <si>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</si>
  <si>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</si>
  <si>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</si>
  <si>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</si>
  <si>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</si>
  <si>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</si>
  <si>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</si>
  <si>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</si>
  <si>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</si>
  <si>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</si>
  <si>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</si>
  <si>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</si>
  <si>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</si>
  <si>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</si>
  <si>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</si>
  <si>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</si>
  <si>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</si>
  <si>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</si>
  <si>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</si>
  <si>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</si>
  <si>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</si>
  <si>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</si>
  <si>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</si>
  <si>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</si>
  <si>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</si>
  <si>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204 C2 Khu chung cư Đôg nam Thủy Trường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</si>
  <si>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</si>
  <si>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</si>
  <si>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</si>
  <si>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</si>
  <si>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</si>
  <si>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</si>
  <si>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</si>
  <si>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</si>
  <si>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</si>
  <si>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</si>
  <si>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</si>
  <si>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</si>
  <si>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</si>
  <si>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</si>
  <si>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</si>
  <si>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</si>
  <si>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</si>
  <si>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</si>
  <si>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</si>
  <si>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</si>
  <si>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</si>
  <si>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</si>
  <si>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</si>
  <si>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</si>
  <si>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</si>
  <si>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</si>
  <si>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</si>
  <si>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</si>
  <si>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</si>
  <si>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</si>
  <si>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</si>
  <si>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</si>
  <si>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</si>
  <si>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</si>
  <si>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</si>
  <si>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0961893140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</si>
  <si>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</si>
  <si>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</si>
  <si>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</si>
  <si>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</si>
  <si>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</si>
  <si>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</si>
  <si>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</si>
  <si>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</si>
  <si>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</si>
  <si>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</si>
  <si>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</si>
  <si>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</si>
  <si>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</si>
  <si>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</si>
  <si>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</si>
  <si>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</si>
  <si>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</si>
  <si>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</si>
  <si>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</si>
  <si>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Khóa TOEIC 300-500 K7 (/2017 - /2017)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</si>
  <si>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</si>
  <si>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</si>
  <si>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</si>
  <si>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</si>
  <si>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</si>
  <si>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</si>
  <si>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</si>
  <si>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</si>
  <si>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</si>
  <si>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</si>
  <si>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</si>
  <si>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</si>
  <si>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</si>
  <si>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</si>
  <si>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</si>
  <si>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Khóa TOEIC 500 - 700 K5 (/2017 - /2017)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</si>
  <si>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</si>
  <si>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</si>
  <si>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</si>
  <si>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</si>
  <si>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</si>
  <si>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</si>
  <si>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</si>
  <si>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</si>
  <si>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</si>
  <si>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</si>
  <si>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</si>
  <si>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</si>
  <si>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</si>
  <si>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Phạm Văn Đồng</t>
  </si>
  <si>
    <t>Trần Thị Thùy</t>
  </si>
  <si>
    <t>0964510070</t>
  </si>
  <si>
    <t>96 Hải Triều</t>
  </si>
  <si>
    <t>Hậu</t>
  </si>
  <si>
    <t>Trần Thị Khánh ly</t>
  </si>
  <si>
    <t>168 Trần Phú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</si>
  <si>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</si>
  <si>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</si>
  <si>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</si>
  <si>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</si>
  <si>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</si>
  <si>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</si>
  <si>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Chung cư Vicoland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</si>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</sst>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19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19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0" fillId="0" borderId="0" xfId="0" applyNumberFormat="1"/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0" fillId="14" borderId="0" xfId="0" applyFill="1"/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49" fontId="9" fillId="0" borderId="1" xfId="0" applyNumberFormat="1" applyFont="1" applyBorder="1"/>
    <xf numFmtId="0" fontId="9" fillId="5" borderId="1" xfId="4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5" xfId="0" applyFont="1" applyBorder="1"/>
    <xf numFmtId="14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 applyAlignment="1"/>
    <xf numFmtId="49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/>
    <xf numFmtId="14" fontId="9" fillId="0" borderId="1" xfId="0" applyNumberFormat="1" applyFont="1" applyBorder="1" applyAlignment="1">
      <alignment horizontal="left"/>
    </xf>
    <xf numFmtId="0" fontId="15" fillId="15" borderId="0" xfId="0" applyFont="1" applyFill="1"/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/>
    <xf numFmtId="0" fontId="9" fillId="0" borderId="1" xfId="0" applyFont="1" applyBorder="1" applyAlignment="1">
      <alignment horizontal="left"/>
    </xf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49" fontId="0" fillId="15" borderId="0" xfId="0" applyNumberForma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0" fontId="0" fillId="15" borderId="0" xfId="0" applyFill="1"/>
    <xf numFmtId="0" fontId="0" fillId="15" borderId="0" xfId="0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0" fillId="0" borderId="0" xfId="0" applyNumberFormat="1" applyAlignment="1">
      <alignment horizontal="left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49" fontId="9" fillId="0" borderId="0" xfId="0" applyNumberFormat="1" applyFont="1" applyBorder="1" applyAlignment="1">
      <alignment horizontal="left"/>
    </xf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49" fontId="16" fillId="15" borderId="0" xfId="0" applyNumberFormat="1" applyFont="1" applyFill="1" applyBorder="1" applyAlignment="1">
      <alignment horizontal="left"/>
    </xf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7" fillId="0" borderId="0" xfId="0" applyFont="1"/>
    <xf numFmtId="0" fontId="18" fillId="0" borderId="0" xfId="0" applyFont="1"/>
    <xf numFmtId="0" fontId="1" fillId="0" borderId="0" xfId="0" applyFont="1" applyBorder="1"/>
    <xf numFmtId="0" fontId="12" fillId="0" borderId="0" xfId="0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14" fontId="9" fillId="0" borderId="2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8" fillId="8" borderId="0" xfId="7" applyFont="1" applyAlignment="1">
      <alignment horizontal="center" vertical="center" wrapText="1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8" t="s">
        <v>157</v>
      </c>
    </row>
    <row r="3" spans="1:3" x14ac:dyDescent="0.25">
      <c r="A3">
        <v>2</v>
      </c>
      <c r="B3" t="s">
        <v>153</v>
      </c>
      <c r="C3" s="38" t="s">
        <v>158</v>
      </c>
    </row>
    <row r="4" spans="1:3" x14ac:dyDescent="0.25">
      <c r="A4">
        <v>3</v>
      </c>
      <c r="B4" t="s">
        <v>154</v>
      </c>
      <c r="C4" s="38" t="s">
        <v>159</v>
      </c>
    </row>
    <row r="5" spans="1:3" x14ac:dyDescent="0.25">
      <c r="A5">
        <v>4</v>
      </c>
      <c r="B5" t="s">
        <v>155</v>
      </c>
      <c r="C5" s="38" t="s">
        <v>160</v>
      </c>
    </row>
    <row r="6" spans="1:3" x14ac:dyDescent="0.25">
      <c r="A6">
        <v>5</v>
      </c>
      <c r="B6" t="s">
        <v>149</v>
      </c>
      <c r="C6" s="38" t="s">
        <v>161</v>
      </c>
    </row>
    <row r="7" spans="1:3" x14ac:dyDescent="0.25">
      <c r="A7">
        <v>6</v>
      </c>
      <c r="B7" t="s">
        <v>156</v>
      </c>
      <c r="C7" s="38" t="s">
        <v>162</v>
      </c>
    </row>
    <row r="8" spans="1:3" x14ac:dyDescent="0.25">
      <c r="A8">
        <v>7</v>
      </c>
      <c r="B8" t="s">
        <v>174</v>
      </c>
      <c r="C8" s="38" t="s">
        <v>178</v>
      </c>
    </row>
    <row r="9" spans="1:3" x14ac:dyDescent="0.25">
      <c r="A9">
        <v>8</v>
      </c>
      <c r="B9" t="s">
        <v>175</v>
      </c>
      <c r="C9" s="38" t="s">
        <v>179</v>
      </c>
    </row>
    <row r="10" spans="1:3" x14ac:dyDescent="0.25">
      <c r="A10">
        <v>9</v>
      </c>
      <c r="B10" t="s">
        <v>176</v>
      </c>
      <c r="C10" s="38" t="s">
        <v>180</v>
      </c>
    </row>
    <row r="11" spans="1:3" x14ac:dyDescent="0.25">
      <c r="A11">
        <v>10</v>
      </c>
      <c r="B11" t="s">
        <v>177</v>
      </c>
      <c r="C11" s="38" t="s">
        <v>181</v>
      </c>
    </row>
    <row r="12" spans="1:3" x14ac:dyDescent="0.25">
      <c r="C12" s="38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6"/>
  <sheetViews>
    <sheetView workbookViewId="0">
      <selection activeCell="D6" sqref="D6"/>
    </sheetView>
  </sheetViews>
  <sheetFormatPr defaultRowHeight="15" x14ac:dyDescent="0.25"/>
  <cols>
    <col min="1" max="1" width="5.7109375" style="64" customWidth="1"/>
    <col min="2" max="2" width="24.140625" customWidth="1"/>
    <col min="3" max="3" width="16.7109375" customWidth="1"/>
    <col min="4" max="4" width="17.7109375" customWidth="1"/>
    <col min="5" max="5" width="23.7109375" customWidth="1"/>
    <col min="6" max="6" width="19.140625" customWidth="1"/>
    <col min="7" max="7" width="30.5703125" customWidth="1"/>
    <col min="8" max="8" width="22.28515625" customWidth="1"/>
    <col min="9" max="9" width="22.5703125" customWidth="1"/>
    <col min="10" max="10" width="19.7109375" customWidth="1"/>
  </cols>
  <sheetData>
    <row r="1" spans="1:10" s="17" customFormat="1" ht="15.75" x14ac:dyDescent="0.25">
      <c r="A1" s="131" t="s">
        <v>6</v>
      </c>
      <c r="B1" s="129" t="s">
        <v>5</v>
      </c>
      <c r="C1" s="129" t="s">
        <v>139</v>
      </c>
      <c r="D1" s="129" t="s">
        <v>140</v>
      </c>
      <c r="E1" s="129" t="s">
        <v>117</v>
      </c>
      <c r="F1" s="129" t="s">
        <v>141</v>
      </c>
      <c r="G1" s="129" t="s">
        <v>146</v>
      </c>
      <c r="H1" s="129" t="s">
        <v>142</v>
      </c>
      <c r="I1" s="129" t="s">
        <v>144</v>
      </c>
      <c r="J1" s="129" t="s">
        <v>208</v>
      </c>
    </row>
    <row r="2" spans="1:10" s="17" customFormat="1" ht="15.75" x14ac:dyDescent="0.25">
      <c r="A2" s="128">
        <v>1</v>
      </c>
      <c r="B2" s="130" t="s">
        <v>108</v>
      </c>
      <c r="C2" s="130" t="s">
        <v>109</v>
      </c>
      <c r="D2" s="130" t="s">
        <v>110</v>
      </c>
      <c r="E2" s="130" t="s">
        <v>120</v>
      </c>
      <c r="F2" s="18" t="s">
        <v>79</v>
      </c>
      <c r="G2" s="18" t="s">
        <v>149</v>
      </c>
      <c r="H2" s="18" t="s">
        <v>143</v>
      </c>
      <c r="I2" s="18" t="s">
        <v>299</v>
      </c>
      <c r="J2" s="18"/>
    </row>
    <row r="3" spans="1:10" s="147" customFormat="1" ht="21" customHeight="1" x14ac:dyDescent="0.25">
      <c r="A3" s="144">
        <v>2</v>
      </c>
      <c r="B3" s="145" t="s">
        <v>63</v>
      </c>
      <c r="C3" s="146" t="s">
        <v>85</v>
      </c>
      <c r="D3" s="146" t="s">
        <v>86</v>
      </c>
      <c r="E3" s="146" t="s">
        <v>125</v>
      </c>
      <c r="F3" s="146" t="s">
        <v>89</v>
      </c>
      <c r="G3" s="146" t="s">
        <v>154</v>
      </c>
      <c r="H3" s="146" t="s">
        <v>171</v>
      </c>
      <c r="I3" s="146" t="s">
        <v>301</v>
      </c>
      <c r="J3" s="145" t="s">
        <v>209</v>
      </c>
    </row>
    <row r="4" spans="1:10" s="17" customFormat="1" ht="15.75" x14ac:dyDescent="0.25">
      <c r="A4" s="133">
        <v>3</v>
      </c>
      <c r="B4" s="134" t="s">
        <v>225</v>
      </c>
      <c r="C4" s="135">
        <v>35560</v>
      </c>
      <c r="D4" s="136" t="s">
        <v>263</v>
      </c>
      <c r="E4" s="137" t="s">
        <v>262</v>
      </c>
      <c r="F4" s="137" t="s">
        <v>69</v>
      </c>
      <c r="G4" s="138" t="s">
        <v>174</v>
      </c>
      <c r="H4" s="134" t="s">
        <v>294</v>
      </c>
      <c r="I4" s="134" t="s">
        <v>295</v>
      </c>
      <c r="J4" s="134"/>
    </row>
    <row r="5" spans="1:10" s="18" customFormat="1" ht="15.75" x14ac:dyDescent="0.25">
      <c r="A5" s="132">
        <v>4</v>
      </c>
      <c r="B5" s="18" t="s">
        <v>195</v>
      </c>
      <c r="F5" s="18" t="s">
        <v>296</v>
      </c>
      <c r="G5" s="18" t="s">
        <v>176</v>
      </c>
      <c r="H5" s="139" t="s">
        <v>298</v>
      </c>
      <c r="I5" s="139" t="s">
        <v>297</v>
      </c>
    </row>
    <row r="6" spans="1:10" s="17" customFormat="1" ht="15.75" x14ac:dyDescent="0.25">
      <c r="A6" s="141">
        <v>5</v>
      </c>
      <c r="B6" s="18" t="s">
        <v>210</v>
      </c>
      <c r="C6" s="143" t="s">
        <v>289</v>
      </c>
      <c r="D6" s="142" t="s">
        <v>290</v>
      </c>
      <c r="E6" s="18" t="s">
        <v>291</v>
      </c>
      <c r="F6" s="18"/>
      <c r="G6" s="18" t="s">
        <v>302</v>
      </c>
      <c r="H6" s="18" t="s">
        <v>294</v>
      </c>
      <c r="I6" s="18" t="s">
        <v>300</v>
      </c>
      <c r="J6" s="18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23" workbookViewId="0">
      <selection activeCell="E20" sqref="E2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5" customWidth="1"/>
    <col min="5" max="5" width="22.28515625" style="71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9"/>
      <c r="B1" s="39"/>
      <c r="C1" s="39"/>
      <c r="D1" s="84"/>
      <c r="E1" s="70"/>
      <c r="F1" s="39"/>
      <c r="G1" s="39"/>
    </row>
    <row r="2" spans="1:8" ht="18.75" x14ac:dyDescent="0.3">
      <c r="A2" s="177" t="s">
        <v>165</v>
      </c>
      <c r="B2" s="177"/>
      <c r="C2" s="177"/>
      <c r="D2" s="177"/>
      <c r="E2" s="177"/>
      <c r="F2" s="177"/>
      <c r="G2" s="39"/>
    </row>
    <row r="3" spans="1:8" x14ac:dyDescent="0.25">
      <c r="B3" s="73" t="s">
        <v>166</v>
      </c>
      <c r="C3" s="74">
        <f ca="1">MONTH(TODAY())</f>
        <v>10</v>
      </c>
      <c r="D3" s="84"/>
      <c r="E3" s="71" t="s">
        <v>167</v>
      </c>
      <c r="G3" t="s">
        <v>227</v>
      </c>
      <c r="H3" s="75">
        <f ca="1">TODAY()</f>
        <v>43012</v>
      </c>
    </row>
    <row r="5" spans="1:8" ht="17.25" x14ac:dyDescent="0.3">
      <c r="A5" s="86" t="s">
        <v>6</v>
      </c>
      <c r="B5" s="86" t="s">
        <v>5</v>
      </c>
      <c r="C5" s="86" t="s">
        <v>163</v>
      </c>
      <c r="D5" s="87" t="s">
        <v>139</v>
      </c>
      <c r="E5" s="88" t="s">
        <v>164</v>
      </c>
      <c r="F5" s="86" t="s">
        <v>168</v>
      </c>
    </row>
    <row r="6" spans="1:8" ht="17.25" x14ac:dyDescent="0.3">
      <c r="A6" s="40">
        <v>1</v>
      </c>
      <c r="B6" s="40" t="s">
        <v>52</v>
      </c>
      <c r="C6" s="40" t="s">
        <v>154</v>
      </c>
      <c r="D6" s="72">
        <v>34475</v>
      </c>
      <c r="E6" s="72">
        <f ca="1">IF(D6="","",DATE(YEAR(TODAY()),MONTH(D6),DAY(D6)))</f>
        <v>42876</v>
      </c>
      <c r="F6" s="40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40">
        <v>2</v>
      </c>
      <c r="B7" s="40" t="s">
        <v>54</v>
      </c>
      <c r="C7" s="40" t="s">
        <v>154</v>
      </c>
      <c r="D7" s="72">
        <v>34387</v>
      </c>
      <c r="E7" s="72">
        <f t="shared" ref="E7:E21" ca="1" si="0">IF(D7="","",DATE(YEAR(TODAY()),MONTH(D7),DAY(D7)))</f>
        <v>42788</v>
      </c>
      <c r="F7" s="40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40">
        <v>3</v>
      </c>
      <c r="B8" s="40" t="s">
        <v>55</v>
      </c>
      <c r="C8" s="40" t="s">
        <v>154</v>
      </c>
      <c r="D8" s="72">
        <v>34131</v>
      </c>
      <c r="E8" s="72">
        <f t="shared" ca="1" si="0"/>
        <v>42897</v>
      </c>
      <c r="F8" s="40" t="str">
        <f t="shared" ca="1" si="1"/>
        <v>Đã xong</v>
      </c>
    </row>
    <row r="9" spans="1:8" ht="17.25" x14ac:dyDescent="0.3">
      <c r="A9" s="82">
        <v>4</v>
      </c>
      <c r="B9" s="82" t="s">
        <v>59</v>
      </c>
      <c r="C9" s="82" t="s">
        <v>154</v>
      </c>
      <c r="D9" s="83">
        <v>34926</v>
      </c>
      <c r="E9" s="72">
        <f t="shared" ca="1" si="0"/>
        <v>42962</v>
      </c>
      <c r="F9" s="40" t="str">
        <f t="shared" ca="1" si="1"/>
        <v>Đã xong</v>
      </c>
    </row>
    <row r="10" spans="1:8" ht="17.25" x14ac:dyDescent="0.3">
      <c r="A10" s="40">
        <v>5</v>
      </c>
      <c r="B10" s="40" t="s">
        <v>61</v>
      </c>
      <c r="C10" s="40" t="s">
        <v>154</v>
      </c>
      <c r="D10" s="72">
        <v>35546</v>
      </c>
      <c r="E10" s="72">
        <f ca="1">IF(D10="","",DATE(YEAR(TODAY()),MONTH(D10),DAY(D10)))</f>
        <v>42851</v>
      </c>
      <c r="F10" s="40" t="str">
        <f t="shared" ca="1" si="1"/>
        <v>Đã xong</v>
      </c>
    </row>
    <row r="11" spans="1:8" ht="17.25" x14ac:dyDescent="0.3">
      <c r="A11" s="40">
        <v>6</v>
      </c>
      <c r="B11" s="40" t="s">
        <v>62</v>
      </c>
      <c r="C11" s="40" t="s">
        <v>154</v>
      </c>
      <c r="D11" s="72">
        <v>32300</v>
      </c>
      <c r="E11" s="72">
        <f t="shared" ca="1" si="0"/>
        <v>42892</v>
      </c>
      <c r="F11" s="40" t="str">
        <f t="shared" ca="1" si="1"/>
        <v>Đã xong</v>
      </c>
      <c r="G11" s="76"/>
    </row>
    <row r="12" spans="1:8" ht="17.25" x14ac:dyDescent="0.3">
      <c r="A12" s="40">
        <v>7</v>
      </c>
      <c r="B12" s="40" t="s">
        <v>63</v>
      </c>
      <c r="C12" s="40" t="s">
        <v>154</v>
      </c>
      <c r="D12" s="72">
        <v>35748</v>
      </c>
      <c r="E12" s="72">
        <f t="shared" ca="1" si="0"/>
        <v>43053</v>
      </c>
      <c r="F12" s="40" t="str">
        <f t="shared" ca="1" si="1"/>
        <v/>
      </c>
    </row>
    <row r="13" spans="1:8" ht="17.25" x14ac:dyDescent="0.3">
      <c r="A13" s="40">
        <v>8</v>
      </c>
      <c r="B13" s="40" t="s">
        <v>64</v>
      </c>
      <c r="C13" s="40" t="s">
        <v>154</v>
      </c>
      <c r="D13" s="72">
        <v>35756</v>
      </c>
      <c r="E13" s="72">
        <f t="shared" ca="1" si="0"/>
        <v>43061</v>
      </c>
      <c r="F13" s="40" t="str">
        <f t="shared" ca="1" si="1"/>
        <v/>
      </c>
    </row>
    <row r="14" spans="1:8" ht="17.25" x14ac:dyDescent="0.3">
      <c r="A14" s="40">
        <v>9</v>
      </c>
      <c r="B14" s="40" t="s">
        <v>65</v>
      </c>
      <c r="C14" s="40" t="s">
        <v>154</v>
      </c>
      <c r="D14" s="72">
        <v>35443</v>
      </c>
      <c r="E14" s="72">
        <f t="shared" ca="1" si="0"/>
        <v>42748</v>
      </c>
      <c r="F14" s="40" t="str">
        <f t="shared" ca="1" si="1"/>
        <v>Đã xong</v>
      </c>
    </row>
    <row r="15" spans="1:8" ht="18" thickBot="1" x14ac:dyDescent="0.35">
      <c r="A15" s="97">
        <v>10</v>
      </c>
      <c r="B15" s="97" t="s">
        <v>135</v>
      </c>
      <c r="C15" s="97" t="s">
        <v>154</v>
      </c>
      <c r="D15" s="98">
        <v>35414</v>
      </c>
      <c r="E15" s="98">
        <f t="shared" ca="1" si="0"/>
        <v>43084</v>
      </c>
      <c r="F15" s="97" t="str">
        <f t="shared" ca="1" si="1"/>
        <v/>
      </c>
    </row>
    <row r="16" spans="1:8" ht="18" thickTop="1" x14ac:dyDescent="0.3">
      <c r="A16" s="92">
        <v>11</v>
      </c>
      <c r="B16" s="92" t="s">
        <v>111</v>
      </c>
      <c r="C16" s="92" t="s">
        <v>149</v>
      </c>
      <c r="D16" s="93">
        <v>35096</v>
      </c>
      <c r="E16" s="93">
        <f t="shared" ca="1" si="0"/>
        <v>42767</v>
      </c>
      <c r="F16" s="92" t="str">
        <f t="shared" ca="1" si="1"/>
        <v>Đã xong</v>
      </c>
    </row>
    <row r="17" spans="1:6" ht="17.25" x14ac:dyDescent="0.3">
      <c r="A17" s="40">
        <v>12</v>
      </c>
      <c r="B17" s="40" t="s">
        <v>57</v>
      </c>
      <c r="C17" s="40" t="s">
        <v>149</v>
      </c>
      <c r="D17" s="72">
        <v>34737</v>
      </c>
      <c r="E17" s="72">
        <f t="shared" ca="1" si="0"/>
        <v>42773</v>
      </c>
      <c r="F17" s="40" t="str">
        <f t="shared" ca="1" si="1"/>
        <v>Đã xong</v>
      </c>
    </row>
    <row r="18" spans="1:6" ht="17.25" x14ac:dyDescent="0.3">
      <c r="A18" s="82">
        <v>13</v>
      </c>
      <c r="B18" s="82" t="s">
        <v>58</v>
      </c>
      <c r="C18" s="82" t="s">
        <v>149</v>
      </c>
      <c r="D18" s="83">
        <v>35318</v>
      </c>
      <c r="E18" s="72">
        <f t="shared" ca="1" si="0"/>
        <v>42988</v>
      </c>
      <c r="F18" s="40" t="str">
        <f t="shared" ca="1" si="1"/>
        <v>Đã xong</v>
      </c>
    </row>
    <row r="19" spans="1:6" ht="17.25" x14ac:dyDescent="0.3">
      <c r="A19" s="40">
        <v>14</v>
      </c>
      <c r="B19" s="40" t="s">
        <v>21</v>
      </c>
      <c r="C19" s="40" t="s">
        <v>149</v>
      </c>
      <c r="D19" s="72">
        <v>34700</v>
      </c>
      <c r="E19" s="72">
        <f t="shared" ca="1" si="0"/>
        <v>42736</v>
      </c>
      <c r="F19" s="40" t="str">
        <f t="shared" ca="1" si="1"/>
        <v>Đã xong</v>
      </c>
    </row>
    <row r="20" spans="1:6" ht="17.25" x14ac:dyDescent="0.3">
      <c r="A20" s="40">
        <v>15</v>
      </c>
      <c r="B20" s="40" t="s">
        <v>60</v>
      </c>
      <c r="C20" s="40" t="s">
        <v>149</v>
      </c>
      <c r="D20" s="72">
        <v>35409</v>
      </c>
      <c r="E20" s="72">
        <f ca="1">IF(D20="","",DATE(YEAR(TODAY()),MONTH(D20),DAY(D20)))</f>
        <v>43079</v>
      </c>
      <c r="F20" s="40" t="str">
        <f t="shared" ca="1" si="1"/>
        <v/>
      </c>
    </row>
    <row r="21" spans="1:6" ht="17.25" x14ac:dyDescent="0.3">
      <c r="A21" s="40">
        <v>16</v>
      </c>
      <c r="B21" s="40" t="s">
        <v>66</v>
      </c>
      <c r="C21" s="40" t="s">
        <v>149</v>
      </c>
      <c r="D21" s="72">
        <v>35248</v>
      </c>
      <c r="E21" s="72">
        <f t="shared" ca="1" si="0"/>
        <v>42918</v>
      </c>
      <c r="F21" s="40" t="str">
        <f t="shared" ca="1" si="1"/>
        <v>Đã xong</v>
      </c>
    </row>
    <row r="22" spans="1:6" ht="18" thickBot="1" x14ac:dyDescent="0.35">
      <c r="A22" s="97">
        <v>17</v>
      </c>
      <c r="B22" s="99" t="s">
        <v>113</v>
      </c>
      <c r="C22" s="97" t="s">
        <v>149</v>
      </c>
      <c r="D22" s="98">
        <v>35166</v>
      </c>
      <c r="E22" s="98">
        <f ca="1">IF(D22="","",DATE(YEAR(TODAY()),MONTH(D22),DAY(D22)))</f>
        <v>42836</v>
      </c>
      <c r="F22" s="97" t="str">
        <f t="shared" ca="1" si="1"/>
        <v>Đã xong</v>
      </c>
    </row>
    <row r="23" spans="1:6" ht="18" thickTop="1" x14ac:dyDescent="0.3">
      <c r="A23" s="94">
        <v>18</v>
      </c>
      <c r="B23" s="92" t="s">
        <v>172</v>
      </c>
      <c r="C23" s="94" t="s">
        <v>174</v>
      </c>
      <c r="D23" s="95">
        <v>35376</v>
      </c>
      <c r="E23" s="93">
        <f t="shared" ref="E23:E24" ca="1" si="2">IF(D23="","",DATE(YEAR(TODAY()),MONTH(D23),DAY(D23)))</f>
        <v>43046</v>
      </c>
      <c r="F23" s="92" t="str">
        <f t="shared" ca="1" si="1"/>
        <v/>
      </c>
    </row>
    <row r="24" spans="1:6" ht="17.25" x14ac:dyDescent="0.3">
      <c r="A24" s="82">
        <v>19</v>
      </c>
      <c r="B24" s="40" t="s">
        <v>185</v>
      </c>
      <c r="C24" s="82" t="s">
        <v>174</v>
      </c>
      <c r="D24" s="89">
        <v>34341</v>
      </c>
      <c r="E24" s="72">
        <f t="shared" ca="1" si="2"/>
        <v>42742</v>
      </c>
      <c r="F24" s="40" t="str">
        <f t="shared" ca="1" si="1"/>
        <v>Đã xong</v>
      </c>
    </row>
    <row r="25" spans="1:6" ht="17.25" x14ac:dyDescent="0.3">
      <c r="A25" s="82">
        <v>20</v>
      </c>
      <c r="B25" s="40" t="s">
        <v>188</v>
      </c>
      <c r="C25" s="82" t="s">
        <v>174</v>
      </c>
      <c r="D25" s="89">
        <v>34728</v>
      </c>
      <c r="E25" s="72">
        <f ca="1">IF(D25="","",DATE(YEAR(TODAY()),MONTH(D25),DAY(D25)))</f>
        <v>42764</v>
      </c>
      <c r="F25" s="40" t="str">
        <f t="shared" ca="1" si="1"/>
        <v>Đã xong</v>
      </c>
    </row>
    <row r="26" spans="1:6" ht="17.25" x14ac:dyDescent="0.3">
      <c r="A26" s="82">
        <v>21</v>
      </c>
      <c r="B26" s="40" t="s">
        <v>190</v>
      </c>
      <c r="C26" s="82" t="s">
        <v>174</v>
      </c>
      <c r="D26" s="89">
        <v>35786</v>
      </c>
      <c r="E26" s="72">
        <f t="shared" ref="E26:E49" ca="1" si="3">IF(D26="","",DATE(YEAR(TODAY()),MONTH(D26),DAY(D26)))</f>
        <v>43091</v>
      </c>
      <c r="F26" s="40" t="str">
        <f t="shared" ca="1" si="1"/>
        <v/>
      </c>
    </row>
    <row r="27" spans="1:6" ht="17.25" x14ac:dyDescent="0.3">
      <c r="A27" s="82">
        <v>22</v>
      </c>
      <c r="B27" s="40" t="s">
        <v>192</v>
      </c>
      <c r="C27" s="82" t="s">
        <v>174</v>
      </c>
      <c r="D27" s="89">
        <v>35342</v>
      </c>
      <c r="E27" s="72">
        <f t="shared" ca="1" si="3"/>
        <v>43012</v>
      </c>
      <c r="F27" s="40" t="str">
        <f t="shared" ca="1" si="1"/>
        <v>Chuẩn bị tổ chức</v>
      </c>
    </row>
    <row r="28" spans="1:6" ht="17.25" x14ac:dyDescent="0.3">
      <c r="A28" s="82">
        <v>23</v>
      </c>
      <c r="B28" s="40" t="s">
        <v>198</v>
      </c>
      <c r="C28" s="82" t="s">
        <v>174</v>
      </c>
      <c r="D28" s="89">
        <v>35695</v>
      </c>
      <c r="E28" s="72">
        <f t="shared" ca="1" si="3"/>
        <v>43000</v>
      </c>
      <c r="F28" s="40" t="str">
        <f t="shared" ca="1" si="1"/>
        <v>Đã xong</v>
      </c>
    </row>
    <row r="29" spans="1:6" ht="17.25" x14ac:dyDescent="0.3">
      <c r="A29" s="82">
        <v>24</v>
      </c>
      <c r="B29" s="40" t="s">
        <v>202</v>
      </c>
      <c r="C29" s="82" t="s">
        <v>174</v>
      </c>
      <c r="D29" s="89">
        <v>34851</v>
      </c>
      <c r="E29" s="72">
        <f t="shared" ca="1" si="3"/>
        <v>42887</v>
      </c>
      <c r="F29" s="40" t="str">
        <f t="shared" ca="1" si="1"/>
        <v>Đã xong</v>
      </c>
    </row>
    <row r="30" spans="1:6" ht="17.25" x14ac:dyDescent="0.3">
      <c r="A30" s="82">
        <v>25</v>
      </c>
      <c r="B30" s="40" t="s">
        <v>203</v>
      </c>
      <c r="C30" s="82" t="s">
        <v>174</v>
      </c>
      <c r="D30" s="89">
        <v>35353</v>
      </c>
      <c r="E30" s="72">
        <f t="shared" ca="1" si="3"/>
        <v>43023</v>
      </c>
      <c r="F30" s="40" t="str">
        <f t="shared" ca="1" si="1"/>
        <v>Trong tháng có SN</v>
      </c>
    </row>
    <row r="31" spans="1:6" ht="17.25" x14ac:dyDescent="0.3">
      <c r="A31" s="82">
        <v>26</v>
      </c>
      <c r="B31" s="40" t="s">
        <v>205</v>
      </c>
      <c r="C31" s="82" t="s">
        <v>174</v>
      </c>
      <c r="D31" s="89">
        <v>35486</v>
      </c>
      <c r="E31" s="72">
        <f t="shared" ca="1" si="3"/>
        <v>42791</v>
      </c>
      <c r="F31" s="40" t="str">
        <f t="shared" ca="1" si="1"/>
        <v>Đã xong</v>
      </c>
    </row>
    <row r="32" spans="1:6" ht="17.25" x14ac:dyDescent="0.3">
      <c r="A32" s="82">
        <v>27</v>
      </c>
      <c r="B32" s="40" t="s">
        <v>206</v>
      </c>
      <c r="C32" s="82" t="s">
        <v>174</v>
      </c>
      <c r="D32" s="89">
        <v>36260</v>
      </c>
      <c r="E32" s="72">
        <f t="shared" ca="1" si="3"/>
        <v>42835</v>
      </c>
      <c r="F32" s="40" t="str">
        <f t="shared" ca="1" si="1"/>
        <v>Đã xong</v>
      </c>
    </row>
    <row r="33" spans="1:6" ht="17.25" x14ac:dyDescent="0.3">
      <c r="A33" s="82">
        <v>28</v>
      </c>
      <c r="B33" s="40" t="s">
        <v>207</v>
      </c>
      <c r="C33" s="82" t="s">
        <v>174</v>
      </c>
      <c r="D33" s="89">
        <v>35883</v>
      </c>
      <c r="E33" s="72">
        <f t="shared" ca="1" si="3"/>
        <v>42823</v>
      </c>
      <c r="F33" s="40" t="str">
        <f t="shared" ca="1" si="1"/>
        <v>Đã xong</v>
      </c>
    </row>
    <row r="34" spans="1:6" ht="17.25" x14ac:dyDescent="0.3">
      <c r="A34" s="82">
        <v>29</v>
      </c>
      <c r="B34" s="90" t="s">
        <v>63</v>
      </c>
      <c r="C34" s="82" t="s">
        <v>174</v>
      </c>
      <c r="D34" s="91">
        <v>35748</v>
      </c>
      <c r="E34" s="72">
        <f t="shared" ca="1" si="3"/>
        <v>43053</v>
      </c>
      <c r="F34" s="40" t="str">
        <f t="shared" ca="1" si="1"/>
        <v/>
      </c>
    </row>
    <row r="35" spans="1:6" ht="17.25" x14ac:dyDescent="0.3">
      <c r="A35" s="82">
        <v>30</v>
      </c>
      <c r="B35" s="40" t="s">
        <v>210</v>
      </c>
      <c r="C35" s="82" t="s">
        <v>174</v>
      </c>
      <c r="D35" s="89">
        <v>34359</v>
      </c>
      <c r="E35" s="72">
        <f t="shared" ca="1" si="3"/>
        <v>42760</v>
      </c>
      <c r="F35" s="40" t="str">
        <f t="shared" ca="1" si="1"/>
        <v>Đã xong</v>
      </c>
    </row>
    <row r="36" spans="1:6" ht="17.25" x14ac:dyDescent="0.3">
      <c r="A36" s="82">
        <v>31</v>
      </c>
      <c r="B36" s="40" t="s">
        <v>220</v>
      </c>
      <c r="C36" s="82" t="s">
        <v>174</v>
      </c>
      <c r="D36" s="89">
        <v>34989</v>
      </c>
      <c r="E36" s="72">
        <f t="shared" ca="1" si="3"/>
        <v>43025</v>
      </c>
      <c r="F36" s="40" t="str">
        <f t="shared" ca="1" si="1"/>
        <v>Trong tháng có SN</v>
      </c>
    </row>
    <row r="37" spans="1:6" ht="17.25" x14ac:dyDescent="0.3">
      <c r="A37" s="82">
        <v>32</v>
      </c>
      <c r="B37" s="40" t="s">
        <v>222</v>
      </c>
      <c r="C37" s="82" t="s">
        <v>174</v>
      </c>
      <c r="D37" s="89">
        <v>36367</v>
      </c>
      <c r="E37" s="72">
        <f t="shared" ca="1" si="3"/>
        <v>42942</v>
      </c>
      <c r="F37" s="40" t="str">
        <f t="shared" ca="1" si="1"/>
        <v>Đã xong</v>
      </c>
    </row>
    <row r="38" spans="1:6" ht="17.25" x14ac:dyDescent="0.3">
      <c r="A38" s="82">
        <v>33</v>
      </c>
      <c r="B38" s="40" t="s">
        <v>225</v>
      </c>
      <c r="C38" s="82" t="s">
        <v>174</v>
      </c>
      <c r="D38" s="89">
        <v>35708</v>
      </c>
      <c r="E38" s="72">
        <f t="shared" ca="1" si="3"/>
        <v>43013</v>
      </c>
      <c r="F38" s="40" t="str">
        <f t="shared" ca="1" si="1"/>
        <v>Chuẩn bị tổ chức</v>
      </c>
    </row>
    <row r="39" spans="1:6" ht="17.25" x14ac:dyDescent="0.3">
      <c r="A39" s="82">
        <v>34</v>
      </c>
      <c r="B39" s="40" t="s">
        <v>226</v>
      </c>
      <c r="C39" s="82" t="s">
        <v>174</v>
      </c>
      <c r="D39" s="89">
        <v>35386</v>
      </c>
      <c r="E39" s="72">
        <f t="shared" ca="1" si="3"/>
        <v>43056</v>
      </c>
      <c r="F39" s="40" t="str">
        <f t="shared" ca="1" si="1"/>
        <v/>
      </c>
    </row>
    <row r="40" spans="1:6" ht="17.25" x14ac:dyDescent="0.3">
      <c r="A40" s="82">
        <v>35</v>
      </c>
      <c r="B40" s="40" t="s">
        <v>228</v>
      </c>
      <c r="C40" s="82" t="s">
        <v>174</v>
      </c>
      <c r="D40" s="89">
        <v>34581</v>
      </c>
      <c r="E40" s="114">
        <f t="shared" ca="1" si="3"/>
        <v>42982</v>
      </c>
      <c r="F40" s="40" t="str">
        <f t="shared" ca="1" si="1"/>
        <v>Đã xong</v>
      </c>
    </row>
    <row r="41" spans="1:6" ht="18" thickBot="1" x14ac:dyDescent="0.35">
      <c r="A41" s="96">
        <v>36</v>
      </c>
      <c r="B41" s="97" t="s">
        <v>248</v>
      </c>
      <c r="C41" s="96" t="s">
        <v>174</v>
      </c>
      <c r="D41" s="116">
        <v>35400</v>
      </c>
      <c r="E41" s="115">
        <f t="shared" ca="1" si="3"/>
        <v>43070</v>
      </c>
      <c r="F41" s="97" t="str">
        <f t="shared" ca="1" si="1"/>
        <v/>
      </c>
    </row>
    <row r="42" spans="1:6" ht="18" thickTop="1" x14ac:dyDescent="0.3">
      <c r="A42" s="101">
        <v>37</v>
      </c>
      <c r="B42" s="108" t="s">
        <v>193</v>
      </c>
      <c r="C42" s="109" t="s">
        <v>176</v>
      </c>
      <c r="D42" s="110"/>
      <c r="E42" s="117" t="str">
        <f t="shared" ca="1" si="3"/>
        <v/>
      </c>
      <c r="F42" s="92" t="str">
        <f t="shared" ca="1" si="1"/>
        <v/>
      </c>
    </row>
    <row r="43" spans="1:6" ht="17.25" x14ac:dyDescent="0.3">
      <c r="A43" s="101">
        <v>38</v>
      </c>
      <c r="B43" s="105" t="s">
        <v>195</v>
      </c>
      <c r="C43" s="106" t="s">
        <v>176</v>
      </c>
      <c r="D43" s="107"/>
      <c r="E43" s="107" t="str">
        <f t="shared" ca="1" si="3"/>
        <v/>
      </c>
      <c r="F43" s="40" t="str">
        <f t="shared" ca="1" si="1"/>
        <v/>
      </c>
    </row>
    <row r="44" spans="1:6" ht="17.25" x14ac:dyDescent="0.3">
      <c r="A44" s="102">
        <v>39</v>
      </c>
      <c r="B44" s="105" t="s">
        <v>196</v>
      </c>
      <c r="C44" s="106" t="s">
        <v>176</v>
      </c>
      <c r="D44" s="107">
        <v>34836</v>
      </c>
      <c r="E44" s="107">
        <f t="shared" ca="1" si="3"/>
        <v>42872</v>
      </c>
      <c r="F44" s="40" t="str">
        <f t="shared" ca="1" si="1"/>
        <v>Đã xong</v>
      </c>
    </row>
    <row r="45" spans="1:6" ht="17.25" x14ac:dyDescent="0.3">
      <c r="A45" s="100">
        <v>40</v>
      </c>
      <c r="B45" s="105" t="s">
        <v>200</v>
      </c>
      <c r="C45" s="106" t="s">
        <v>176</v>
      </c>
      <c r="D45" s="107">
        <v>35318</v>
      </c>
      <c r="E45" s="107">
        <f t="shared" ca="1" si="3"/>
        <v>42988</v>
      </c>
      <c r="F45" s="40" t="str">
        <f t="shared" ca="1" si="1"/>
        <v>Đã xong</v>
      </c>
    </row>
    <row r="46" spans="1:6" ht="17.25" x14ac:dyDescent="0.3">
      <c r="A46" s="103">
        <v>41</v>
      </c>
      <c r="B46" s="105" t="s">
        <v>229</v>
      </c>
      <c r="C46" s="106" t="s">
        <v>176</v>
      </c>
      <c r="D46" s="107">
        <v>34841</v>
      </c>
      <c r="E46" s="107">
        <f t="shared" ca="1" si="3"/>
        <v>42877</v>
      </c>
      <c r="F46" s="40" t="str">
        <f t="shared" ca="1" si="1"/>
        <v>Đã xong</v>
      </c>
    </row>
    <row r="47" spans="1:6" ht="17.25" x14ac:dyDescent="0.3">
      <c r="A47" s="101">
        <v>42</v>
      </c>
      <c r="B47" s="105" t="s">
        <v>230</v>
      </c>
      <c r="C47" s="106" t="s">
        <v>176</v>
      </c>
      <c r="D47" s="107">
        <v>35146</v>
      </c>
      <c r="E47" s="107">
        <f t="shared" ca="1" si="3"/>
        <v>42816</v>
      </c>
      <c r="F47" s="40" t="str">
        <f t="shared" ca="1" si="1"/>
        <v>Đã xong</v>
      </c>
    </row>
    <row r="48" spans="1:6" ht="17.25" x14ac:dyDescent="0.3">
      <c r="A48" s="101">
        <v>43</v>
      </c>
      <c r="B48" s="106" t="s">
        <v>231</v>
      </c>
      <c r="C48" s="106" t="s">
        <v>176</v>
      </c>
      <c r="D48" s="107">
        <v>35694</v>
      </c>
      <c r="E48" s="107">
        <f t="shared" ca="1" si="3"/>
        <v>42999</v>
      </c>
      <c r="F48" s="40" t="str">
        <f t="shared" ca="1" si="1"/>
        <v>Đã xong</v>
      </c>
    </row>
    <row r="49" spans="1:6" ht="18" thickBot="1" x14ac:dyDescent="0.35">
      <c r="A49" s="104">
        <v>44</v>
      </c>
      <c r="B49" s="111" t="s">
        <v>232</v>
      </c>
      <c r="C49" s="112" t="s">
        <v>176</v>
      </c>
      <c r="D49" s="113"/>
      <c r="E49" s="115" t="str">
        <f t="shared" ca="1" si="3"/>
        <v/>
      </c>
      <c r="F49" s="97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H4" activePane="bottomRight" state="frozen"/>
      <selection activeCell="P4" sqref="P4:Q4"/>
      <selection pane="topRight" activeCell="P4" sqref="P4:Q4"/>
      <selection pane="bottomLeft" activeCell="P4" sqref="P4:Q4"/>
      <selection pane="bottomRight" activeCell="Q5" sqref="Q5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179" t="s">
        <v>7</v>
      </c>
      <c r="K2" s="179"/>
      <c r="L2" s="179"/>
      <c r="M2" s="179"/>
      <c r="N2" s="180" t="s">
        <v>8</v>
      </c>
      <c r="O2" s="180"/>
      <c r="P2" s="180"/>
      <c r="Q2" s="178" t="s">
        <v>9</v>
      </c>
      <c r="R2" s="178" t="s">
        <v>10</v>
      </c>
      <c r="S2" s="178" t="s">
        <v>11</v>
      </c>
      <c r="T2" s="178" t="s">
        <v>12</v>
      </c>
      <c r="U2" s="178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78"/>
      <c r="R3" s="178"/>
      <c r="S3" s="178"/>
      <c r="T3" s="178"/>
      <c r="U3" s="178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4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L16" sqref="BL1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88" t="s">
        <v>6</v>
      </c>
      <c r="B3" s="188" t="s">
        <v>5</v>
      </c>
      <c r="C3" s="24"/>
      <c r="D3" s="24"/>
      <c r="E3" s="24"/>
      <c r="F3" s="24"/>
      <c r="G3" s="190"/>
      <c r="H3" s="190"/>
      <c r="I3" s="190"/>
      <c r="J3" s="187"/>
      <c r="K3" s="182"/>
      <c r="L3" s="183"/>
      <c r="M3" s="187"/>
      <c r="N3" s="182"/>
      <c r="O3" s="183"/>
      <c r="P3" s="187"/>
      <c r="Q3" s="182"/>
      <c r="R3" s="183"/>
      <c r="S3" s="187"/>
      <c r="T3" s="182"/>
      <c r="U3" s="183"/>
      <c r="V3" s="187"/>
      <c r="W3" s="182"/>
      <c r="X3" s="183"/>
      <c r="Y3" s="187"/>
      <c r="Z3" s="182"/>
      <c r="AA3" s="183"/>
      <c r="AB3" s="187"/>
      <c r="AC3" s="182"/>
      <c r="AD3" s="183"/>
      <c r="AE3" s="187"/>
      <c r="AF3" s="182"/>
      <c r="AG3" s="183"/>
      <c r="AH3" s="187"/>
      <c r="AI3" s="182"/>
      <c r="AJ3" s="183"/>
      <c r="AK3" s="187"/>
      <c r="AL3" s="182"/>
      <c r="AM3" s="183"/>
      <c r="AN3" s="187"/>
      <c r="AO3" s="182"/>
      <c r="AP3" s="183"/>
      <c r="AQ3" s="187"/>
      <c r="AR3" s="182"/>
      <c r="AS3" s="183"/>
      <c r="AT3" s="187"/>
      <c r="AU3" s="182"/>
      <c r="AV3" s="183"/>
      <c r="AW3" s="187"/>
      <c r="AX3" s="182"/>
      <c r="AY3" s="183"/>
      <c r="AZ3" s="187"/>
      <c r="BA3" s="182"/>
      <c r="BB3" s="183"/>
      <c r="BC3" s="184" t="s">
        <v>116</v>
      </c>
      <c r="BD3" s="185"/>
      <c r="BE3" s="186"/>
      <c r="BF3" s="181">
        <v>42930</v>
      </c>
      <c r="BG3" s="182"/>
      <c r="BH3" s="183"/>
      <c r="BI3" s="187" t="s">
        <v>147</v>
      </c>
      <c r="BJ3" s="182"/>
      <c r="BK3" s="183"/>
      <c r="BL3" s="187" t="s">
        <v>148</v>
      </c>
      <c r="BM3" s="182"/>
      <c r="BN3" s="183"/>
      <c r="BO3" s="187" t="s">
        <v>170</v>
      </c>
      <c r="BP3" s="182"/>
      <c r="BQ3" s="183"/>
      <c r="BR3" s="181">
        <v>42940</v>
      </c>
      <c r="BS3" s="182"/>
      <c r="BT3" s="183"/>
      <c r="BU3" s="181">
        <v>42942</v>
      </c>
      <c r="BV3" s="182"/>
      <c r="BW3" s="183"/>
      <c r="BX3" s="181">
        <v>42944</v>
      </c>
      <c r="BY3" s="182"/>
      <c r="BZ3" s="183"/>
      <c r="CA3" s="181">
        <v>42947</v>
      </c>
      <c r="CB3" s="182"/>
      <c r="CC3" s="183"/>
      <c r="CD3" s="26"/>
    </row>
    <row r="4" spans="1:82" s="17" customFormat="1" ht="21" customHeight="1" x14ac:dyDescent="0.25">
      <c r="A4" s="189"/>
      <c r="B4" s="189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7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1" t="s">
        <v>0</v>
      </c>
      <c r="BS5" s="41" t="s">
        <v>0</v>
      </c>
      <c r="BT5" s="41"/>
      <c r="BU5" s="18"/>
      <c r="BV5" s="18"/>
      <c r="BW5" s="18"/>
      <c r="BX5" s="26"/>
      <c r="BY5" s="26"/>
      <c r="BZ5" s="26"/>
      <c r="CA5" s="55" t="s">
        <v>0</v>
      </c>
      <c r="CB5" s="55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7"/>
      <c r="BI6" s="24"/>
      <c r="BJ6" s="24"/>
      <c r="BK6" s="24"/>
      <c r="BL6" s="24"/>
      <c r="BM6" s="24"/>
      <c r="BN6" s="24"/>
      <c r="BO6" s="24"/>
      <c r="BP6" s="24"/>
      <c r="BQ6" s="24"/>
      <c r="BR6" s="41" t="s">
        <v>0</v>
      </c>
      <c r="BS6" s="41" t="s">
        <v>0</v>
      </c>
      <c r="BT6" s="41"/>
      <c r="BU6" s="18"/>
      <c r="BV6" s="18"/>
      <c r="BW6" s="18"/>
      <c r="BX6" s="26"/>
      <c r="BY6" s="26"/>
      <c r="BZ6" s="26"/>
      <c r="CA6" s="55" t="s">
        <v>0</v>
      </c>
      <c r="CB6" s="55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7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1" t="s">
        <v>0</v>
      </c>
      <c r="BS7" s="41" t="s">
        <v>0</v>
      </c>
      <c r="BT7" s="41" t="s">
        <v>0</v>
      </c>
      <c r="BU7" s="18"/>
      <c r="BV7" s="18"/>
      <c r="BW7" s="18"/>
      <c r="BX7" s="26"/>
      <c r="BY7" s="26"/>
      <c r="BZ7" s="26"/>
      <c r="CA7" s="55" t="s">
        <v>0</v>
      </c>
      <c r="CB7" s="55" t="s">
        <v>0</v>
      </c>
      <c r="CC7" s="55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7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1" t="s">
        <v>0</v>
      </c>
      <c r="BS8" s="41" t="s">
        <v>0</v>
      </c>
      <c r="BT8" s="41" t="s">
        <v>0</v>
      </c>
      <c r="BU8" s="18"/>
      <c r="BV8" s="18"/>
      <c r="BW8" s="18"/>
      <c r="BX8" s="26"/>
      <c r="BY8" s="26"/>
      <c r="BZ8" s="26"/>
      <c r="CA8" s="55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7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1" t="s">
        <v>0</v>
      </c>
      <c r="BS9" s="41" t="s">
        <v>0</v>
      </c>
      <c r="BT9" s="41" t="s">
        <v>0</v>
      </c>
      <c r="BU9" s="18"/>
      <c r="BV9" s="18"/>
      <c r="BW9" s="18"/>
      <c r="BX9" s="26"/>
      <c r="BY9" s="26"/>
      <c r="BZ9" s="26"/>
      <c r="CA9" s="55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7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1" t="s">
        <v>0</v>
      </c>
      <c r="BS10" s="41" t="s">
        <v>0</v>
      </c>
      <c r="BT10" s="41" t="s">
        <v>0</v>
      </c>
      <c r="BU10" s="18"/>
      <c r="BV10" s="18"/>
      <c r="BW10" s="18"/>
      <c r="BX10" s="26"/>
      <c r="BY10" s="26"/>
      <c r="BZ10" s="26"/>
      <c r="CA10" s="55" t="s">
        <v>0</v>
      </c>
      <c r="CB10" s="55" t="s">
        <v>0</v>
      </c>
      <c r="CC10" s="26"/>
      <c r="CD10" s="26"/>
    </row>
    <row r="11" spans="1:82" s="47" customFormat="1" ht="21" customHeight="1" x14ac:dyDescent="0.3">
      <c r="A11" s="42">
        <v>7</v>
      </c>
      <c r="B11" s="42" t="s">
        <v>63</v>
      </c>
      <c r="C11" s="43"/>
      <c r="D11" s="44"/>
      <c r="E11" s="44"/>
      <c r="F11" s="44"/>
      <c r="G11" s="44" t="s">
        <v>0</v>
      </c>
      <c r="H11" s="44" t="s">
        <v>0</v>
      </c>
      <c r="I11" s="44" t="s">
        <v>0</v>
      </c>
      <c r="J11" s="44" t="s">
        <v>0</v>
      </c>
      <c r="K11" s="44" t="s">
        <v>0</v>
      </c>
      <c r="L11" s="44"/>
      <c r="M11" s="44" t="s">
        <v>0</v>
      </c>
      <c r="N11" s="44" t="s">
        <v>0</v>
      </c>
      <c r="O11" s="44"/>
      <c r="P11" s="44" t="s">
        <v>0</v>
      </c>
      <c r="Q11" s="44" t="s">
        <v>0</v>
      </c>
      <c r="R11" s="44"/>
      <c r="S11" s="44" t="s">
        <v>0</v>
      </c>
      <c r="T11" s="44" t="s">
        <v>0</v>
      </c>
      <c r="U11" s="44" t="s">
        <v>0</v>
      </c>
      <c r="V11" s="44" t="s">
        <v>0</v>
      </c>
      <c r="W11" s="44" t="s">
        <v>0</v>
      </c>
      <c r="X11" s="44"/>
      <c r="Y11" s="44" t="s">
        <v>0</v>
      </c>
      <c r="Z11" s="44" t="s">
        <v>0</v>
      </c>
      <c r="AA11" s="44"/>
      <c r="AB11" s="44" t="s">
        <v>0</v>
      </c>
      <c r="AC11" s="44" t="s">
        <v>0</v>
      </c>
      <c r="AD11" s="44"/>
      <c r="AE11" s="44" t="s">
        <v>0</v>
      </c>
      <c r="AF11" s="44" t="s">
        <v>0</v>
      </c>
      <c r="AG11" s="44" t="s">
        <v>0</v>
      </c>
      <c r="AH11" s="44" t="s">
        <v>0</v>
      </c>
      <c r="AI11" s="44" t="s">
        <v>0</v>
      </c>
      <c r="AJ11" s="44"/>
      <c r="AK11" s="44" t="s">
        <v>0</v>
      </c>
      <c r="AL11" s="44" t="s">
        <v>0</v>
      </c>
      <c r="AM11" s="44"/>
      <c r="AN11" s="44" t="s">
        <v>0</v>
      </c>
      <c r="AO11" s="44" t="s">
        <v>0</v>
      </c>
      <c r="AP11" s="44" t="s">
        <v>0</v>
      </c>
      <c r="AQ11" s="44" t="s">
        <v>0</v>
      </c>
      <c r="AR11" s="44" t="s">
        <v>0</v>
      </c>
      <c r="AS11" s="44"/>
      <c r="AT11" s="44" t="s">
        <v>0</v>
      </c>
      <c r="AU11" s="44" t="s">
        <v>0</v>
      </c>
      <c r="AV11" s="44"/>
      <c r="AW11" s="44" t="s">
        <v>0</v>
      </c>
      <c r="AX11" s="44" t="s">
        <v>0</v>
      </c>
      <c r="AY11" s="44" t="s">
        <v>0</v>
      </c>
      <c r="AZ11" s="44" t="s">
        <v>0</v>
      </c>
      <c r="BA11" s="44" t="s">
        <v>0</v>
      </c>
      <c r="BB11" s="44"/>
      <c r="BC11" s="44" t="s">
        <v>53</v>
      </c>
      <c r="BD11" s="44" t="s">
        <v>53</v>
      </c>
      <c r="BE11" s="44" t="s">
        <v>53</v>
      </c>
      <c r="BF11" s="44"/>
      <c r="BG11" s="44"/>
      <c r="BH11" s="44" t="s">
        <v>0</v>
      </c>
      <c r="BI11" s="44" t="s">
        <v>53</v>
      </c>
      <c r="BJ11" s="44" t="s">
        <v>53</v>
      </c>
      <c r="BK11" s="44"/>
      <c r="BL11" s="44" t="s">
        <v>53</v>
      </c>
      <c r="BM11" s="44" t="s">
        <v>53</v>
      </c>
      <c r="BN11" s="44" t="s">
        <v>53</v>
      </c>
      <c r="BO11" s="44" t="s">
        <v>0</v>
      </c>
      <c r="BP11" s="44" t="s">
        <v>0</v>
      </c>
      <c r="BQ11" s="44" t="s">
        <v>0</v>
      </c>
      <c r="BR11" s="44"/>
      <c r="BS11" s="44"/>
      <c r="BT11" s="44"/>
      <c r="BU11" s="45"/>
      <c r="BV11" s="45"/>
      <c r="BW11" s="45"/>
      <c r="BX11" s="46"/>
      <c r="BY11" s="46"/>
      <c r="BZ11" s="46"/>
      <c r="CA11" s="46"/>
      <c r="CB11" s="46"/>
      <c r="CC11" s="46"/>
      <c r="CD11" s="46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1"/>
      <c r="BS12" s="41" t="s">
        <v>0</v>
      </c>
      <c r="BT12" s="41"/>
      <c r="BU12" s="18"/>
      <c r="BV12" s="18"/>
      <c r="BW12" s="18"/>
      <c r="BX12" s="26"/>
      <c r="BY12" s="26"/>
      <c r="BZ12" s="26"/>
      <c r="CA12" s="55" t="s">
        <v>0</v>
      </c>
      <c r="CB12" s="55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5" t="s">
        <v>0</v>
      </c>
      <c r="CB13" s="55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5" t="s">
        <v>0</v>
      </c>
      <c r="CB14" s="55" t="s">
        <v>0</v>
      </c>
      <c r="CC14" s="55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D1" sqref="D1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330</v>
      </c>
    </row>
    <row r="2" spans="1:21" ht="15.75" x14ac:dyDescent="0.25">
      <c r="J2" s="179" t="s">
        <v>7</v>
      </c>
      <c r="K2" s="179"/>
      <c r="L2" s="179"/>
      <c r="M2" s="179"/>
      <c r="N2" s="180" t="s">
        <v>8</v>
      </c>
      <c r="O2" s="180"/>
      <c r="P2" s="180"/>
      <c r="Q2" s="178" t="s">
        <v>9</v>
      </c>
      <c r="R2" s="178" t="s">
        <v>10</v>
      </c>
      <c r="S2" s="178" t="s">
        <v>11</v>
      </c>
      <c r="T2" s="178" t="s">
        <v>12</v>
      </c>
      <c r="U2" s="178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78"/>
      <c r="R3" s="178"/>
      <c r="S3" s="178"/>
      <c r="T3" s="178"/>
      <c r="U3" s="178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5" t="s">
        <v>123</v>
      </c>
      <c r="F8" s="1" t="s">
        <v>82</v>
      </c>
      <c r="G8" s="1" t="s">
        <v>53</v>
      </c>
      <c r="H8" s="1" t="s">
        <v>0</v>
      </c>
      <c r="J8"/>
      <c r="K8"/>
      <c r="L8"/>
      <c r="M8"/>
      <c r="N8"/>
      <c r="O8"/>
      <c r="P8"/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J9"/>
      <c r="K9"/>
      <c r="L9"/>
      <c r="M9"/>
      <c r="N9"/>
      <c r="O9"/>
      <c r="P9"/>
    </row>
    <row r="10" spans="1:21" ht="21" customHeight="1" x14ac:dyDescent="0.3">
      <c r="A10" s="77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3" t="s">
        <v>53</v>
      </c>
      <c r="H10" s="33" t="s">
        <v>107</v>
      </c>
      <c r="J10"/>
      <c r="K10"/>
      <c r="L10"/>
      <c r="M10"/>
      <c r="N10"/>
      <c r="O10"/>
      <c r="P10"/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/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188" t="s">
        <v>6</v>
      </c>
      <c r="B3" s="188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190" t="s">
        <v>31</v>
      </c>
      <c r="H3" s="190"/>
      <c r="I3" s="190"/>
      <c r="J3" s="187" t="s">
        <v>32</v>
      </c>
      <c r="K3" s="182"/>
      <c r="L3" s="183"/>
      <c r="M3" s="187" t="s">
        <v>33</v>
      </c>
      <c r="N3" s="182"/>
      <c r="O3" s="183"/>
      <c r="P3" s="187" t="s">
        <v>34</v>
      </c>
      <c r="Q3" s="182"/>
      <c r="R3" s="183"/>
      <c r="S3" s="187" t="s">
        <v>35</v>
      </c>
      <c r="T3" s="182"/>
      <c r="U3" s="183"/>
      <c r="V3" s="187" t="s">
        <v>36</v>
      </c>
      <c r="W3" s="182"/>
      <c r="X3" s="183"/>
      <c r="Y3" s="187" t="s">
        <v>37</v>
      </c>
      <c r="Z3" s="182"/>
      <c r="AA3" s="183"/>
      <c r="AB3" s="187" t="s">
        <v>38</v>
      </c>
      <c r="AC3" s="182"/>
      <c r="AD3" s="183"/>
      <c r="AE3" s="187" t="s">
        <v>39</v>
      </c>
      <c r="AF3" s="182"/>
      <c r="AG3" s="183"/>
      <c r="AH3" s="187" t="s">
        <v>40</v>
      </c>
      <c r="AI3" s="182"/>
      <c r="AJ3" s="183"/>
      <c r="AK3" s="187" t="s">
        <v>41</v>
      </c>
      <c r="AL3" s="182"/>
      <c r="AM3" s="183"/>
      <c r="AN3" s="187" t="s">
        <v>42</v>
      </c>
      <c r="AO3" s="182"/>
      <c r="AP3" s="183"/>
      <c r="AQ3" s="187" t="s">
        <v>43</v>
      </c>
      <c r="AR3" s="182"/>
      <c r="AS3" s="183"/>
      <c r="AT3" s="187" t="s">
        <v>44</v>
      </c>
      <c r="AU3" s="182"/>
      <c r="AV3" s="183"/>
      <c r="AW3" s="187" t="s">
        <v>45</v>
      </c>
      <c r="AX3" s="182"/>
      <c r="AY3" s="183"/>
      <c r="AZ3" s="187" t="s">
        <v>46</v>
      </c>
      <c r="BA3" s="182"/>
      <c r="BB3" s="183"/>
      <c r="BC3" s="187" t="s">
        <v>47</v>
      </c>
      <c r="BD3" s="182"/>
      <c r="BE3" s="183"/>
      <c r="BF3" s="187" t="s">
        <v>48</v>
      </c>
      <c r="BG3" s="182"/>
      <c r="BH3" s="183"/>
      <c r="BI3" s="187" t="s">
        <v>49</v>
      </c>
      <c r="BJ3" s="182"/>
      <c r="BK3" s="183"/>
      <c r="BL3" s="187"/>
      <c r="BM3" s="182"/>
      <c r="BN3" s="183"/>
      <c r="BO3" s="187"/>
      <c r="BP3" s="182"/>
      <c r="BQ3" s="183"/>
      <c r="BR3" s="187"/>
      <c r="BS3" s="182"/>
      <c r="BT3" s="183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188"/>
      <c r="B4" s="188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F4" activePane="bottomRight" state="frozen"/>
      <selection activeCell="BA9" sqref="BA9"/>
      <selection pane="topRight" activeCell="BA9" sqref="BA9"/>
      <selection pane="bottomLeft" activeCell="BA9" sqref="BA9"/>
      <selection pane="bottomRight" activeCell="E1" sqref="E1"/>
    </sheetView>
  </sheetViews>
  <sheetFormatPr defaultRowHeight="18.75" x14ac:dyDescent="0.3"/>
  <cols>
    <col min="1" max="1" width="4.28515625" customWidth="1"/>
    <col min="2" max="2" width="26.5703125" customWidth="1"/>
    <col min="3" max="3" width="16.7109375" style="2" customWidth="1"/>
    <col min="4" max="4" width="22" style="34" customWidth="1"/>
    <col min="5" max="5" width="46.5703125" style="34" customWidth="1"/>
    <col min="6" max="6" width="26.140625" style="34" customWidth="1"/>
    <col min="7" max="7" width="15.5703125" style="49" customWidth="1"/>
    <col min="8" max="9" width="15.5703125" style="53" customWidth="1"/>
    <col min="10" max="10" width="19" style="56" customWidth="1"/>
    <col min="11" max="11" width="22.7109375" style="64" customWidth="1"/>
    <col min="12" max="12" width="22" customWidth="1"/>
    <col min="13" max="13" width="34.5703125" customWidth="1"/>
    <col min="14" max="14" width="10.7109375" bestFit="1" customWidth="1"/>
    <col min="15" max="20" width="9.140625" style="48"/>
    <col min="21" max="21" width="6.42578125" style="48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204</v>
      </c>
    </row>
    <row r="2" spans="1:26" x14ac:dyDescent="0.3">
      <c r="O2" s="179" t="s">
        <v>7</v>
      </c>
      <c r="P2" s="179"/>
      <c r="Q2" s="179"/>
      <c r="R2" s="179"/>
      <c r="S2" s="180" t="s">
        <v>8</v>
      </c>
      <c r="T2" s="180"/>
      <c r="U2" s="180"/>
      <c r="V2" s="178" t="s">
        <v>9</v>
      </c>
      <c r="W2" s="178" t="s">
        <v>10</v>
      </c>
      <c r="X2" s="178" t="s">
        <v>11</v>
      </c>
      <c r="Y2" s="178" t="s">
        <v>12</v>
      </c>
      <c r="Z2" s="178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4" t="s">
        <v>213</v>
      </c>
      <c r="K3" s="4" t="s">
        <v>214</v>
      </c>
      <c r="L3" s="4" t="s">
        <v>183</v>
      </c>
      <c r="M3" s="4" t="s">
        <v>173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178"/>
      <c r="W3" s="178"/>
      <c r="X3" s="178"/>
      <c r="Y3" s="178"/>
      <c r="Z3" s="178"/>
    </row>
    <row r="4" spans="1:26" s="1" customFormat="1" ht="21" customHeight="1" x14ac:dyDescent="0.3">
      <c r="A4" s="1">
        <v>1</v>
      </c>
      <c r="B4" s="1" t="s">
        <v>172</v>
      </c>
      <c r="C4" s="80">
        <v>35257</v>
      </c>
      <c r="D4" s="3" t="s">
        <v>186</v>
      </c>
      <c r="E4" s="3" t="s">
        <v>270</v>
      </c>
      <c r="F4" s="2" t="s">
        <v>89</v>
      </c>
      <c r="H4" s="66">
        <v>2100000</v>
      </c>
      <c r="I4" s="67">
        <v>0.3</v>
      </c>
      <c r="J4" s="66">
        <v>1470000</v>
      </c>
      <c r="K4" s="2"/>
      <c r="L4" s="2"/>
      <c r="M4" s="2" t="s">
        <v>182</v>
      </c>
    </row>
    <row r="5" spans="1:26" s="1" customFormat="1" ht="21" customHeight="1" x14ac:dyDescent="0.3">
      <c r="A5" s="1">
        <v>2</v>
      </c>
      <c r="B5" s="1" t="s">
        <v>185</v>
      </c>
      <c r="C5" s="80">
        <v>34516</v>
      </c>
      <c r="D5" s="3" t="s">
        <v>187</v>
      </c>
      <c r="E5" s="3" t="s">
        <v>255</v>
      </c>
      <c r="F5" s="2" t="s">
        <v>256</v>
      </c>
      <c r="H5" s="66">
        <v>2100000</v>
      </c>
      <c r="I5" s="67">
        <v>0.3</v>
      </c>
      <c r="J5" s="66">
        <v>1470000</v>
      </c>
      <c r="K5" s="2"/>
    </row>
    <row r="6" spans="1:26" s="1" customFormat="1" ht="21" customHeight="1" x14ac:dyDescent="0.3">
      <c r="A6" s="1">
        <v>3</v>
      </c>
      <c r="B6" s="1" t="s">
        <v>188</v>
      </c>
      <c r="C6" s="34" t="s">
        <v>257</v>
      </c>
      <c r="D6" s="57" t="s">
        <v>189</v>
      </c>
      <c r="E6" s="3" t="s">
        <v>258</v>
      </c>
      <c r="F6" s="34" t="s">
        <v>89</v>
      </c>
      <c r="G6" s="3"/>
      <c r="H6" s="66">
        <v>2100000</v>
      </c>
      <c r="I6" s="67">
        <v>0.3</v>
      </c>
      <c r="J6" s="66">
        <v>1470000</v>
      </c>
      <c r="K6" s="2"/>
    </row>
    <row r="7" spans="1:26" s="1" customFormat="1" ht="21" customHeight="1" x14ac:dyDescent="0.3">
      <c r="A7" s="1">
        <v>4</v>
      </c>
      <c r="B7" s="1" t="s">
        <v>190</v>
      </c>
      <c r="C7" s="34" t="s">
        <v>264</v>
      </c>
      <c r="D7" s="3" t="s">
        <v>191</v>
      </c>
      <c r="E7" s="3" t="s">
        <v>265</v>
      </c>
      <c r="F7" s="34"/>
      <c r="G7" s="3"/>
      <c r="H7" s="66">
        <v>2100000</v>
      </c>
      <c r="I7" s="67">
        <v>0.3</v>
      </c>
      <c r="J7" s="66">
        <v>1470000</v>
      </c>
      <c r="K7" s="2"/>
    </row>
    <row r="8" spans="1:26" s="125" customFormat="1" ht="21" customHeight="1" x14ac:dyDescent="0.3">
      <c r="A8" s="118">
        <v>5</v>
      </c>
      <c r="B8" s="118" t="s">
        <v>192</v>
      </c>
      <c r="C8" s="119">
        <v>35165</v>
      </c>
      <c r="D8" s="120" t="s">
        <v>274</v>
      </c>
      <c r="E8" s="120" t="s">
        <v>275</v>
      </c>
      <c r="F8" s="121" t="s">
        <v>89</v>
      </c>
      <c r="G8" s="120"/>
      <c r="H8" s="122">
        <v>2100000</v>
      </c>
      <c r="I8" s="123">
        <v>0.3</v>
      </c>
      <c r="J8" s="122">
        <v>1470000</v>
      </c>
      <c r="K8" s="124"/>
      <c r="L8" s="118"/>
      <c r="M8" s="118"/>
    </row>
    <row r="9" spans="1:26" ht="21" customHeight="1" x14ac:dyDescent="0.3">
      <c r="A9" s="1">
        <v>6</v>
      </c>
      <c r="B9" s="1" t="s">
        <v>198</v>
      </c>
      <c r="C9" s="34" t="s">
        <v>266</v>
      </c>
      <c r="D9" s="57" t="s">
        <v>199</v>
      </c>
      <c r="E9" s="3" t="s">
        <v>267</v>
      </c>
      <c r="F9" s="34" t="s">
        <v>69</v>
      </c>
      <c r="G9" s="3"/>
      <c r="H9" s="66">
        <v>2100000</v>
      </c>
      <c r="I9" s="67">
        <v>0.3</v>
      </c>
      <c r="J9" s="66">
        <v>1470000</v>
      </c>
      <c r="K9" s="2"/>
      <c r="L9" s="1"/>
      <c r="M9" s="1"/>
      <c r="O9"/>
      <c r="P9"/>
      <c r="Q9"/>
      <c r="R9"/>
      <c r="S9"/>
      <c r="T9"/>
      <c r="U9"/>
    </row>
    <row r="10" spans="1:26" x14ac:dyDescent="0.3">
      <c r="A10" s="1">
        <v>7</v>
      </c>
      <c r="B10" s="1" t="s">
        <v>202</v>
      </c>
      <c r="C10" s="80">
        <v>34705</v>
      </c>
      <c r="D10" s="78" t="s">
        <v>259</v>
      </c>
      <c r="E10" s="35" t="s">
        <v>260</v>
      </c>
      <c r="F10" s="34" t="s">
        <v>261</v>
      </c>
      <c r="H10" s="66">
        <v>2100000</v>
      </c>
      <c r="I10" s="67">
        <v>0.3</v>
      </c>
      <c r="J10" s="66">
        <v>1470000</v>
      </c>
      <c r="K10" s="2"/>
    </row>
    <row r="11" spans="1:26" ht="21" customHeight="1" x14ac:dyDescent="0.3">
      <c r="A11" s="1">
        <v>8</v>
      </c>
      <c r="B11" s="1" t="s">
        <v>203</v>
      </c>
      <c r="C11" s="34" t="s">
        <v>282</v>
      </c>
      <c r="D11" s="78" t="s">
        <v>283</v>
      </c>
      <c r="E11" s="35" t="s">
        <v>284</v>
      </c>
      <c r="G11" s="3"/>
      <c r="H11" s="66">
        <v>2100000</v>
      </c>
      <c r="I11" s="67">
        <v>0.3</v>
      </c>
      <c r="J11" s="66">
        <v>1470000</v>
      </c>
      <c r="K11" s="2"/>
      <c r="L11" s="1"/>
      <c r="M11" s="1"/>
      <c r="O11"/>
      <c r="P11"/>
      <c r="Q11"/>
      <c r="R11"/>
      <c r="S11"/>
      <c r="T11"/>
      <c r="U11"/>
    </row>
    <row r="12" spans="1:26" ht="21" customHeight="1" x14ac:dyDescent="0.3">
      <c r="A12" s="1">
        <v>9</v>
      </c>
      <c r="B12" s="1" t="s">
        <v>205</v>
      </c>
      <c r="C12" s="34" t="s">
        <v>278</v>
      </c>
      <c r="D12" s="78" t="s">
        <v>279</v>
      </c>
      <c r="E12" s="35" t="s">
        <v>281</v>
      </c>
      <c r="F12" s="34" t="s">
        <v>252</v>
      </c>
      <c r="G12" s="3"/>
      <c r="H12" s="34" t="s">
        <v>215</v>
      </c>
      <c r="I12" s="34" t="s">
        <v>215</v>
      </c>
      <c r="J12" s="2">
        <v>0</v>
      </c>
      <c r="K12" s="2" t="s">
        <v>216</v>
      </c>
      <c r="L12" s="1"/>
      <c r="M12" s="1"/>
      <c r="O12"/>
      <c r="P12"/>
      <c r="Q12"/>
      <c r="R12"/>
      <c r="S12"/>
      <c r="T12"/>
      <c r="U12"/>
    </row>
    <row r="13" spans="1:26" ht="21" customHeight="1" x14ac:dyDescent="0.3">
      <c r="A13" s="1">
        <v>10</v>
      </c>
      <c r="B13" s="1" t="s">
        <v>206</v>
      </c>
      <c r="C13" s="34" t="s">
        <v>285</v>
      </c>
      <c r="D13" s="78" t="s">
        <v>286</v>
      </c>
      <c r="E13" s="35" t="s">
        <v>287</v>
      </c>
      <c r="F13" s="2"/>
      <c r="G13" s="3"/>
      <c r="H13" s="34" t="s">
        <v>217</v>
      </c>
      <c r="I13" s="34" t="s">
        <v>218</v>
      </c>
      <c r="J13" s="66">
        <v>1470000</v>
      </c>
      <c r="K13" s="2"/>
      <c r="L13" s="1"/>
      <c r="M13" s="1"/>
      <c r="O13"/>
      <c r="P13"/>
      <c r="Q13"/>
      <c r="R13"/>
      <c r="S13"/>
      <c r="T13"/>
      <c r="U13"/>
    </row>
    <row r="14" spans="1:26" ht="21" customHeight="1" x14ac:dyDescent="0.3">
      <c r="A14" s="1">
        <v>11</v>
      </c>
      <c r="B14" s="1" t="s">
        <v>207</v>
      </c>
      <c r="C14" s="2" t="s">
        <v>268</v>
      </c>
      <c r="D14" s="78" t="s">
        <v>280</v>
      </c>
      <c r="E14" s="81" t="s">
        <v>269</v>
      </c>
      <c r="F14" s="34" t="s">
        <v>98</v>
      </c>
      <c r="H14" s="34" t="s">
        <v>217</v>
      </c>
      <c r="I14" s="34" t="s">
        <v>218</v>
      </c>
      <c r="J14" s="66">
        <v>1470000</v>
      </c>
      <c r="K14" s="2"/>
      <c r="O14"/>
      <c r="P14"/>
      <c r="Q14"/>
      <c r="R14"/>
      <c r="S14"/>
      <c r="T14"/>
      <c r="U14"/>
    </row>
    <row r="15" spans="1:26" s="59" customFormat="1" ht="21" customHeight="1" x14ac:dyDescent="0.25">
      <c r="A15" s="61">
        <v>12</v>
      </c>
      <c r="B15" s="62" t="s">
        <v>63</v>
      </c>
      <c r="C15" s="60" t="s">
        <v>85</v>
      </c>
      <c r="D15" s="79" t="s">
        <v>86</v>
      </c>
      <c r="E15" s="63" t="s">
        <v>125</v>
      </c>
      <c r="F15" s="60" t="s">
        <v>89</v>
      </c>
      <c r="G15" s="60" t="s">
        <v>53</v>
      </c>
      <c r="H15" s="60" t="s">
        <v>215</v>
      </c>
      <c r="I15" s="60" t="s">
        <v>215</v>
      </c>
      <c r="J15" s="61">
        <v>0</v>
      </c>
      <c r="K15" s="61" t="s">
        <v>219</v>
      </c>
      <c r="L15" s="60"/>
      <c r="M15" s="60"/>
      <c r="N15" s="60"/>
    </row>
    <row r="16" spans="1:26" s="155" customFormat="1" ht="21" customHeight="1" x14ac:dyDescent="0.3">
      <c r="A16" s="148">
        <v>13</v>
      </c>
      <c r="B16" s="148" t="s">
        <v>210</v>
      </c>
      <c r="C16" s="149" t="s">
        <v>289</v>
      </c>
      <c r="D16" s="150" t="s">
        <v>290</v>
      </c>
      <c r="E16" s="151" t="s">
        <v>291</v>
      </c>
      <c r="F16" s="152"/>
      <c r="G16" s="153"/>
      <c r="H16" s="152" t="s">
        <v>217</v>
      </c>
      <c r="I16" s="152" t="s">
        <v>218</v>
      </c>
      <c r="J16" s="154">
        <v>1470000</v>
      </c>
      <c r="K16" s="149"/>
      <c r="O16" s="156"/>
      <c r="P16" s="156"/>
      <c r="Q16" s="156"/>
      <c r="R16" s="156"/>
      <c r="S16" s="156"/>
      <c r="T16" s="156"/>
      <c r="U16" s="156"/>
    </row>
    <row r="17" spans="1:21" ht="21" customHeight="1" x14ac:dyDescent="0.3">
      <c r="A17" s="1">
        <v>14</v>
      </c>
      <c r="B17" s="1" t="s">
        <v>220</v>
      </c>
      <c r="C17" s="2" t="s">
        <v>250</v>
      </c>
      <c r="D17" s="78" t="s">
        <v>251</v>
      </c>
      <c r="E17" s="35"/>
      <c r="F17" s="34" t="s">
        <v>252</v>
      </c>
      <c r="G17" s="34"/>
      <c r="H17" s="34" t="s">
        <v>215</v>
      </c>
      <c r="I17" s="34" t="s">
        <v>215</v>
      </c>
      <c r="J17" s="2">
        <v>0</v>
      </c>
      <c r="K17" s="2" t="s">
        <v>221</v>
      </c>
    </row>
    <row r="18" spans="1:21" ht="21" customHeight="1" x14ac:dyDescent="0.3">
      <c r="A18" s="1">
        <v>15</v>
      </c>
      <c r="B18" s="1" t="s">
        <v>222</v>
      </c>
      <c r="C18" s="2" t="s">
        <v>253</v>
      </c>
      <c r="D18" s="78" t="s">
        <v>254</v>
      </c>
      <c r="E18" s="35"/>
      <c r="F18" s="34" t="s">
        <v>82</v>
      </c>
      <c r="H18" s="34" t="s">
        <v>215</v>
      </c>
      <c r="I18" s="34" t="s">
        <v>215</v>
      </c>
      <c r="J18" s="2">
        <v>0</v>
      </c>
      <c r="K18" s="2" t="s">
        <v>221</v>
      </c>
    </row>
    <row r="19" spans="1:21" s="155" customFormat="1" ht="21" customHeight="1" x14ac:dyDescent="0.3">
      <c r="A19" s="148">
        <v>16</v>
      </c>
      <c r="B19" s="148" t="s">
        <v>225</v>
      </c>
      <c r="C19" s="157">
        <v>35560</v>
      </c>
      <c r="D19" s="150" t="s">
        <v>263</v>
      </c>
      <c r="E19" s="151" t="s">
        <v>262</v>
      </c>
      <c r="F19" s="152" t="s">
        <v>69</v>
      </c>
      <c r="G19" s="153"/>
      <c r="H19" s="152" t="s">
        <v>217</v>
      </c>
      <c r="I19" s="152" t="s">
        <v>218</v>
      </c>
      <c r="J19" s="154">
        <v>1470000</v>
      </c>
      <c r="K19" s="156"/>
      <c r="O19" s="156"/>
      <c r="P19" s="156"/>
      <c r="Q19" s="156"/>
      <c r="R19" s="156"/>
      <c r="S19" s="156"/>
      <c r="T19" s="156"/>
      <c r="U19" s="156"/>
    </row>
    <row r="20" spans="1:21" x14ac:dyDescent="0.3">
      <c r="A20" s="1">
        <v>17</v>
      </c>
      <c r="B20" s="1" t="s">
        <v>226</v>
      </c>
      <c r="C20" s="2" t="s">
        <v>271</v>
      </c>
      <c r="D20" s="78" t="s">
        <v>272</v>
      </c>
      <c r="E20" s="35" t="s">
        <v>273</v>
      </c>
      <c r="F20" s="34" t="s">
        <v>89</v>
      </c>
      <c r="H20" s="34" t="s">
        <v>217</v>
      </c>
      <c r="I20" s="34" t="s">
        <v>218</v>
      </c>
      <c r="J20" s="66">
        <v>1470000</v>
      </c>
    </row>
    <row r="21" spans="1:21" x14ac:dyDescent="0.3">
      <c r="A21" s="1">
        <v>18</v>
      </c>
      <c r="B21" s="1" t="s">
        <v>228</v>
      </c>
      <c r="C21" s="80">
        <v>34433</v>
      </c>
      <c r="D21" s="78" t="s">
        <v>288</v>
      </c>
      <c r="E21" s="35" t="s">
        <v>265</v>
      </c>
      <c r="H21" s="34" t="s">
        <v>217</v>
      </c>
      <c r="I21" s="34" t="s">
        <v>218</v>
      </c>
      <c r="J21" s="66">
        <v>1470000</v>
      </c>
    </row>
    <row r="22" spans="1:21" x14ac:dyDescent="0.3">
      <c r="A22" s="1">
        <v>19</v>
      </c>
      <c r="B22" s="1" t="s">
        <v>248</v>
      </c>
      <c r="C22" s="80">
        <v>35076</v>
      </c>
      <c r="D22" s="78" t="s">
        <v>276</v>
      </c>
      <c r="E22" s="35" t="s">
        <v>277</v>
      </c>
      <c r="F22" s="34" t="s">
        <v>89</v>
      </c>
      <c r="H22" s="34" t="s">
        <v>217</v>
      </c>
      <c r="I22" s="34" t="s">
        <v>249</v>
      </c>
      <c r="J22" s="66">
        <v>1365000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8" customWidth="1"/>
    <col min="5" max="5" width="6.140625" style="48" hidden="1" customWidth="1"/>
    <col min="6" max="6" width="5.5703125" style="48" hidden="1" customWidth="1"/>
    <col min="7" max="20" width="6.28515625" style="48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88" t="s">
        <v>6</v>
      </c>
      <c r="B3" s="188" t="s">
        <v>5</v>
      </c>
      <c r="C3" s="65"/>
      <c r="D3" s="65"/>
      <c r="E3" s="65"/>
      <c r="F3" s="65"/>
      <c r="G3" s="190"/>
      <c r="H3" s="190"/>
      <c r="I3" s="190"/>
      <c r="J3" s="190"/>
      <c r="K3" s="190"/>
      <c r="L3" s="190"/>
      <c r="M3" s="190"/>
      <c r="N3" s="190"/>
      <c r="O3" s="190"/>
      <c r="P3" s="190"/>
      <c r="Q3" s="190"/>
      <c r="R3" s="190"/>
      <c r="S3" s="190"/>
      <c r="T3" s="190"/>
      <c r="U3" s="190"/>
      <c r="V3" s="190"/>
      <c r="W3" s="190"/>
      <c r="X3" s="190"/>
      <c r="Y3" s="190"/>
      <c r="Z3" s="190"/>
      <c r="AA3" s="190"/>
      <c r="AB3" s="190"/>
      <c r="AC3" s="190"/>
      <c r="AD3" s="190"/>
      <c r="AE3" s="190"/>
      <c r="AF3" s="190"/>
      <c r="AG3" s="190"/>
      <c r="AH3" s="190"/>
      <c r="AI3" s="190"/>
      <c r="AJ3" s="190"/>
      <c r="AK3" s="190"/>
      <c r="AL3" s="190"/>
      <c r="AM3" s="190"/>
      <c r="AN3" s="190"/>
      <c r="AO3" s="190"/>
      <c r="AP3" s="190"/>
      <c r="AQ3" s="190"/>
      <c r="AR3" s="190"/>
      <c r="AS3" s="190"/>
      <c r="AT3" s="190"/>
      <c r="AU3" s="190"/>
      <c r="AV3" s="190"/>
      <c r="AW3" s="190"/>
      <c r="AX3" s="190"/>
      <c r="AY3" s="190"/>
      <c r="AZ3" s="190"/>
      <c r="BA3" s="190"/>
      <c r="BB3" s="190"/>
      <c r="BC3" s="191"/>
      <c r="BD3" s="191"/>
      <c r="BE3" s="191"/>
      <c r="BF3" s="192">
        <v>42976</v>
      </c>
      <c r="BG3" s="190"/>
      <c r="BH3" s="190"/>
      <c r="BI3" s="190"/>
      <c r="BJ3" s="190"/>
      <c r="BK3" s="190"/>
      <c r="BL3" s="190"/>
      <c r="BM3" s="190"/>
      <c r="BN3" s="190"/>
      <c r="BO3" s="190"/>
      <c r="BP3" s="190"/>
      <c r="BQ3" s="190"/>
      <c r="BR3" s="192"/>
      <c r="BS3" s="190"/>
      <c r="BT3" s="190"/>
      <c r="BU3" s="190"/>
      <c r="BV3" s="190"/>
      <c r="BW3" s="190"/>
      <c r="BX3" s="190"/>
      <c r="BY3" s="190"/>
      <c r="BZ3" s="190"/>
      <c r="CA3" s="190"/>
      <c r="CB3" s="190"/>
      <c r="CC3" s="190"/>
      <c r="CD3" s="26"/>
    </row>
    <row r="4" spans="1:82" s="17" customFormat="1" ht="21" customHeight="1" x14ac:dyDescent="0.25">
      <c r="A4" s="188"/>
      <c r="B4" s="188"/>
      <c r="C4" s="18"/>
      <c r="D4" s="18"/>
      <c r="E4" s="18"/>
      <c r="F4" s="18"/>
      <c r="G4" s="65" t="s">
        <v>23</v>
      </c>
      <c r="H4" s="65" t="s">
        <v>24</v>
      </c>
      <c r="I4" s="65" t="s">
        <v>22</v>
      </c>
      <c r="J4" s="65" t="s">
        <v>23</v>
      </c>
      <c r="K4" s="65" t="s">
        <v>24</v>
      </c>
      <c r="L4" s="65" t="s">
        <v>22</v>
      </c>
      <c r="M4" s="65" t="s">
        <v>23</v>
      </c>
      <c r="N4" s="65" t="s">
        <v>24</v>
      </c>
      <c r="O4" s="65" t="s">
        <v>22</v>
      </c>
      <c r="P4" s="65" t="s">
        <v>23</v>
      </c>
      <c r="Q4" s="65" t="s">
        <v>24</v>
      </c>
      <c r="R4" s="65" t="s">
        <v>22</v>
      </c>
      <c r="S4" s="65" t="s">
        <v>23</v>
      </c>
      <c r="T4" s="65" t="s">
        <v>24</v>
      </c>
      <c r="U4" s="65" t="s">
        <v>22</v>
      </c>
      <c r="V4" s="65" t="s">
        <v>23</v>
      </c>
      <c r="W4" s="65" t="s">
        <v>24</v>
      </c>
      <c r="X4" s="65" t="s">
        <v>22</v>
      </c>
      <c r="Y4" s="65" t="s">
        <v>23</v>
      </c>
      <c r="Z4" s="65" t="s">
        <v>24</v>
      </c>
      <c r="AA4" s="65" t="s">
        <v>22</v>
      </c>
      <c r="AB4" s="65" t="s">
        <v>23</v>
      </c>
      <c r="AC4" s="65" t="s">
        <v>24</v>
      </c>
      <c r="AD4" s="65" t="s">
        <v>22</v>
      </c>
      <c r="AE4" s="65" t="s">
        <v>23</v>
      </c>
      <c r="AF4" s="65" t="s">
        <v>24</v>
      </c>
      <c r="AG4" s="65" t="s">
        <v>22</v>
      </c>
      <c r="AH4" s="65" t="s">
        <v>23</v>
      </c>
      <c r="AI4" s="65" t="s">
        <v>24</v>
      </c>
      <c r="AJ4" s="65" t="s">
        <v>22</v>
      </c>
      <c r="AK4" s="65" t="s">
        <v>23</v>
      </c>
      <c r="AL4" s="65" t="s">
        <v>24</v>
      </c>
      <c r="AM4" s="65" t="s">
        <v>22</v>
      </c>
      <c r="AN4" s="65" t="s">
        <v>23</v>
      </c>
      <c r="AO4" s="65" t="s">
        <v>24</v>
      </c>
      <c r="AP4" s="65" t="s">
        <v>22</v>
      </c>
      <c r="AQ4" s="65" t="s">
        <v>23</v>
      </c>
      <c r="AR4" s="65" t="s">
        <v>24</v>
      </c>
      <c r="AS4" s="65" t="s">
        <v>22</v>
      </c>
      <c r="AT4" s="65" t="s">
        <v>23</v>
      </c>
      <c r="AU4" s="65" t="s">
        <v>24</v>
      </c>
      <c r="AV4" s="65" t="s">
        <v>22</v>
      </c>
      <c r="AW4" s="65" t="s">
        <v>23</v>
      </c>
      <c r="AX4" s="65" t="s">
        <v>24</v>
      </c>
      <c r="AY4" s="65" t="s">
        <v>22</v>
      </c>
      <c r="AZ4" s="65" t="s">
        <v>23</v>
      </c>
      <c r="BA4" s="65" t="s">
        <v>24</v>
      </c>
      <c r="BB4" s="65" t="s">
        <v>22</v>
      </c>
      <c r="BC4" s="65" t="s">
        <v>23</v>
      </c>
      <c r="BD4" s="65" t="s">
        <v>24</v>
      </c>
      <c r="BE4" s="65" t="s">
        <v>22</v>
      </c>
      <c r="BF4" s="65" t="s">
        <v>23</v>
      </c>
      <c r="BG4" s="65" t="s">
        <v>24</v>
      </c>
      <c r="BH4" s="65" t="s">
        <v>22</v>
      </c>
      <c r="BI4" s="65" t="s">
        <v>23</v>
      </c>
      <c r="BJ4" s="65" t="s">
        <v>24</v>
      </c>
      <c r="BK4" s="65" t="s">
        <v>22</v>
      </c>
      <c r="BL4" s="65" t="s">
        <v>23</v>
      </c>
      <c r="BM4" s="65" t="s">
        <v>30</v>
      </c>
      <c r="BN4" s="65" t="s">
        <v>22</v>
      </c>
      <c r="BO4" s="65" t="s">
        <v>23</v>
      </c>
      <c r="BP4" s="65" t="s">
        <v>24</v>
      </c>
      <c r="BQ4" s="65" t="s">
        <v>22</v>
      </c>
      <c r="BR4" s="65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5"/>
      <c r="D5" s="65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18"/>
      <c r="AH5" s="65"/>
      <c r="AI5" s="65"/>
      <c r="AJ5" s="65"/>
      <c r="AK5" s="65"/>
      <c r="AL5" s="65"/>
      <c r="AM5" s="65"/>
      <c r="AN5" s="65"/>
      <c r="AO5" s="65"/>
      <c r="AP5" s="65"/>
      <c r="AQ5" s="65"/>
      <c r="AR5" s="65"/>
      <c r="AS5" s="65"/>
      <c r="AT5" s="65"/>
      <c r="AU5" s="65"/>
      <c r="AV5" s="65"/>
      <c r="AW5" s="65"/>
      <c r="AX5" s="65"/>
      <c r="AY5" s="18"/>
      <c r="AZ5" s="65"/>
      <c r="BA5" s="65"/>
      <c r="BB5" s="65"/>
      <c r="BC5" s="65"/>
      <c r="BD5" s="65"/>
      <c r="BE5" s="65"/>
      <c r="BF5" s="65"/>
      <c r="BG5" s="65"/>
      <c r="BH5" s="65"/>
      <c r="BI5" s="65"/>
      <c r="BJ5" s="65"/>
      <c r="BK5" s="65"/>
      <c r="BL5" s="65"/>
      <c r="BM5" s="65"/>
      <c r="BN5" s="65"/>
      <c r="BO5" s="65"/>
      <c r="BP5" s="65"/>
      <c r="BQ5" s="65"/>
      <c r="BR5" s="65"/>
      <c r="BS5" s="65"/>
      <c r="BT5" s="65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5"/>
      <c r="D6" s="65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8"/>
      <c r="AH6" s="65"/>
      <c r="AI6" s="65"/>
      <c r="AJ6" s="65"/>
      <c r="AK6" s="65"/>
      <c r="AL6" s="65"/>
      <c r="AM6" s="65"/>
      <c r="AN6" s="65"/>
      <c r="AO6" s="65"/>
      <c r="AP6" s="65"/>
      <c r="AQ6" s="65"/>
      <c r="AR6" s="65"/>
      <c r="AS6" s="65"/>
      <c r="AT6" s="65"/>
      <c r="AU6" s="65"/>
      <c r="AV6" s="65"/>
      <c r="AW6" s="65"/>
      <c r="AX6" s="65"/>
      <c r="AY6" s="18"/>
      <c r="AZ6" s="65"/>
      <c r="BA6" s="65"/>
      <c r="BB6" s="65"/>
      <c r="BC6" s="65"/>
      <c r="BD6" s="65"/>
      <c r="BE6" s="65"/>
      <c r="BF6" s="65"/>
      <c r="BG6" s="65"/>
      <c r="BH6" s="65" t="s">
        <v>0</v>
      </c>
      <c r="BI6" s="65"/>
      <c r="BJ6" s="65"/>
      <c r="BK6" s="65"/>
      <c r="BL6" s="65"/>
      <c r="BM6" s="65"/>
      <c r="BN6" s="65"/>
      <c r="BO6" s="65"/>
      <c r="BP6" s="65"/>
      <c r="BQ6" s="65"/>
      <c r="BR6" s="65"/>
      <c r="BS6" s="65"/>
      <c r="BT6" s="65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5"/>
      <c r="D7" s="65"/>
      <c r="E7" s="65"/>
      <c r="F7" s="65"/>
      <c r="G7" s="65"/>
      <c r="H7" s="65"/>
      <c r="I7" s="65"/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/>
      <c r="AA7" s="65"/>
      <c r="AB7" s="65"/>
      <c r="AC7" s="65"/>
      <c r="AD7" s="65"/>
      <c r="AE7" s="18"/>
      <c r="AF7" s="18"/>
      <c r="AG7" s="18"/>
      <c r="AH7" s="18"/>
      <c r="AI7" s="65"/>
      <c r="AJ7" s="65"/>
      <c r="AK7" s="65"/>
      <c r="AL7" s="65"/>
      <c r="AM7" s="65"/>
      <c r="AN7" s="65"/>
      <c r="AO7" s="65"/>
      <c r="AP7" s="65"/>
      <c r="AQ7" s="65"/>
      <c r="AR7" s="65"/>
      <c r="AS7" s="65"/>
      <c r="AT7" s="65"/>
      <c r="AU7" s="65"/>
      <c r="AV7" s="65"/>
      <c r="AW7" s="65"/>
      <c r="AX7" s="65"/>
      <c r="AY7" s="18"/>
      <c r="AZ7" s="65"/>
      <c r="BA7" s="65"/>
      <c r="BB7" s="65"/>
      <c r="BC7" s="65"/>
      <c r="BD7" s="65"/>
      <c r="BE7" s="65"/>
      <c r="BF7" s="65"/>
      <c r="BG7" s="65"/>
      <c r="BH7" s="65"/>
      <c r="BI7" s="65"/>
      <c r="BJ7" s="65"/>
      <c r="BK7" s="65"/>
      <c r="BL7" s="65"/>
      <c r="BM7" s="65"/>
      <c r="BN7" s="65"/>
      <c r="BO7" s="65"/>
      <c r="BP7" s="65"/>
      <c r="BQ7" s="65"/>
      <c r="BR7" s="65"/>
      <c r="BS7" s="65"/>
      <c r="BT7" s="65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5"/>
      <c r="D8" s="65"/>
      <c r="E8" s="65"/>
      <c r="F8" s="65"/>
      <c r="G8" s="65"/>
      <c r="H8" s="65"/>
      <c r="I8" s="65"/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/>
      <c r="AG8" s="18"/>
      <c r="AH8" s="18"/>
      <c r="AI8" s="65"/>
      <c r="AJ8" s="65"/>
      <c r="AK8" s="65"/>
      <c r="AL8" s="65"/>
      <c r="AM8" s="65"/>
      <c r="AN8" s="65"/>
      <c r="AO8" s="65"/>
      <c r="AP8" s="65"/>
      <c r="AQ8" s="65"/>
      <c r="AR8" s="65"/>
      <c r="AS8" s="65"/>
      <c r="AT8" s="65"/>
      <c r="AU8" s="65"/>
      <c r="AV8" s="65"/>
      <c r="AW8" s="65"/>
      <c r="AX8" s="65"/>
      <c r="AY8" s="18"/>
      <c r="AZ8" s="65"/>
      <c r="BA8" s="65"/>
      <c r="BB8" s="65"/>
      <c r="BC8" s="65"/>
      <c r="BD8" s="65"/>
      <c r="BE8" s="65"/>
      <c r="BF8" s="65"/>
      <c r="BG8" s="65"/>
      <c r="BH8" s="65"/>
      <c r="BI8" s="65"/>
      <c r="BJ8" s="65"/>
      <c r="BK8" s="65"/>
      <c r="BL8" s="65"/>
      <c r="BM8" s="65"/>
      <c r="BN8" s="65"/>
      <c r="BO8" s="65"/>
      <c r="BP8" s="65"/>
      <c r="BQ8" s="65"/>
      <c r="BR8" s="65"/>
      <c r="BS8" s="65"/>
      <c r="BT8" s="65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5"/>
      <c r="D9" s="65"/>
      <c r="E9" s="65"/>
      <c r="F9" s="65"/>
      <c r="G9" s="65"/>
      <c r="H9" s="65"/>
      <c r="I9" s="65"/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/>
      <c r="AA9" s="65"/>
      <c r="AB9" s="65"/>
      <c r="AC9" s="65"/>
      <c r="AD9" s="65"/>
      <c r="AE9" s="65"/>
      <c r="AF9" s="65"/>
      <c r="AG9" s="18"/>
      <c r="AH9" s="65"/>
      <c r="AI9" s="65"/>
      <c r="AJ9" s="65"/>
      <c r="AK9" s="65"/>
      <c r="AL9" s="65"/>
      <c r="AM9" s="65"/>
      <c r="AN9" s="65"/>
      <c r="AO9" s="65"/>
      <c r="AP9" s="65"/>
      <c r="AQ9" s="65"/>
      <c r="AR9" s="65"/>
      <c r="AS9" s="65"/>
      <c r="AT9" s="65"/>
      <c r="AU9" s="65"/>
      <c r="AV9" s="65"/>
      <c r="AW9" s="65"/>
      <c r="AX9" s="65"/>
      <c r="AY9" s="18"/>
      <c r="AZ9" s="65"/>
      <c r="BA9" s="65"/>
      <c r="BB9" s="65"/>
      <c r="BC9" s="65"/>
      <c r="BD9" s="65"/>
      <c r="BE9" s="65"/>
      <c r="BF9" s="65"/>
      <c r="BG9" s="65"/>
      <c r="BH9" s="65"/>
      <c r="BI9" s="65"/>
      <c r="BJ9" s="65"/>
      <c r="BK9" s="65"/>
      <c r="BL9" s="65"/>
      <c r="BM9" s="65"/>
      <c r="BN9" s="65"/>
      <c r="BO9" s="65"/>
      <c r="BP9" s="65"/>
      <c r="BQ9" s="65"/>
      <c r="BR9" s="65"/>
      <c r="BS9" s="65"/>
      <c r="BT9" s="65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5"/>
      <c r="D10" s="65"/>
      <c r="E10" s="65"/>
      <c r="F10" s="65"/>
      <c r="G10" s="65"/>
      <c r="H10" s="65"/>
      <c r="I10" s="65"/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/>
      <c r="AG10" s="18"/>
      <c r="AH10" s="18"/>
      <c r="AI10" s="65"/>
      <c r="AJ10" s="65"/>
      <c r="AK10" s="65"/>
      <c r="AL10" s="65"/>
      <c r="AM10" s="65"/>
      <c r="AN10" s="65"/>
      <c r="AO10" s="65"/>
      <c r="AP10" s="65"/>
      <c r="AQ10" s="65"/>
      <c r="AR10" s="65"/>
      <c r="AS10" s="65"/>
      <c r="AT10" s="65"/>
      <c r="AU10" s="65"/>
      <c r="AV10" s="65"/>
      <c r="AW10" s="65"/>
      <c r="AX10" s="65"/>
      <c r="AY10" s="18"/>
      <c r="AZ10" s="65"/>
      <c r="BA10" s="65"/>
      <c r="BB10" s="65"/>
      <c r="BC10" s="65"/>
      <c r="BD10" s="65"/>
      <c r="BE10" s="65"/>
      <c r="BF10" s="65"/>
      <c r="BG10" s="65"/>
      <c r="BH10" s="65"/>
      <c r="BI10" s="65"/>
      <c r="BJ10" s="65"/>
      <c r="BK10" s="65"/>
      <c r="BL10" s="65"/>
      <c r="BM10" s="65"/>
      <c r="BN10" s="65"/>
      <c r="BO10" s="65"/>
      <c r="BP10" s="65"/>
      <c r="BQ10" s="65"/>
      <c r="BR10" s="65"/>
      <c r="BS10" s="65"/>
      <c r="BT10" s="65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7" customFormat="1" ht="21" customHeight="1" x14ac:dyDescent="0.3">
      <c r="A11" s="21">
        <v>7</v>
      </c>
      <c r="B11" s="21" t="s">
        <v>202</v>
      </c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44"/>
      <c r="BE11" s="44"/>
      <c r="BF11" s="44"/>
      <c r="BG11" s="44"/>
      <c r="BH11" s="44"/>
      <c r="BI11" s="44"/>
      <c r="BJ11" s="44"/>
      <c r="BK11" s="44"/>
      <c r="BL11" s="44"/>
      <c r="BM11" s="44"/>
      <c r="BN11" s="44"/>
      <c r="BO11" s="44"/>
      <c r="BP11" s="44"/>
      <c r="BQ11" s="44"/>
      <c r="BR11" s="44"/>
      <c r="BS11" s="44"/>
      <c r="BT11" s="44"/>
      <c r="BU11" s="45"/>
      <c r="BV11" s="45"/>
      <c r="BW11" s="45"/>
      <c r="BX11" s="46"/>
      <c r="BY11" s="46"/>
      <c r="BZ11" s="46"/>
      <c r="CA11" s="46"/>
      <c r="CB11" s="46"/>
      <c r="CC11" s="46"/>
      <c r="CD11" s="46"/>
    </row>
    <row r="12" spans="1:82" s="17" customFormat="1" ht="21" customHeight="1" x14ac:dyDescent="0.3">
      <c r="A12" s="21">
        <v>8</v>
      </c>
      <c r="B12" s="21" t="s">
        <v>203</v>
      </c>
      <c r="C12" s="65"/>
      <c r="D12" s="65"/>
      <c r="E12" s="65"/>
      <c r="F12" s="65"/>
      <c r="G12" s="65"/>
      <c r="H12" s="65"/>
      <c r="I12" s="65"/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18"/>
      <c r="AH12" s="65"/>
      <c r="AI12" s="65"/>
      <c r="AJ12" s="65"/>
      <c r="AK12" s="65"/>
      <c r="AL12" s="65"/>
      <c r="AM12" s="65"/>
      <c r="AN12" s="65"/>
      <c r="AO12" s="65"/>
      <c r="AP12" s="65"/>
      <c r="AQ12" s="65"/>
      <c r="AR12" s="65"/>
      <c r="AS12" s="65"/>
      <c r="AT12" s="65"/>
      <c r="AU12" s="65"/>
      <c r="AV12" s="65"/>
      <c r="AW12" s="65"/>
      <c r="AX12" s="65"/>
      <c r="AY12" s="65"/>
      <c r="AZ12" s="65"/>
      <c r="BA12" s="65"/>
      <c r="BB12" s="65"/>
      <c r="BC12" s="65"/>
      <c r="BD12" s="65"/>
      <c r="BE12" s="65"/>
      <c r="BF12" s="65"/>
      <c r="BG12" s="65"/>
      <c r="BH12" s="65" t="s">
        <v>0</v>
      </c>
      <c r="BI12" s="65"/>
      <c r="BJ12" s="65"/>
      <c r="BK12" s="65"/>
      <c r="BL12" s="65"/>
      <c r="BM12" s="65"/>
      <c r="BN12" s="65"/>
      <c r="BO12" s="65"/>
      <c r="BP12" s="65"/>
      <c r="BQ12" s="65"/>
      <c r="BR12" s="65"/>
      <c r="BS12" s="65"/>
      <c r="BT12" s="65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8">
        <v>12</v>
      </c>
      <c r="B16" s="69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248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E11" sqref="E11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53" customWidth="1"/>
    <col min="5" max="5" width="49" style="53" customWidth="1"/>
    <col min="6" max="7" width="23.28515625" style="53" customWidth="1"/>
    <col min="8" max="8" width="14.42578125" style="53" customWidth="1"/>
    <col min="9" max="9" width="23.28515625" style="53" customWidth="1"/>
    <col min="10" max="10" width="9.7109375" style="58" bestFit="1" customWidth="1"/>
    <col min="11" max="11" width="15" customWidth="1"/>
    <col min="12" max="12" width="28.5703125" customWidth="1"/>
    <col min="13" max="13" width="10.7109375" bestFit="1" customWidth="1"/>
    <col min="14" max="19" width="9.140625" style="50"/>
    <col min="20" max="20" width="6.42578125" style="50" bestFit="1" customWidth="1"/>
    <col min="21" max="21" width="16" customWidth="1"/>
    <col min="22" max="22" width="17.85546875" customWidth="1"/>
    <col min="24" max="24" width="9.42578125" customWidth="1"/>
    <col min="25" max="25" width="11.5703125" customWidth="1"/>
  </cols>
  <sheetData>
    <row r="1" spans="1:25" ht="21" x14ac:dyDescent="0.35">
      <c r="A1" s="17"/>
      <c r="B1" s="174" t="s">
        <v>224</v>
      </c>
      <c r="C1" s="175"/>
      <c r="D1" s="159"/>
      <c r="E1" s="159"/>
      <c r="F1" s="159"/>
      <c r="G1" s="159"/>
      <c r="H1" s="159"/>
      <c r="I1" s="159"/>
      <c r="J1" s="54"/>
      <c r="K1" s="17"/>
      <c r="L1" s="17"/>
      <c r="M1" s="17"/>
      <c r="N1" s="54"/>
      <c r="O1" s="54"/>
      <c r="P1" s="54"/>
      <c r="Q1" s="54"/>
      <c r="R1" s="54"/>
      <c r="S1" s="54"/>
      <c r="T1" s="54"/>
      <c r="U1" s="17"/>
      <c r="V1" s="17"/>
      <c r="W1" s="17"/>
      <c r="X1" s="17"/>
      <c r="Y1" s="17"/>
    </row>
    <row r="2" spans="1:25" ht="15.75" x14ac:dyDescent="0.25">
      <c r="A2" s="17"/>
      <c r="B2" s="17"/>
      <c r="C2" s="17"/>
      <c r="D2" s="159"/>
      <c r="E2" s="159"/>
      <c r="F2" s="159"/>
      <c r="G2" s="159"/>
      <c r="H2" s="159"/>
      <c r="I2" s="159"/>
      <c r="J2" s="54"/>
      <c r="K2" s="17"/>
      <c r="L2" s="17"/>
      <c r="M2" s="17"/>
      <c r="N2" s="179" t="s">
        <v>7</v>
      </c>
      <c r="O2" s="179"/>
      <c r="P2" s="179"/>
      <c r="Q2" s="179"/>
      <c r="R2" s="180" t="s">
        <v>8</v>
      </c>
      <c r="S2" s="180"/>
      <c r="T2" s="180"/>
      <c r="U2" s="178" t="s">
        <v>9</v>
      </c>
      <c r="V2" s="178" t="s">
        <v>10</v>
      </c>
      <c r="W2" s="178" t="s">
        <v>11</v>
      </c>
      <c r="X2" s="178" t="s">
        <v>12</v>
      </c>
      <c r="Y2" s="178" t="s">
        <v>13</v>
      </c>
    </row>
    <row r="3" spans="1:25" s="1" customFormat="1" ht="21" customHeight="1" x14ac:dyDescent="0.3">
      <c r="A3" s="160" t="s">
        <v>6</v>
      </c>
      <c r="B3" s="160" t="s">
        <v>5</v>
      </c>
      <c r="C3" s="160" t="s">
        <v>4</v>
      </c>
      <c r="D3" s="161" t="s">
        <v>3</v>
      </c>
      <c r="E3" s="161" t="s">
        <v>117</v>
      </c>
      <c r="F3" s="161" t="s">
        <v>71</v>
      </c>
      <c r="G3" s="161" t="s">
        <v>211</v>
      </c>
      <c r="H3" s="161" t="s">
        <v>223</v>
      </c>
      <c r="I3" s="161" t="s">
        <v>213</v>
      </c>
      <c r="J3" s="160" t="s">
        <v>214</v>
      </c>
      <c r="K3" s="160" t="s">
        <v>23</v>
      </c>
      <c r="L3" s="160" t="s">
        <v>173</v>
      </c>
      <c r="M3" s="160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178"/>
      <c r="V3" s="178"/>
      <c r="W3" s="178"/>
      <c r="X3" s="178"/>
      <c r="Y3" s="178"/>
    </row>
    <row r="4" spans="1:25" s="1" customFormat="1" ht="21" customHeight="1" x14ac:dyDescent="0.3">
      <c r="A4" s="17">
        <v>1</v>
      </c>
      <c r="B4" s="17" t="s">
        <v>193</v>
      </c>
      <c r="C4" s="162"/>
      <c r="D4" s="163" t="s">
        <v>194</v>
      </c>
      <c r="E4" s="162"/>
      <c r="F4" s="17" t="s">
        <v>292</v>
      </c>
      <c r="G4" s="164">
        <v>2400000</v>
      </c>
      <c r="H4" s="165">
        <v>0.3</v>
      </c>
      <c r="I4" s="164">
        <v>1680000</v>
      </c>
      <c r="J4" s="54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</row>
    <row r="5" spans="1:25" s="140" customFormat="1" ht="21" customHeight="1" x14ac:dyDescent="0.3">
      <c r="A5" s="166">
        <v>2</v>
      </c>
      <c r="B5" s="166" t="s">
        <v>195</v>
      </c>
      <c r="C5" s="167"/>
      <c r="D5" s="168"/>
      <c r="E5" s="167"/>
      <c r="F5" s="166" t="s">
        <v>292</v>
      </c>
      <c r="G5" s="169">
        <v>2400000</v>
      </c>
      <c r="H5" s="170">
        <v>0.3</v>
      </c>
      <c r="I5" s="169">
        <v>1680000</v>
      </c>
      <c r="J5" s="171"/>
      <c r="K5" s="166"/>
      <c r="L5" s="166"/>
      <c r="M5" s="166"/>
      <c r="N5" s="166"/>
      <c r="O5" s="166"/>
      <c r="P5" s="166"/>
      <c r="Q5" s="166"/>
      <c r="R5" s="166"/>
      <c r="S5" s="166"/>
      <c r="T5" s="166"/>
      <c r="U5" s="166"/>
      <c r="V5" s="166"/>
      <c r="W5" s="166"/>
      <c r="X5" s="166"/>
      <c r="Y5" s="166"/>
    </row>
    <row r="6" spans="1:25" s="1" customFormat="1" ht="21" customHeight="1" x14ac:dyDescent="0.3">
      <c r="A6" s="17">
        <v>3</v>
      </c>
      <c r="B6" s="17" t="s">
        <v>196</v>
      </c>
      <c r="C6" s="162" t="s">
        <v>240</v>
      </c>
      <c r="D6" s="163" t="s">
        <v>197</v>
      </c>
      <c r="E6" s="162" t="s">
        <v>241</v>
      </c>
      <c r="F6" s="17" t="s">
        <v>242</v>
      </c>
      <c r="G6" s="164">
        <v>2400000</v>
      </c>
      <c r="H6" s="165">
        <v>0.3</v>
      </c>
      <c r="I6" s="164">
        <v>1680000</v>
      </c>
      <c r="J6" s="54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</row>
    <row r="7" spans="1:25" s="1" customFormat="1" ht="21" customHeight="1" x14ac:dyDescent="0.3">
      <c r="A7" s="17">
        <v>4</v>
      </c>
      <c r="B7" s="17" t="s">
        <v>200</v>
      </c>
      <c r="C7" s="162" t="s">
        <v>72</v>
      </c>
      <c r="D7" s="163" t="s">
        <v>201</v>
      </c>
      <c r="E7" s="162" t="s">
        <v>247</v>
      </c>
      <c r="F7" s="17" t="s">
        <v>246</v>
      </c>
      <c r="G7" s="164">
        <v>2400000</v>
      </c>
      <c r="H7" s="165">
        <v>0.3</v>
      </c>
      <c r="I7" s="164">
        <v>1680000</v>
      </c>
      <c r="J7" s="54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</row>
    <row r="8" spans="1:25" ht="21" customHeight="1" x14ac:dyDescent="0.25">
      <c r="A8" s="17">
        <v>5</v>
      </c>
      <c r="B8" s="17" t="s">
        <v>229</v>
      </c>
      <c r="C8" s="162" t="s">
        <v>243</v>
      </c>
      <c r="D8" s="172" t="s">
        <v>244</v>
      </c>
      <c r="E8" s="172" t="s">
        <v>245</v>
      </c>
      <c r="F8" s="17" t="s">
        <v>246</v>
      </c>
      <c r="G8" s="164">
        <v>2400000</v>
      </c>
      <c r="H8" s="165">
        <v>0.3</v>
      </c>
      <c r="I8" s="164">
        <v>1680000</v>
      </c>
      <c r="J8" s="54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</row>
    <row r="9" spans="1:25" ht="21" customHeight="1" x14ac:dyDescent="0.25">
      <c r="A9" s="17">
        <v>6</v>
      </c>
      <c r="B9" s="17" t="s">
        <v>230</v>
      </c>
      <c r="C9" s="162" t="s">
        <v>233</v>
      </c>
      <c r="D9" s="172" t="s">
        <v>355</v>
      </c>
      <c r="E9" s="162" t="s">
        <v>234</v>
      </c>
      <c r="F9" s="17" t="s">
        <v>235</v>
      </c>
      <c r="G9" s="164">
        <v>2400000</v>
      </c>
      <c r="H9" s="165">
        <v>0.3</v>
      </c>
      <c r="I9" s="164">
        <v>1680000</v>
      </c>
      <c r="J9" s="54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</row>
    <row r="10" spans="1:25" ht="21" customHeight="1" x14ac:dyDescent="0.25">
      <c r="A10" s="173" t="s">
        <v>145</v>
      </c>
      <c r="B10" s="162" t="s">
        <v>231</v>
      </c>
      <c r="C10" s="162" t="s">
        <v>236</v>
      </c>
      <c r="D10" s="172" t="s">
        <v>237</v>
      </c>
      <c r="E10" s="162" t="s">
        <v>238</v>
      </c>
      <c r="F10" s="162" t="s">
        <v>239</v>
      </c>
      <c r="G10" s="164">
        <v>2400000</v>
      </c>
      <c r="H10" s="165">
        <v>0.3</v>
      </c>
      <c r="I10" s="164">
        <v>1680000</v>
      </c>
      <c r="J10" s="54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</row>
    <row r="11" spans="1:25" ht="21" customHeight="1" x14ac:dyDescent="0.25">
      <c r="A11" s="17">
        <v>8</v>
      </c>
      <c r="B11" s="17" t="s">
        <v>232</v>
      </c>
      <c r="C11" s="162"/>
      <c r="D11" s="172" t="s">
        <v>313</v>
      </c>
      <c r="E11" s="162"/>
      <c r="F11" s="17" t="s">
        <v>235</v>
      </c>
      <c r="G11" s="164">
        <v>2400000</v>
      </c>
      <c r="H11" s="165">
        <v>0.3</v>
      </c>
      <c r="I11" s="164">
        <v>1680000</v>
      </c>
      <c r="J11" s="54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</row>
    <row r="12" spans="1:25" ht="21" customHeight="1" x14ac:dyDescent="0.25">
      <c r="A12" s="173" t="s">
        <v>307</v>
      </c>
      <c r="B12" s="162" t="s">
        <v>308</v>
      </c>
      <c r="C12" s="162" t="s">
        <v>309</v>
      </c>
      <c r="D12" s="172" t="s">
        <v>310</v>
      </c>
      <c r="E12" s="162" t="s">
        <v>311</v>
      </c>
      <c r="F12" s="162" t="s">
        <v>239</v>
      </c>
      <c r="G12" s="164">
        <v>2400000</v>
      </c>
      <c r="H12" s="165">
        <v>0.3</v>
      </c>
      <c r="I12" s="164">
        <v>1680000</v>
      </c>
      <c r="J12" s="159"/>
      <c r="K12" s="162"/>
      <c r="L12" s="162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</row>
    <row r="13" spans="1:25" ht="21" customHeight="1" x14ac:dyDescent="0.25">
      <c r="A13" s="17">
        <v>10</v>
      </c>
      <c r="B13" s="17" t="s">
        <v>314</v>
      </c>
      <c r="C13" s="17"/>
      <c r="D13" s="172" t="s">
        <v>315</v>
      </c>
      <c r="E13" s="17"/>
      <c r="F13" s="17"/>
      <c r="G13" s="159"/>
      <c r="H13" s="159"/>
      <c r="I13" s="159"/>
      <c r="J13" s="54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</row>
    <row r="14" spans="1:25" ht="21" customHeight="1" x14ac:dyDescent="0.3">
      <c r="D14" s="158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58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58"/>
    </row>
    <row r="17" spans="4:4" ht="21" customHeight="1" x14ac:dyDescent="0.25">
      <c r="D17" s="158"/>
    </row>
    <row r="18" spans="4:4" ht="21" customHeight="1" x14ac:dyDescent="0.25">
      <c r="D18" s="158"/>
    </row>
    <row r="19" spans="4:4" ht="21" customHeight="1" x14ac:dyDescent="0.25">
      <c r="D19" s="158"/>
    </row>
    <row r="20" spans="4:4" ht="21" customHeight="1" x14ac:dyDescent="0.25"/>
  </sheetData>
  <autoFilter ref="A3:Y3"/>
  <mergeCells count="7"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V4" sqref="BV4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50" hidden="1" customWidth="1"/>
    <col min="7" max="19" width="5.85546875" style="50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4" customWidth="1"/>
    <col min="74" max="84" width="5.5703125" style="64" customWidth="1"/>
  </cols>
  <sheetData>
    <row r="1" spans="1:84" ht="26.25" x14ac:dyDescent="0.4">
      <c r="B1" s="5" t="s">
        <v>293</v>
      </c>
      <c r="M1" s="50" t="s">
        <v>28</v>
      </c>
    </row>
    <row r="3" spans="1:84" s="17" customFormat="1" ht="21" customHeight="1" x14ac:dyDescent="0.25">
      <c r="A3" s="188" t="s">
        <v>6</v>
      </c>
      <c r="B3" s="188" t="s">
        <v>5</v>
      </c>
      <c r="C3" s="52" t="s">
        <v>25</v>
      </c>
      <c r="D3" s="52" t="s">
        <v>26</v>
      </c>
      <c r="E3" s="52" t="s">
        <v>27</v>
      </c>
      <c r="F3" s="52" t="s">
        <v>29</v>
      </c>
      <c r="G3" s="190" t="s">
        <v>31</v>
      </c>
      <c r="H3" s="190"/>
      <c r="I3" s="190"/>
      <c r="J3" s="187" t="s">
        <v>32</v>
      </c>
      <c r="K3" s="182"/>
      <c r="L3" s="183"/>
      <c r="M3" s="187" t="s">
        <v>33</v>
      </c>
      <c r="N3" s="182"/>
      <c r="O3" s="183"/>
      <c r="P3" s="187" t="s">
        <v>34</v>
      </c>
      <c r="Q3" s="182"/>
      <c r="R3" s="183"/>
      <c r="S3" s="187" t="s">
        <v>35</v>
      </c>
      <c r="T3" s="182"/>
      <c r="U3" s="183"/>
      <c r="V3" s="187" t="s">
        <v>36</v>
      </c>
      <c r="W3" s="182"/>
      <c r="X3" s="183"/>
      <c r="Y3" s="187" t="s">
        <v>37</v>
      </c>
      <c r="Z3" s="182"/>
      <c r="AA3" s="183"/>
      <c r="AB3" s="187" t="s">
        <v>38</v>
      </c>
      <c r="AC3" s="182"/>
      <c r="AD3" s="183"/>
      <c r="AE3" s="187" t="s">
        <v>39</v>
      </c>
      <c r="AF3" s="182"/>
      <c r="AG3" s="183"/>
      <c r="AH3" s="187" t="s">
        <v>40</v>
      </c>
      <c r="AI3" s="182"/>
      <c r="AJ3" s="183"/>
      <c r="AK3" s="187" t="s">
        <v>41</v>
      </c>
      <c r="AL3" s="182"/>
      <c r="AM3" s="183"/>
      <c r="AN3" s="187" t="s">
        <v>42</v>
      </c>
      <c r="AO3" s="182"/>
      <c r="AP3" s="183"/>
      <c r="AQ3" s="187" t="s">
        <v>43</v>
      </c>
      <c r="AR3" s="182"/>
      <c r="AS3" s="183"/>
      <c r="AT3" s="187" t="s">
        <v>44</v>
      </c>
      <c r="AU3" s="182"/>
      <c r="AV3" s="183"/>
      <c r="AW3" s="187" t="s">
        <v>45</v>
      </c>
      <c r="AX3" s="182"/>
      <c r="AY3" s="183"/>
      <c r="AZ3" s="187" t="s">
        <v>46</v>
      </c>
      <c r="BA3" s="182"/>
      <c r="BB3" s="183"/>
      <c r="BC3" s="187" t="s">
        <v>47</v>
      </c>
      <c r="BD3" s="182"/>
      <c r="BE3" s="183"/>
      <c r="BF3" s="187" t="s">
        <v>48</v>
      </c>
      <c r="BG3" s="182"/>
      <c r="BH3" s="183"/>
      <c r="BI3" s="187" t="s">
        <v>49</v>
      </c>
      <c r="BJ3" s="182"/>
      <c r="BK3" s="183"/>
      <c r="BL3" s="181">
        <v>42970</v>
      </c>
      <c r="BM3" s="182"/>
      <c r="BN3" s="183"/>
      <c r="BO3" s="181">
        <v>42972</v>
      </c>
      <c r="BP3" s="182"/>
      <c r="BQ3" s="183"/>
      <c r="BR3" s="181">
        <v>42975</v>
      </c>
      <c r="BS3" s="182"/>
      <c r="BT3" s="183"/>
      <c r="BU3" s="181">
        <v>42977</v>
      </c>
      <c r="BV3" s="182"/>
      <c r="BW3" s="183"/>
      <c r="BX3" s="127"/>
      <c r="BY3" s="127"/>
      <c r="BZ3" s="127"/>
      <c r="CA3" s="127"/>
      <c r="CB3" s="127"/>
      <c r="CC3" s="127"/>
      <c r="CD3" s="127"/>
      <c r="CE3" s="127"/>
      <c r="CF3" s="127"/>
    </row>
    <row r="4" spans="1:84" s="17" customFormat="1" ht="21" customHeight="1" x14ac:dyDescent="0.25">
      <c r="A4" s="188"/>
      <c r="B4" s="188"/>
      <c r="C4" s="52"/>
      <c r="D4" s="52"/>
      <c r="E4" s="52"/>
      <c r="F4" s="52"/>
      <c r="G4" s="52" t="s">
        <v>23</v>
      </c>
      <c r="H4" s="52" t="s">
        <v>30</v>
      </c>
      <c r="I4" s="52" t="s">
        <v>22</v>
      </c>
      <c r="J4" s="52" t="s">
        <v>23</v>
      </c>
      <c r="K4" s="52" t="s">
        <v>30</v>
      </c>
      <c r="L4" s="52" t="s">
        <v>22</v>
      </c>
      <c r="M4" s="52" t="s">
        <v>23</v>
      </c>
      <c r="N4" s="52" t="s">
        <v>30</v>
      </c>
      <c r="O4" s="52" t="s">
        <v>22</v>
      </c>
      <c r="P4" s="52" t="s">
        <v>23</v>
      </c>
      <c r="Q4" s="52" t="s">
        <v>30</v>
      </c>
      <c r="R4" s="52" t="s">
        <v>22</v>
      </c>
      <c r="S4" s="52" t="s">
        <v>23</v>
      </c>
      <c r="T4" s="52" t="s">
        <v>30</v>
      </c>
      <c r="U4" s="52" t="s">
        <v>22</v>
      </c>
      <c r="V4" s="52" t="s">
        <v>23</v>
      </c>
      <c r="W4" s="52" t="s">
        <v>30</v>
      </c>
      <c r="X4" s="52" t="s">
        <v>22</v>
      </c>
      <c r="Y4" s="52" t="s">
        <v>23</v>
      </c>
      <c r="Z4" s="52" t="s">
        <v>30</v>
      </c>
      <c r="AA4" s="52" t="s">
        <v>22</v>
      </c>
      <c r="AB4" s="52" t="s">
        <v>23</v>
      </c>
      <c r="AC4" s="52" t="s">
        <v>30</v>
      </c>
      <c r="AD4" s="52" t="s">
        <v>22</v>
      </c>
      <c r="AE4" s="52" t="s">
        <v>23</v>
      </c>
      <c r="AF4" s="52" t="s">
        <v>30</v>
      </c>
      <c r="AG4" s="52" t="s">
        <v>22</v>
      </c>
      <c r="AH4" s="52" t="s">
        <v>23</v>
      </c>
      <c r="AI4" s="52" t="s">
        <v>30</v>
      </c>
      <c r="AJ4" s="52" t="s">
        <v>22</v>
      </c>
      <c r="AK4" s="52" t="s">
        <v>23</v>
      </c>
      <c r="AL4" s="52" t="s">
        <v>30</v>
      </c>
      <c r="AM4" s="52" t="s">
        <v>22</v>
      </c>
      <c r="AN4" s="52" t="s">
        <v>23</v>
      </c>
      <c r="AO4" s="52" t="s">
        <v>30</v>
      </c>
      <c r="AP4" s="52" t="s">
        <v>22</v>
      </c>
      <c r="AQ4" s="52" t="s">
        <v>23</v>
      </c>
      <c r="AR4" s="52" t="s">
        <v>30</v>
      </c>
      <c r="AS4" s="52" t="s">
        <v>22</v>
      </c>
      <c r="AT4" s="52" t="s">
        <v>23</v>
      </c>
      <c r="AU4" s="52" t="s">
        <v>30</v>
      </c>
      <c r="AV4" s="52" t="s">
        <v>22</v>
      </c>
      <c r="AW4" s="52" t="s">
        <v>23</v>
      </c>
      <c r="AX4" s="52" t="s">
        <v>30</v>
      </c>
      <c r="AY4" s="52" t="s">
        <v>22</v>
      </c>
      <c r="AZ4" s="52" t="s">
        <v>23</v>
      </c>
      <c r="BA4" s="52" t="s">
        <v>30</v>
      </c>
      <c r="BB4" s="52" t="s">
        <v>22</v>
      </c>
      <c r="BC4" s="52" t="s">
        <v>23</v>
      </c>
      <c r="BD4" s="52" t="s">
        <v>30</v>
      </c>
      <c r="BE4" s="52" t="s">
        <v>22</v>
      </c>
      <c r="BF4" s="52" t="s">
        <v>23</v>
      </c>
      <c r="BG4" s="52" t="s">
        <v>30</v>
      </c>
      <c r="BH4" s="52" t="s">
        <v>22</v>
      </c>
      <c r="BI4" s="52" t="s">
        <v>23</v>
      </c>
      <c r="BJ4" s="52" t="s">
        <v>30</v>
      </c>
      <c r="BK4" s="52" t="s">
        <v>22</v>
      </c>
      <c r="BL4" s="52" t="s">
        <v>23</v>
      </c>
      <c r="BM4" s="52" t="s">
        <v>30</v>
      </c>
      <c r="BN4" s="52" t="s">
        <v>22</v>
      </c>
      <c r="BO4" s="52" t="s">
        <v>23</v>
      </c>
      <c r="BP4" s="52" t="s">
        <v>30</v>
      </c>
      <c r="BQ4" s="52" t="s">
        <v>22</v>
      </c>
      <c r="BR4" s="52" t="s">
        <v>23</v>
      </c>
      <c r="BS4" s="52" t="s">
        <v>30</v>
      </c>
      <c r="BT4" s="52" t="s">
        <v>22</v>
      </c>
      <c r="BU4" s="127" t="s">
        <v>23</v>
      </c>
      <c r="BV4" s="127" t="s">
        <v>30</v>
      </c>
      <c r="BW4" s="127" t="s">
        <v>22</v>
      </c>
      <c r="BX4" s="127"/>
      <c r="BY4" s="127"/>
      <c r="BZ4" s="127"/>
      <c r="CA4" s="127"/>
      <c r="CB4" s="127"/>
      <c r="CC4" s="127"/>
      <c r="CD4" s="127"/>
      <c r="CE4" s="127"/>
      <c r="CF4" s="127"/>
    </row>
    <row r="5" spans="1:84" s="17" customFormat="1" ht="21" customHeight="1" x14ac:dyDescent="0.3">
      <c r="A5" s="1">
        <v>1</v>
      </c>
      <c r="B5" s="1" t="s">
        <v>193</v>
      </c>
      <c r="C5" s="52"/>
      <c r="D5" s="52"/>
      <c r="E5" s="52"/>
      <c r="F5" s="52"/>
      <c r="G5" s="52"/>
      <c r="H5" s="52"/>
      <c r="I5" s="52"/>
      <c r="J5" s="52" t="s">
        <v>0</v>
      </c>
      <c r="K5" s="52" t="s">
        <v>0</v>
      </c>
      <c r="L5" s="52"/>
      <c r="M5" s="52" t="s">
        <v>0</v>
      </c>
      <c r="N5" s="52" t="s">
        <v>0</v>
      </c>
      <c r="O5" s="52"/>
      <c r="P5" s="52" t="s">
        <v>0</v>
      </c>
      <c r="Q5" s="52" t="s">
        <v>0</v>
      </c>
      <c r="R5" s="52"/>
      <c r="S5" s="52"/>
      <c r="T5" s="18"/>
      <c r="U5" s="18"/>
      <c r="V5" s="52" t="s">
        <v>0</v>
      </c>
      <c r="W5" s="52" t="s">
        <v>0</v>
      </c>
      <c r="X5" s="52"/>
      <c r="Y5" s="52" t="s">
        <v>0</v>
      </c>
      <c r="Z5" s="52" t="s">
        <v>0</v>
      </c>
      <c r="AA5" s="52" t="s">
        <v>0</v>
      </c>
      <c r="AB5" s="52" t="s">
        <v>0</v>
      </c>
      <c r="AC5" s="52" t="s">
        <v>0</v>
      </c>
      <c r="AD5" s="52" t="s">
        <v>0</v>
      </c>
      <c r="AE5" s="52" t="s">
        <v>0</v>
      </c>
      <c r="AF5" s="52" t="s">
        <v>0</v>
      </c>
      <c r="AG5" s="52"/>
      <c r="AH5" s="52" t="s">
        <v>0</v>
      </c>
      <c r="AI5" s="52" t="s">
        <v>0</v>
      </c>
      <c r="AJ5" s="52"/>
      <c r="AK5" s="52" t="s">
        <v>0</v>
      </c>
      <c r="AL5" s="52" t="s">
        <v>0</v>
      </c>
      <c r="AM5" s="52" t="s">
        <v>0</v>
      </c>
      <c r="AN5" s="52" t="s">
        <v>0</v>
      </c>
      <c r="AO5" s="52" t="s">
        <v>0</v>
      </c>
      <c r="AP5" s="52" t="s">
        <v>0</v>
      </c>
      <c r="AQ5" s="52" t="s">
        <v>0</v>
      </c>
      <c r="AR5" s="52" t="s">
        <v>0</v>
      </c>
      <c r="AS5" s="52"/>
      <c r="AT5" s="52" t="s">
        <v>0</v>
      </c>
      <c r="AU5" s="52" t="s">
        <v>0</v>
      </c>
      <c r="AV5" s="52"/>
      <c r="AW5" s="52" t="s">
        <v>0</v>
      </c>
      <c r="AX5" s="52" t="s">
        <v>0</v>
      </c>
      <c r="AY5" s="52"/>
      <c r="AZ5" s="52" t="s">
        <v>0</v>
      </c>
      <c r="BA5" s="52" t="s">
        <v>0</v>
      </c>
      <c r="BB5" s="52"/>
      <c r="BC5" s="52" t="s">
        <v>0</v>
      </c>
      <c r="BD5" s="52" t="s">
        <v>0</v>
      </c>
      <c r="BE5" s="52" t="s">
        <v>0</v>
      </c>
      <c r="BF5" s="52" t="s">
        <v>0</v>
      </c>
      <c r="BG5" s="52" t="s">
        <v>0</v>
      </c>
      <c r="BH5" s="18"/>
      <c r="BI5" s="52" t="s">
        <v>0</v>
      </c>
      <c r="BJ5" s="52" t="s">
        <v>0</v>
      </c>
      <c r="BK5" s="52" t="s">
        <v>0</v>
      </c>
      <c r="BL5" s="126"/>
      <c r="BM5" s="126"/>
      <c r="BN5" s="126"/>
      <c r="BO5" s="126"/>
      <c r="BP5" s="126"/>
      <c r="BQ5" s="126" t="s">
        <v>0</v>
      </c>
      <c r="BR5" s="126"/>
      <c r="BS5" s="126"/>
      <c r="BT5" s="126" t="s">
        <v>0</v>
      </c>
      <c r="BU5" s="127" t="s">
        <v>0</v>
      </c>
      <c r="BV5" s="127" t="s">
        <v>0</v>
      </c>
      <c r="BW5" s="127"/>
      <c r="BX5" s="127"/>
      <c r="BY5" s="127"/>
      <c r="BZ5" s="127"/>
      <c r="CA5" s="127"/>
      <c r="CB5" s="127"/>
      <c r="CC5" s="127"/>
      <c r="CD5" s="127"/>
      <c r="CE5" s="127"/>
      <c r="CF5" s="127"/>
    </row>
    <row r="6" spans="1:84" s="17" customFormat="1" ht="21" customHeight="1" x14ac:dyDescent="0.3">
      <c r="A6" s="1">
        <v>2</v>
      </c>
      <c r="B6" s="1" t="s">
        <v>195</v>
      </c>
      <c r="C6" s="52"/>
      <c r="D6" s="52"/>
      <c r="E6" s="52"/>
      <c r="F6" s="52"/>
      <c r="G6" s="52"/>
      <c r="H6" s="52"/>
      <c r="I6" s="52"/>
      <c r="J6" s="52"/>
      <c r="K6" s="52"/>
      <c r="L6" s="52"/>
      <c r="M6" s="52" t="s">
        <v>0</v>
      </c>
      <c r="N6" s="52" t="s">
        <v>0</v>
      </c>
      <c r="O6" s="52"/>
      <c r="P6" s="52"/>
      <c r="Q6" s="52"/>
      <c r="R6" s="52"/>
      <c r="S6" s="52"/>
      <c r="T6" s="18"/>
      <c r="U6" s="18"/>
      <c r="V6" s="52" t="s">
        <v>0</v>
      </c>
      <c r="W6" s="52" t="s">
        <v>0</v>
      </c>
      <c r="X6" s="52" t="s">
        <v>0</v>
      </c>
      <c r="Y6" s="52" t="s">
        <v>0</v>
      </c>
      <c r="Z6" s="52" t="s">
        <v>0</v>
      </c>
      <c r="AA6" s="52" t="s">
        <v>0</v>
      </c>
      <c r="AB6" s="52" t="s">
        <v>0</v>
      </c>
      <c r="AC6" s="52" t="s">
        <v>0</v>
      </c>
      <c r="AD6" s="52"/>
      <c r="AE6" s="52" t="s">
        <v>0</v>
      </c>
      <c r="AF6" s="52" t="s">
        <v>0</v>
      </c>
      <c r="AG6" s="52"/>
      <c r="AH6" s="52"/>
      <c r="AI6" s="52"/>
      <c r="AJ6" s="52"/>
      <c r="AK6" s="52"/>
      <c r="AL6" s="52"/>
      <c r="AM6" s="52"/>
      <c r="AN6" s="52"/>
      <c r="AO6" s="52"/>
      <c r="AP6" s="52"/>
      <c r="AQ6" s="52"/>
      <c r="AR6" s="52"/>
      <c r="AS6" s="52"/>
      <c r="AT6" s="52"/>
      <c r="AU6" s="52"/>
      <c r="AV6" s="52"/>
      <c r="AW6" s="52" t="s">
        <v>0</v>
      </c>
      <c r="AX6" s="52" t="s">
        <v>0</v>
      </c>
      <c r="AY6" s="52"/>
      <c r="AZ6" s="52"/>
      <c r="BA6" s="52"/>
      <c r="BB6" s="52"/>
      <c r="BC6" s="52" t="s">
        <v>0</v>
      </c>
      <c r="BD6" s="52" t="s">
        <v>0</v>
      </c>
      <c r="BE6" s="18"/>
      <c r="BF6" s="18"/>
      <c r="BG6" s="18"/>
      <c r="BH6" s="18"/>
      <c r="BI6" s="52" t="s">
        <v>0</v>
      </c>
      <c r="BJ6" s="52" t="s">
        <v>0</v>
      </c>
      <c r="BK6" s="18"/>
      <c r="BL6" s="126"/>
      <c r="BM6" s="126"/>
      <c r="BN6" s="126"/>
      <c r="BO6" s="126"/>
      <c r="BP6" s="126"/>
      <c r="BQ6" s="126" t="s">
        <v>0</v>
      </c>
      <c r="BR6" s="126"/>
      <c r="BS6" s="126"/>
      <c r="BT6" s="126" t="s">
        <v>0</v>
      </c>
      <c r="BU6" s="127" t="s">
        <v>0</v>
      </c>
      <c r="BV6" s="127" t="s">
        <v>0</v>
      </c>
      <c r="BW6" s="127"/>
      <c r="BX6" s="127"/>
      <c r="BY6" s="127"/>
      <c r="BZ6" s="127"/>
      <c r="CA6" s="127"/>
      <c r="CB6" s="127"/>
      <c r="CC6" s="127"/>
      <c r="CD6" s="127"/>
      <c r="CE6" s="127"/>
      <c r="CF6" s="127"/>
    </row>
    <row r="7" spans="1:84" s="17" customFormat="1" ht="21" customHeight="1" x14ac:dyDescent="0.3">
      <c r="A7" s="1">
        <v>3</v>
      </c>
      <c r="B7" s="1" t="s">
        <v>196</v>
      </c>
      <c r="C7" s="52"/>
      <c r="D7" s="52"/>
      <c r="E7" s="52" t="s">
        <v>0</v>
      </c>
      <c r="F7" s="52"/>
      <c r="G7" s="52" t="s">
        <v>0</v>
      </c>
      <c r="H7" s="52" t="s">
        <v>0</v>
      </c>
      <c r="I7" s="52"/>
      <c r="J7" s="52" t="s">
        <v>0</v>
      </c>
      <c r="K7" s="52" t="s">
        <v>0</v>
      </c>
      <c r="L7" s="52" t="s">
        <v>0</v>
      </c>
      <c r="M7" s="52" t="s">
        <v>0</v>
      </c>
      <c r="N7" s="52" t="s">
        <v>0</v>
      </c>
      <c r="O7" s="52"/>
      <c r="P7" s="52" t="s">
        <v>0</v>
      </c>
      <c r="Q7" s="52" t="s">
        <v>0</v>
      </c>
      <c r="R7" s="52"/>
      <c r="S7" s="52" t="s">
        <v>0</v>
      </c>
      <c r="T7" s="52" t="s">
        <v>0</v>
      </c>
      <c r="U7" s="18"/>
      <c r="V7" s="52" t="s">
        <v>0</v>
      </c>
      <c r="W7" s="52" t="s">
        <v>0</v>
      </c>
      <c r="X7" s="52" t="s">
        <v>0</v>
      </c>
      <c r="Y7" s="52" t="s">
        <v>0</v>
      </c>
      <c r="Z7" s="52" t="s">
        <v>0</v>
      </c>
      <c r="AA7" s="52" t="s">
        <v>0</v>
      </c>
      <c r="AB7" s="52" t="s">
        <v>0</v>
      </c>
      <c r="AC7" s="52" t="s">
        <v>0</v>
      </c>
      <c r="AD7" s="52"/>
      <c r="AE7" s="52" t="s">
        <v>0</v>
      </c>
      <c r="AF7" s="52" t="s">
        <v>0</v>
      </c>
      <c r="AG7" s="52" t="s">
        <v>0</v>
      </c>
      <c r="AH7" s="52" t="s">
        <v>0</v>
      </c>
      <c r="AI7" s="52" t="s">
        <v>0</v>
      </c>
      <c r="AJ7" s="52"/>
      <c r="AK7" s="52" t="s">
        <v>0</v>
      </c>
      <c r="AL7" s="52" t="s">
        <v>0</v>
      </c>
      <c r="AM7" s="52" t="s">
        <v>0</v>
      </c>
      <c r="AN7" s="52" t="s">
        <v>0</v>
      </c>
      <c r="AO7" s="52" t="s">
        <v>0</v>
      </c>
      <c r="AP7" s="52"/>
      <c r="AQ7" s="52" t="s">
        <v>0</v>
      </c>
      <c r="AR7" s="52" t="s">
        <v>0</v>
      </c>
      <c r="AS7" s="52"/>
      <c r="AT7" s="52" t="s">
        <v>0</v>
      </c>
      <c r="AU7" s="52" t="s">
        <v>0</v>
      </c>
      <c r="AV7" s="52" t="s">
        <v>0</v>
      </c>
      <c r="AW7" s="52" t="s">
        <v>0</v>
      </c>
      <c r="AX7" s="52" t="s">
        <v>0</v>
      </c>
      <c r="AY7" s="52" t="s">
        <v>0</v>
      </c>
      <c r="AZ7" s="52" t="s">
        <v>0</v>
      </c>
      <c r="BA7" s="52" t="s">
        <v>0</v>
      </c>
      <c r="BB7" s="52"/>
      <c r="BC7" s="52" t="s">
        <v>0</v>
      </c>
      <c r="BD7" s="52" t="s">
        <v>0</v>
      </c>
      <c r="BE7" s="52" t="s">
        <v>0</v>
      </c>
      <c r="BF7" s="52" t="s">
        <v>0</v>
      </c>
      <c r="BG7" s="52" t="s">
        <v>0</v>
      </c>
      <c r="BH7" s="18"/>
      <c r="BI7" s="52" t="s">
        <v>0</v>
      </c>
      <c r="BJ7" s="52" t="s">
        <v>0</v>
      </c>
      <c r="BK7" s="18"/>
      <c r="BL7" s="126"/>
      <c r="BM7" s="126"/>
      <c r="BN7" s="126" t="s">
        <v>0</v>
      </c>
      <c r="BO7" s="126"/>
      <c r="BP7" s="126"/>
      <c r="BQ7" s="126"/>
      <c r="BR7" s="126"/>
      <c r="BS7" s="126"/>
      <c r="BT7" s="126"/>
      <c r="BU7" s="127" t="s">
        <v>0</v>
      </c>
      <c r="BV7" s="127"/>
      <c r="BW7" s="127"/>
      <c r="BX7" s="127"/>
      <c r="BY7" s="127"/>
      <c r="BZ7" s="127"/>
      <c r="CA7" s="127"/>
      <c r="CB7" s="127"/>
      <c r="CC7" s="127"/>
      <c r="CD7" s="127"/>
      <c r="CE7" s="127"/>
      <c r="CF7" s="127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2" t="s">
        <v>0</v>
      </c>
      <c r="D9" s="52"/>
      <c r="E9" s="52" t="s">
        <v>0</v>
      </c>
      <c r="F9" s="52"/>
      <c r="G9" s="52" t="s">
        <v>0</v>
      </c>
      <c r="H9" s="52" t="s">
        <v>0</v>
      </c>
      <c r="I9" s="52"/>
      <c r="J9" s="52"/>
      <c r="K9" s="52" t="s">
        <v>0</v>
      </c>
      <c r="L9" s="52"/>
      <c r="M9" s="52" t="s">
        <v>0</v>
      </c>
      <c r="N9" s="52" t="s">
        <v>0</v>
      </c>
      <c r="O9" s="52"/>
      <c r="P9" s="52" t="s">
        <v>0</v>
      </c>
      <c r="Q9" s="52" t="s">
        <v>0</v>
      </c>
      <c r="R9" s="52"/>
      <c r="S9" s="52"/>
      <c r="T9" s="52" t="s">
        <v>0</v>
      </c>
      <c r="U9" s="18"/>
      <c r="V9" s="52" t="s">
        <v>0</v>
      </c>
      <c r="W9" s="52" t="s">
        <v>0</v>
      </c>
      <c r="X9" s="52" t="s">
        <v>0</v>
      </c>
      <c r="Y9" s="52" t="s">
        <v>0</v>
      </c>
      <c r="Z9" s="52" t="s">
        <v>0</v>
      </c>
      <c r="AA9" s="52"/>
      <c r="AB9" s="52" t="s">
        <v>0</v>
      </c>
      <c r="AC9" s="52" t="s">
        <v>0</v>
      </c>
      <c r="AD9" s="52"/>
      <c r="AE9" s="52" t="s">
        <v>0</v>
      </c>
      <c r="AF9" s="52" t="s">
        <v>0</v>
      </c>
      <c r="AG9" s="52"/>
      <c r="AH9" s="52" t="s">
        <v>0</v>
      </c>
      <c r="AI9" s="52" t="s">
        <v>0</v>
      </c>
      <c r="AJ9" s="52"/>
      <c r="AK9" s="52" t="s">
        <v>0</v>
      </c>
      <c r="AL9" s="52" t="s">
        <v>0</v>
      </c>
      <c r="AM9" s="52"/>
      <c r="AN9" s="52"/>
      <c r="AO9" s="52" t="s">
        <v>0</v>
      </c>
      <c r="AP9" s="52"/>
      <c r="AQ9" s="52" t="s">
        <v>0</v>
      </c>
      <c r="AR9" s="52" t="s">
        <v>0</v>
      </c>
      <c r="AS9" s="52" t="s">
        <v>0</v>
      </c>
      <c r="AT9" s="52" t="s">
        <v>0</v>
      </c>
      <c r="AU9" s="52" t="s">
        <v>0</v>
      </c>
      <c r="AV9" s="52"/>
      <c r="AW9" s="52" t="s">
        <v>0</v>
      </c>
      <c r="AX9" s="52" t="s">
        <v>0</v>
      </c>
      <c r="AY9" s="52" t="s">
        <v>0</v>
      </c>
      <c r="AZ9" s="52" t="s">
        <v>0</v>
      </c>
      <c r="BA9" s="52" t="s">
        <v>0</v>
      </c>
      <c r="BB9" s="52"/>
      <c r="BC9" s="52" t="s">
        <v>0</v>
      </c>
      <c r="BD9" s="52" t="s">
        <v>0</v>
      </c>
      <c r="BE9" s="18"/>
      <c r="BF9" s="52" t="s">
        <v>0</v>
      </c>
      <c r="BG9" s="52" t="s">
        <v>0</v>
      </c>
      <c r="BH9" s="52" t="s">
        <v>0</v>
      </c>
      <c r="BI9" s="52" t="s">
        <v>0</v>
      </c>
      <c r="BJ9" s="52" t="s">
        <v>0</v>
      </c>
      <c r="BK9" s="52" t="s">
        <v>0</v>
      </c>
      <c r="BL9" s="126"/>
      <c r="BM9" s="126"/>
      <c r="BN9" s="126"/>
      <c r="BO9" s="126"/>
      <c r="BP9" s="126"/>
      <c r="BQ9" s="126" t="s">
        <v>0</v>
      </c>
      <c r="BR9" s="126"/>
      <c r="BS9" s="126"/>
      <c r="BT9" s="126"/>
      <c r="BU9" s="127" t="s">
        <v>0</v>
      </c>
      <c r="BV9" s="127" t="s">
        <v>0</v>
      </c>
      <c r="BW9" s="127"/>
      <c r="BX9" s="127"/>
      <c r="BY9" s="127"/>
      <c r="BZ9" s="127"/>
      <c r="CA9" s="127"/>
      <c r="CB9" s="127"/>
      <c r="CC9" s="127"/>
      <c r="CD9" s="127"/>
      <c r="CE9" s="127"/>
      <c r="CF9" s="127"/>
    </row>
    <row r="10" spans="1:84" s="17" customFormat="1" ht="20.25" customHeight="1" x14ac:dyDescent="0.3">
      <c r="A10" s="1">
        <v>6</v>
      </c>
      <c r="B10" s="1" t="s">
        <v>230</v>
      </c>
      <c r="C10" s="52" t="s">
        <v>0</v>
      </c>
      <c r="D10" s="52" t="s">
        <v>0</v>
      </c>
      <c r="E10" s="52" t="s">
        <v>0</v>
      </c>
      <c r="F10" s="52" t="s">
        <v>0</v>
      </c>
      <c r="G10" s="52" t="s">
        <v>0</v>
      </c>
      <c r="H10" s="52" t="s">
        <v>0</v>
      </c>
      <c r="I10" s="52" t="s">
        <v>0</v>
      </c>
      <c r="J10" s="52" t="s">
        <v>0</v>
      </c>
      <c r="K10" s="52" t="s">
        <v>0</v>
      </c>
      <c r="L10" s="52" t="s">
        <v>0</v>
      </c>
      <c r="M10" s="52" t="s">
        <v>0</v>
      </c>
      <c r="N10" s="52" t="s">
        <v>0</v>
      </c>
      <c r="O10" s="52"/>
      <c r="P10" s="52" t="s">
        <v>0</v>
      </c>
      <c r="Q10" s="52" t="s">
        <v>0</v>
      </c>
      <c r="R10" s="52" t="s">
        <v>0</v>
      </c>
      <c r="S10" s="52" t="s">
        <v>0</v>
      </c>
      <c r="T10" s="52" t="s">
        <v>0</v>
      </c>
      <c r="U10" s="18"/>
      <c r="V10" s="52" t="s">
        <v>0</v>
      </c>
      <c r="W10" s="52" t="s">
        <v>0</v>
      </c>
      <c r="X10" s="52" t="s">
        <v>0</v>
      </c>
      <c r="Y10" s="52" t="s">
        <v>0</v>
      </c>
      <c r="Z10" s="52" t="s">
        <v>0</v>
      </c>
      <c r="AA10" s="52"/>
      <c r="AB10" s="52" t="s">
        <v>0</v>
      </c>
      <c r="AC10" s="52" t="s">
        <v>0</v>
      </c>
      <c r="AD10" s="52" t="s">
        <v>0</v>
      </c>
      <c r="AE10" s="52" t="s">
        <v>0</v>
      </c>
      <c r="AF10" s="52" t="s">
        <v>0</v>
      </c>
      <c r="AG10" s="52" t="s">
        <v>0</v>
      </c>
      <c r="AH10" s="52" t="s">
        <v>0</v>
      </c>
      <c r="AI10" s="52" t="s">
        <v>0</v>
      </c>
      <c r="AJ10" s="52"/>
      <c r="AK10" s="52" t="s">
        <v>0</v>
      </c>
      <c r="AL10" s="52" t="s">
        <v>0</v>
      </c>
      <c r="AM10" s="52"/>
      <c r="AN10" s="52" t="s">
        <v>0</v>
      </c>
      <c r="AO10" s="52" t="s">
        <v>0</v>
      </c>
      <c r="AP10" s="52" t="s">
        <v>0</v>
      </c>
      <c r="AQ10" s="52" t="s">
        <v>0</v>
      </c>
      <c r="AR10" s="52" t="s">
        <v>0</v>
      </c>
      <c r="AS10" s="52"/>
      <c r="AT10" s="52" t="s">
        <v>0</v>
      </c>
      <c r="AU10" s="52" t="s">
        <v>0</v>
      </c>
      <c r="AV10" s="52" t="s">
        <v>0</v>
      </c>
      <c r="AW10" s="52" t="s">
        <v>0</v>
      </c>
      <c r="AX10" s="52" t="s">
        <v>0</v>
      </c>
      <c r="AY10" s="52" t="s">
        <v>0</v>
      </c>
      <c r="AZ10" s="52" t="s">
        <v>0</v>
      </c>
      <c r="BA10" s="52" t="s">
        <v>0</v>
      </c>
      <c r="BB10" s="52"/>
      <c r="BC10" s="52" t="s">
        <v>0</v>
      </c>
      <c r="BD10" s="52" t="s">
        <v>0</v>
      </c>
      <c r="BE10" s="52" t="s">
        <v>0</v>
      </c>
      <c r="BF10" s="52" t="s">
        <v>0</v>
      </c>
      <c r="BG10" s="52" t="s">
        <v>0</v>
      </c>
      <c r="BH10" s="52" t="s">
        <v>0</v>
      </c>
      <c r="BI10" s="52" t="s">
        <v>0</v>
      </c>
      <c r="BJ10" s="52" t="s">
        <v>0</v>
      </c>
      <c r="BK10" s="52" t="s">
        <v>0</v>
      </c>
      <c r="BL10" s="126"/>
      <c r="BM10" s="126"/>
      <c r="BN10" s="126"/>
      <c r="BO10" s="126"/>
      <c r="BP10" s="126"/>
      <c r="BQ10" s="126"/>
      <c r="BR10" s="126"/>
      <c r="BS10" s="126"/>
      <c r="BT10" s="126"/>
      <c r="BU10" s="127" t="s">
        <v>0</v>
      </c>
      <c r="BV10" s="127" t="s">
        <v>0</v>
      </c>
      <c r="BW10" s="127"/>
      <c r="BX10" s="127"/>
      <c r="BY10" s="127"/>
      <c r="BZ10" s="127"/>
      <c r="CA10" s="127"/>
      <c r="CB10" s="127"/>
      <c r="CC10" s="127"/>
      <c r="CD10" s="127"/>
      <c r="CE10" s="127"/>
      <c r="CF10" s="127"/>
    </row>
    <row r="11" spans="1:84" s="17" customFormat="1" ht="18.75" x14ac:dyDescent="0.3">
      <c r="A11" s="77" t="s">
        <v>145</v>
      </c>
      <c r="B11" s="3" t="s">
        <v>231</v>
      </c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  <c r="R11" s="51"/>
      <c r="S11" s="5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51"/>
      <c r="BM11" s="51"/>
      <c r="BN11" s="51" t="s">
        <v>0</v>
      </c>
      <c r="BO11" s="51"/>
      <c r="BP11" s="51"/>
      <c r="BQ11" s="51"/>
      <c r="BR11" s="51"/>
      <c r="BS11" s="51"/>
      <c r="BT11" s="51"/>
      <c r="BU11" s="51"/>
      <c r="BV11" s="51"/>
      <c r="BW11" s="51"/>
      <c r="BX11" s="51"/>
      <c r="BY11" s="51"/>
      <c r="BZ11" s="51"/>
      <c r="CA11" s="51"/>
      <c r="CB11" s="51"/>
      <c r="CC11" s="51"/>
      <c r="CD11" s="51"/>
      <c r="CE11" s="51"/>
      <c r="CF11" s="51"/>
    </row>
    <row r="12" spans="1:84" s="17" customFormat="1" ht="18.75" x14ac:dyDescent="0.3">
      <c r="A12" s="21">
        <v>8</v>
      </c>
      <c r="B12" s="1" t="s">
        <v>232</v>
      </c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51"/>
      <c r="BM12" s="51"/>
      <c r="BN12" s="51"/>
      <c r="BO12" s="51"/>
      <c r="BP12" s="51"/>
      <c r="BQ12" s="51" t="s">
        <v>0</v>
      </c>
      <c r="BR12" s="51"/>
      <c r="BS12" s="51"/>
      <c r="BT12" s="51"/>
      <c r="BU12" s="51" t="s">
        <v>0</v>
      </c>
      <c r="BV12" s="51" t="s">
        <v>0</v>
      </c>
      <c r="BW12" s="51"/>
      <c r="BX12" s="51"/>
      <c r="BY12" s="51"/>
      <c r="BZ12" s="51"/>
      <c r="CA12" s="51"/>
      <c r="CB12" s="51"/>
      <c r="CC12" s="51"/>
      <c r="CD12" s="51"/>
      <c r="CE12" s="51"/>
      <c r="CF12" s="51"/>
    </row>
    <row r="13" spans="1:84" s="17" customFormat="1" ht="15.75" x14ac:dyDescent="0.25"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BU13" s="54"/>
      <c r="BV13" s="54"/>
      <c r="BW13" s="54"/>
      <c r="BX13" s="54"/>
      <c r="BY13" s="54"/>
      <c r="BZ13" s="54"/>
      <c r="CA13" s="54"/>
      <c r="CB13" s="54"/>
      <c r="CC13" s="54"/>
      <c r="CD13" s="54"/>
      <c r="CE13" s="54"/>
      <c r="CF13" s="54"/>
    </row>
    <row r="14" spans="1:84" s="17" customFormat="1" ht="15.75" x14ac:dyDescent="0.25"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BU14" s="54"/>
      <c r="BV14" s="54"/>
      <c r="BW14" s="54"/>
      <c r="BX14" s="54"/>
      <c r="BY14" s="54"/>
      <c r="BZ14" s="54"/>
      <c r="CA14" s="54"/>
      <c r="CB14" s="54"/>
      <c r="CC14" s="54"/>
      <c r="CD14" s="54"/>
      <c r="CE14" s="54"/>
      <c r="CF14" s="54"/>
    </row>
    <row r="15" spans="1:84" s="17" customFormat="1" ht="15.75" x14ac:dyDescent="0.25"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BU15" s="54"/>
      <c r="BV15" s="54"/>
      <c r="BW15" s="54"/>
      <c r="BX15" s="54"/>
      <c r="BY15" s="54"/>
      <c r="BZ15" s="54"/>
      <c r="CA15" s="54"/>
      <c r="CB15" s="54"/>
      <c r="CC15" s="54"/>
      <c r="CD15" s="54"/>
      <c r="CE15" s="54"/>
      <c r="CF15" s="54"/>
    </row>
    <row r="16" spans="1:84" s="17" customFormat="1" ht="15.75" x14ac:dyDescent="0.25"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BU16" s="54"/>
      <c r="BV16" s="54"/>
      <c r="BW16" s="54"/>
      <c r="BX16" s="54"/>
      <c r="BY16" s="54"/>
      <c r="BZ16" s="54"/>
      <c r="CA16" s="54"/>
      <c r="CB16" s="54"/>
      <c r="CC16" s="54"/>
      <c r="CD16" s="54"/>
      <c r="CE16" s="54"/>
      <c r="CF16" s="54"/>
    </row>
    <row r="17" spans="3:84" s="17" customFormat="1" ht="15.75" x14ac:dyDescent="0.25">
      <c r="C17" s="54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BU17" s="54"/>
      <c r="BV17" s="54"/>
      <c r="BW17" s="54"/>
      <c r="BX17" s="54"/>
      <c r="BY17" s="54"/>
      <c r="BZ17" s="54"/>
      <c r="CA17" s="54"/>
      <c r="CB17" s="54"/>
      <c r="CC17" s="54"/>
      <c r="CD17" s="54"/>
      <c r="CE17" s="54"/>
      <c r="CF17" s="54"/>
    </row>
    <row r="18" spans="3:84" s="17" customFormat="1" ht="15.75" x14ac:dyDescent="0.25">
      <c r="C18" s="54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</row>
  </sheetData>
  <mergeCells count="25"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17"/>
  <sheetViews>
    <sheetView tabSelected="1" workbookViewId="0">
      <selection activeCell="E13" sqref="E13"/>
    </sheetView>
  </sheetViews>
  <sheetFormatPr defaultRowHeight="15" x14ac:dyDescent="0.25"/>
  <cols>
    <col min="1" max="1" width="9.140625" style="64"/>
    <col min="2" max="2" width="29.7109375" customWidth="1"/>
    <col min="3" max="3" width="21.28515625" customWidth="1"/>
    <col min="4" max="4" width="19.85546875" customWidth="1"/>
    <col min="5" max="5" width="36.140625" customWidth="1"/>
    <col min="6" max="6" width="28" customWidth="1"/>
    <col min="7" max="7" width="14.85546875" style="64" customWidth="1"/>
    <col min="8" max="8" width="13.85546875" style="64" customWidth="1"/>
    <col min="9" max="9" width="22" style="64" customWidth="1"/>
    <col min="10" max="10" width="21.140625" customWidth="1"/>
    <col min="18" max="18" width="12" customWidth="1"/>
    <col min="19" max="19" width="11.28515625" customWidth="1"/>
  </cols>
  <sheetData>
    <row r="1" spans="1:22" ht="26.25" x14ac:dyDescent="0.4">
      <c r="B1" s="5" t="s">
        <v>303</v>
      </c>
      <c r="D1" s="53"/>
      <c r="E1" s="53"/>
      <c r="F1" s="53"/>
      <c r="G1" s="53"/>
      <c r="K1" s="64"/>
      <c r="L1" s="64"/>
      <c r="M1" s="64"/>
      <c r="N1" s="64"/>
      <c r="O1" s="64"/>
      <c r="P1" s="64"/>
      <c r="Q1" s="64"/>
    </row>
    <row r="2" spans="1:22" ht="15.75" x14ac:dyDescent="0.25">
      <c r="D2" s="53"/>
      <c r="E2" s="53"/>
      <c r="F2" s="53"/>
      <c r="G2" s="53"/>
      <c r="K2" s="179" t="s">
        <v>7</v>
      </c>
      <c r="L2" s="179"/>
      <c r="M2" s="179"/>
      <c r="N2" s="179"/>
      <c r="O2" s="180" t="s">
        <v>8</v>
      </c>
      <c r="P2" s="180"/>
      <c r="Q2" s="180"/>
      <c r="R2" s="193" t="s">
        <v>327</v>
      </c>
      <c r="S2" s="193" t="s">
        <v>328</v>
      </c>
      <c r="T2" s="178" t="s">
        <v>11</v>
      </c>
      <c r="U2" s="178" t="s">
        <v>12</v>
      </c>
      <c r="V2" s="193" t="s">
        <v>329</v>
      </c>
    </row>
    <row r="3" spans="1:22" s="64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78"/>
      <c r="S3" s="178"/>
      <c r="T3" s="178"/>
      <c r="U3" s="178"/>
      <c r="V3" s="178"/>
    </row>
    <row r="4" spans="1:22" ht="18.75" x14ac:dyDescent="0.3">
      <c r="A4" s="2">
        <v>1</v>
      </c>
      <c r="B4" s="1" t="s">
        <v>304</v>
      </c>
      <c r="C4" s="1"/>
      <c r="D4" s="3" t="s">
        <v>305</v>
      </c>
      <c r="E4" s="3" t="s">
        <v>306</v>
      </c>
      <c r="F4" s="1"/>
      <c r="G4" s="2"/>
      <c r="H4" s="2" t="s">
        <v>53</v>
      </c>
      <c r="I4" s="2" t="s">
        <v>312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316</v>
      </c>
      <c r="C5" s="1"/>
      <c r="D5" s="3" t="s">
        <v>317</v>
      </c>
      <c r="E5" s="3" t="s">
        <v>318</v>
      </c>
      <c r="F5" s="1"/>
      <c r="G5" s="2"/>
      <c r="H5" s="2" t="s">
        <v>53</v>
      </c>
      <c r="I5" s="2" t="s">
        <v>312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326</v>
      </c>
      <c r="C6" s="3"/>
      <c r="D6" s="3" t="s">
        <v>324</v>
      </c>
      <c r="E6" s="3"/>
      <c r="F6" s="3"/>
      <c r="G6" s="34"/>
      <c r="H6" s="2" t="s">
        <v>53</v>
      </c>
      <c r="I6" s="2" t="s">
        <v>312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323</v>
      </c>
      <c r="C7" s="3"/>
      <c r="D7" s="3" t="s">
        <v>325</v>
      </c>
      <c r="E7" s="3" t="s">
        <v>121</v>
      </c>
      <c r="F7" s="3"/>
      <c r="G7" s="34"/>
      <c r="H7" s="2" t="s">
        <v>53</v>
      </c>
      <c r="I7" s="2" t="s">
        <v>312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s="1" customFormat="1" ht="18.75" x14ac:dyDescent="0.3">
      <c r="A8" s="2">
        <v>5</v>
      </c>
      <c r="B8" s="1" t="s">
        <v>338</v>
      </c>
      <c r="C8" s="3"/>
      <c r="D8" s="3" t="s">
        <v>342</v>
      </c>
      <c r="E8" s="3" t="s">
        <v>339</v>
      </c>
      <c r="F8" s="3"/>
      <c r="G8" s="34"/>
      <c r="H8" s="2" t="s">
        <v>53</v>
      </c>
      <c r="I8" s="2" t="s">
        <v>337</v>
      </c>
    </row>
    <row r="9" spans="1:22" ht="18.75" x14ac:dyDescent="0.3">
      <c r="A9" s="2">
        <v>6</v>
      </c>
      <c r="B9" s="1" t="s">
        <v>340</v>
      </c>
      <c r="C9" s="3"/>
      <c r="D9" s="3" t="s">
        <v>343</v>
      </c>
      <c r="E9" s="3" t="s">
        <v>341</v>
      </c>
      <c r="F9" s="3"/>
      <c r="G9" s="34"/>
      <c r="H9" s="2" t="s">
        <v>53</v>
      </c>
      <c r="I9" s="2" t="s">
        <v>337</v>
      </c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1" t="s">
        <v>344</v>
      </c>
      <c r="C10" s="3"/>
      <c r="D10" s="3" t="s">
        <v>345</v>
      </c>
      <c r="E10" s="3" t="s">
        <v>346</v>
      </c>
      <c r="F10" s="3"/>
      <c r="G10" s="34"/>
      <c r="H10" s="2" t="s">
        <v>53</v>
      </c>
      <c r="I10" s="2" t="s">
        <v>337</v>
      </c>
    </row>
    <row r="11" spans="1:22" ht="18.75" x14ac:dyDescent="0.3">
      <c r="A11" s="2">
        <v>8</v>
      </c>
      <c r="B11" s="1" t="s">
        <v>347</v>
      </c>
      <c r="C11" s="3"/>
      <c r="D11" s="3" t="s">
        <v>348</v>
      </c>
      <c r="E11" s="3" t="s">
        <v>349</v>
      </c>
      <c r="F11" s="3"/>
      <c r="G11" s="34"/>
      <c r="H11" s="2" t="s">
        <v>53</v>
      </c>
      <c r="I11" s="2" t="s">
        <v>337</v>
      </c>
    </row>
    <row r="12" spans="1:22" ht="18.75" x14ac:dyDescent="0.3">
      <c r="A12" s="2">
        <v>9</v>
      </c>
      <c r="B12" s="1" t="s">
        <v>352</v>
      </c>
      <c r="C12" s="3"/>
      <c r="D12" s="3" t="s">
        <v>354</v>
      </c>
      <c r="E12" s="3"/>
      <c r="G12" s="34"/>
      <c r="H12" s="2" t="s">
        <v>53</v>
      </c>
      <c r="I12" s="2" t="s">
        <v>353</v>
      </c>
      <c r="K12" s="176"/>
      <c r="L12" s="176"/>
      <c r="M12" s="176"/>
      <c r="N12" s="176"/>
      <c r="O12" s="176"/>
      <c r="P12" s="176"/>
      <c r="Q12" s="176"/>
      <c r="R12" s="176"/>
      <c r="S12" s="176"/>
      <c r="T12" s="176"/>
      <c r="U12" s="176"/>
      <c r="V12" s="176"/>
    </row>
    <row r="13" spans="1:22" ht="18.75" x14ac:dyDescent="0.3">
      <c r="A13" s="2">
        <v>10</v>
      </c>
      <c r="B13" s="1" t="s">
        <v>357</v>
      </c>
      <c r="C13" s="3"/>
      <c r="D13" s="3" t="s">
        <v>356</v>
      </c>
      <c r="E13" s="3"/>
      <c r="G13" s="34"/>
      <c r="H13" s="2" t="s">
        <v>53</v>
      </c>
      <c r="I13" s="2" t="s">
        <v>337</v>
      </c>
      <c r="K13" s="176"/>
      <c r="L13" s="176"/>
      <c r="M13" s="176"/>
      <c r="N13" s="176"/>
      <c r="O13" s="176"/>
      <c r="P13" s="176"/>
      <c r="Q13" s="176"/>
      <c r="R13" s="176"/>
      <c r="S13" s="176"/>
      <c r="T13" s="176"/>
      <c r="U13" s="176"/>
      <c r="V13" s="176"/>
    </row>
    <row r="14" spans="1:22" ht="18.75" x14ac:dyDescent="0.3">
      <c r="A14" s="2"/>
      <c r="B14" s="1"/>
      <c r="C14" s="3"/>
      <c r="D14" s="3"/>
      <c r="E14" s="3"/>
      <c r="G14" s="34"/>
      <c r="H14" s="2"/>
      <c r="I14" s="2"/>
      <c r="K14" s="176"/>
      <c r="L14" s="176"/>
      <c r="M14" s="176"/>
      <c r="N14" s="176"/>
      <c r="O14" s="176"/>
      <c r="P14" s="176"/>
      <c r="Q14" s="176"/>
      <c r="R14" s="176"/>
      <c r="S14" s="176"/>
      <c r="T14" s="176"/>
      <c r="U14" s="176"/>
      <c r="V14" s="176"/>
    </row>
    <row r="15" spans="1:22" ht="18.75" x14ac:dyDescent="0.3">
      <c r="A15" s="2"/>
      <c r="B15" s="1"/>
      <c r="C15" s="3"/>
      <c r="D15" s="3"/>
      <c r="E15" s="3"/>
      <c r="G15" s="34"/>
      <c r="H15" s="2"/>
      <c r="I15" s="2"/>
      <c r="K15" s="176"/>
      <c r="L15" s="176"/>
      <c r="M15" s="176"/>
      <c r="N15" s="176"/>
      <c r="O15" s="176"/>
      <c r="P15" s="176"/>
      <c r="Q15" s="176"/>
      <c r="R15" s="176"/>
      <c r="S15" s="176"/>
      <c r="T15" s="176"/>
      <c r="U15" s="176"/>
      <c r="V15" s="176"/>
    </row>
    <row r="16" spans="1:22" ht="18.75" x14ac:dyDescent="0.3">
      <c r="A16" s="2"/>
      <c r="B16" s="1"/>
      <c r="C16" s="3"/>
      <c r="D16" s="3"/>
      <c r="E16" s="3"/>
      <c r="G16" s="34"/>
      <c r="H16" s="2"/>
      <c r="I16" s="2"/>
      <c r="K16" s="176"/>
      <c r="L16" s="176"/>
      <c r="M16" s="176"/>
      <c r="N16" s="176"/>
      <c r="O16" s="176"/>
      <c r="P16" s="176"/>
      <c r="Q16" s="176"/>
      <c r="R16" s="176"/>
      <c r="S16" s="176"/>
      <c r="T16" s="176"/>
      <c r="U16" s="176"/>
      <c r="V16" s="176"/>
    </row>
    <row r="17" spans="1:9" s="1" customFormat="1" ht="18.75" x14ac:dyDescent="0.3">
      <c r="A17" s="2"/>
      <c r="G17" s="2"/>
      <c r="H17" s="2"/>
      <c r="I17" s="2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2"/>
  <sheetViews>
    <sheetView workbookViewId="0">
      <selection activeCell="B7" sqref="B7"/>
    </sheetView>
  </sheetViews>
  <sheetFormatPr defaultRowHeight="15" x14ac:dyDescent="0.25"/>
  <cols>
    <col min="1" max="1" width="9.140625" style="64"/>
    <col min="2" max="2" width="29.7109375" customWidth="1"/>
    <col min="3" max="3" width="21.28515625" customWidth="1"/>
    <col min="4" max="4" width="19.85546875" customWidth="1"/>
    <col min="5" max="5" width="36.140625" customWidth="1"/>
    <col min="6" max="6" width="28" customWidth="1"/>
    <col min="7" max="7" width="14.85546875" style="64" customWidth="1"/>
    <col min="8" max="8" width="13.85546875" style="64" customWidth="1"/>
    <col min="9" max="9" width="22" style="64" customWidth="1"/>
    <col min="10" max="10" width="21.140625" customWidth="1"/>
  </cols>
  <sheetData>
    <row r="1" spans="1:22" ht="26.25" x14ac:dyDescent="0.4">
      <c r="B1" s="5" t="s">
        <v>319</v>
      </c>
      <c r="D1" s="53"/>
      <c r="E1" s="53"/>
      <c r="F1" s="53"/>
      <c r="G1" s="53"/>
      <c r="K1" s="64"/>
      <c r="L1" s="64"/>
      <c r="M1" s="64"/>
      <c r="N1" s="64"/>
      <c r="O1" s="64"/>
      <c r="P1" s="64"/>
      <c r="Q1" s="64"/>
    </row>
    <row r="2" spans="1:22" ht="15.75" x14ac:dyDescent="0.25">
      <c r="D2" s="53"/>
      <c r="E2" s="53"/>
      <c r="F2" s="53"/>
      <c r="G2" s="53"/>
      <c r="K2" s="179" t="s">
        <v>7</v>
      </c>
      <c r="L2" s="179"/>
      <c r="M2" s="179"/>
      <c r="N2" s="179"/>
      <c r="O2" s="180" t="s">
        <v>8</v>
      </c>
      <c r="P2" s="180"/>
      <c r="Q2" s="180"/>
      <c r="R2" s="178" t="s">
        <v>9</v>
      </c>
      <c r="S2" s="178" t="s">
        <v>10</v>
      </c>
      <c r="T2" s="178" t="s">
        <v>11</v>
      </c>
      <c r="U2" s="178" t="s">
        <v>12</v>
      </c>
      <c r="V2" s="178" t="s">
        <v>13</v>
      </c>
    </row>
    <row r="3" spans="1:22" s="64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78"/>
      <c r="S3" s="178"/>
      <c r="T3" s="178"/>
      <c r="U3" s="178"/>
      <c r="V3" s="178"/>
    </row>
    <row r="4" spans="1:22" ht="18.75" x14ac:dyDescent="0.3">
      <c r="A4" s="2">
        <v>1</v>
      </c>
      <c r="B4" s="1" t="s">
        <v>320</v>
      </c>
      <c r="C4" s="1"/>
      <c r="D4" s="3" t="s">
        <v>322</v>
      </c>
      <c r="E4" s="3" t="s">
        <v>321</v>
      </c>
      <c r="F4" s="1"/>
      <c r="G4" s="2"/>
      <c r="H4" s="2" t="s">
        <v>53</v>
      </c>
      <c r="I4" s="2" t="s">
        <v>312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76" t="s">
        <v>331</v>
      </c>
      <c r="C5" s="1"/>
      <c r="D5" s="57" t="s">
        <v>332</v>
      </c>
      <c r="E5" s="3" t="s">
        <v>333</v>
      </c>
      <c r="F5" s="1"/>
      <c r="G5" s="2"/>
      <c r="H5" s="2" t="s">
        <v>53</v>
      </c>
      <c r="I5" s="2" t="s">
        <v>312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334</v>
      </c>
      <c r="C6" s="3"/>
      <c r="D6" s="3" t="s">
        <v>335</v>
      </c>
      <c r="E6" s="3" t="s">
        <v>336</v>
      </c>
      <c r="F6" s="3"/>
      <c r="G6" s="34"/>
      <c r="H6" s="2" t="s">
        <v>53</v>
      </c>
      <c r="I6" s="2" t="s">
        <v>337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>
        <v>4</v>
      </c>
      <c r="B7" s="1" t="s">
        <v>350</v>
      </c>
      <c r="C7" s="3"/>
      <c r="D7" s="3" t="s">
        <v>351</v>
      </c>
      <c r="E7" s="3"/>
      <c r="F7" s="3"/>
      <c r="G7" s="34"/>
      <c r="H7" s="2" t="s">
        <v>53</v>
      </c>
      <c r="I7" s="2" t="s">
        <v>312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/>
      <c r="C8" s="3"/>
      <c r="D8" s="3"/>
      <c r="E8" s="3"/>
      <c r="F8" s="3"/>
      <c r="G8" s="34"/>
      <c r="H8" s="2"/>
      <c r="I8" s="2"/>
    </row>
    <row r="9" spans="1:22" ht="18.75" x14ac:dyDescent="0.3">
      <c r="A9" s="2">
        <v>6</v>
      </c>
      <c r="B9" s="1"/>
      <c r="C9" s="3"/>
      <c r="D9" s="3"/>
      <c r="E9" s="3"/>
      <c r="F9" s="3"/>
      <c r="G9" s="34"/>
      <c r="H9" s="2"/>
      <c r="I9" s="2"/>
    </row>
    <row r="10" spans="1:22" ht="18.75" x14ac:dyDescent="0.3">
      <c r="A10" s="2">
        <v>7</v>
      </c>
      <c r="B10" s="1"/>
      <c r="C10" s="3"/>
      <c r="D10" s="3"/>
      <c r="E10" s="3"/>
      <c r="F10" s="3"/>
      <c r="G10" s="34"/>
      <c r="H10" s="2"/>
      <c r="I10" s="2"/>
    </row>
    <row r="11" spans="1:22" ht="18.75" x14ac:dyDescent="0.3">
      <c r="A11" s="2">
        <v>8</v>
      </c>
      <c r="B11" s="1"/>
      <c r="C11" s="3"/>
      <c r="D11" s="3"/>
      <c r="E11" s="3"/>
      <c r="F11" s="3"/>
      <c r="G11" s="34"/>
      <c r="H11" s="2"/>
      <c r="I11" s="2"/>
    </row>
    <row r="12" spans="1:22" ht="18.75" x14ac:dyDescent="0.3">
      <c r="A12" s="2">
        <v>9</v>
      </c>
      <c r="B12" s="1"/>
      <c r="C12" s="3"/>
      <c r="D12" s="3"/>
      <c r="E12" s="3"/>
      <c r="G12" s="34"/>
      <c r="H12" s="2"/>
      <c r="I12" s="2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2017-10-04T04:35:25Z</dcterms:modified>
</cp:coreProperties>
</file>