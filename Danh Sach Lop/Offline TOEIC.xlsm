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8" activeTab="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H3" i="20" l="1"/>
  <c r="E10" i="20" l="1"/>
  <c r="C3" i="20" l="1"/>
  <c r="F10" i="20" s="1"/>
  <c r="E13" i="20"/>
  <c r="E6" i="20"/>
  <c r="F6" i="20" s="1"/>
  <c r="E20" i="20"/>
  <c r="E21" i="20"/>
  <c r="F21" i="20" s="1"/>
  <c r="E22" i="20"/>
  <c r="F22" i="20" s="1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15" i="20" l="1"/>
  <c r="F18" i="20"/>
  <c r="F20" i="20"/>
  <c r="F12" i="20"/>
  <c r="F13" i="20"/>
</calcChain>
</file>

<file path=xl/sharedStrings.xml><?xml version="1.0" encoding="utf-8"?>
<sst xmlns="http://schemas.openxmlformats.org/spreadsheetml/2006/main" count="1668" uniqueCount="253">
  <si>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</si>
  <si>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</si>
  <si>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</si>
  <si>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</si>
  <si>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</si>
  <si>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</si>
  <si>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</si>
  <si>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</si>
  <si>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</si>
  <si>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</si>
  <si>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</si>
  <si>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</si>
  <si>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</si>
  <si>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</si>
  <si>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</si>
  <si>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</si>
  <si>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</si>
  <si>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</si>
  <si>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</si>
  <si>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</si>
  <si>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</si>
  <si>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</si>
  <si>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</si>
  <si>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</si>
  <si>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</si>
  <si>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</si>
  <si>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</si>
  <si>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</si>
  <si>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</si>
  <si>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</si>
  <si>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</si>
  <si>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</si>
  <si>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</si>
  <si>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</si>
  <si>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</si>
  <si>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</si>
  <si>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</si>
  <si>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</si>
  <si>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</si>
  <si>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</si>
  <si>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</si>
  <si>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</si>
  <si>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</si>
  <si>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</si>
  <si>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</si>
  <si>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</si>
  <si>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</si>
  <si>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</si>
  <si>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</si>
  <si>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</si>
  <si>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</si>
  <si>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</si>
  <si>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</si>
  <si>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</si>
  <si>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</si>
  <si>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</si>
  <si>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</si>
  <si>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</si>
  <si>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</si>
  <si>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</si>
  <si>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</si>
  <si>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</si>
  <si>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</si>
  <si>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</si>
  <si>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</si>
  <si>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</si>
  <si>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</si>
  <si>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</si>
  <si>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</si>
  <si>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</si>
  <si>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</si>
  <si>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</si>
  <si>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</si>
  <si>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</si>
  <si>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</si>
  <si>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</si>
  <si>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</si>
  <si>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</si>
  <si>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</si>
  <si>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</si>
  <si>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</si>
  <si>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</si>
  <si>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</si>
  <si>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</si>
  <si>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</si>
  <si>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</si>
  <si>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</si>
  <si>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</si>
  <si>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</si>
  <si>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</si>
  <si>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</si>
  <si>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</si>
  <si>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</si>
  <si>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</si>
  <si>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</si>
  <si>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</si>
  <si>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</si>
  <si>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</si>
  <si>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</si>
  <si>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</si>
  <si>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</si>
  <si>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</si>
  <si>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</si>
  <si>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</si>
  <si>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</si>
  <si>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</si>
  <si>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</si>
  <si>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</si>
  <si>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</si>
  <si>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</si>
  <si>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</si>
  <si>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</si>
  <si>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</si>
  <si>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</si>
  <si>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</si>
  <si>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</si>
  <si>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</si>
  <si>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</si>
  <si>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</si>
  <si>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</si>
  <si>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</si>
  <si>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</si>
  <si>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</si>
  <si>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</si>
  <si>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</si>
  <si>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</si>
  <si>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</si>
  <si>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</si>
  <si>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</si>
  <si>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</si>
  <si>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</si>
  <si>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</si>
  <si>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</si>
  <si>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</si>
  <si>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</si>
  <si>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</si>
  <si>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</si>
  <si>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</si>
  <si>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</si>
  <si>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</si>
  <si>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</si>
  <si>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</si>
  <si>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</si>
  <si>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</si>
  <si>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</si>
  <si>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</si>
  <si>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</si>
  <si>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</si>
  <si>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</si>
  <si>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</si>
  <si>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</si>
  <si>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</si>
  <si>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</si>
  <si>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</si>
  <si>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</si>
  <si>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</si>
  <si>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</si>
  <si>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</si>
  <si>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</si>
  <si>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</si>
  <si>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</si>
  <si>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</si>
  <si>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</si>
  <si>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</si>
  <si>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</si>
  <si>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</si>
  <si>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</si>
  <si>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</si>
  <si>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</si>
  <si>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</si>
  <si>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</si>
  <si>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</si>
  <si>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</si>
  <si>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</si>
  <si>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</si>
  <si>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</si>
  <si>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</si>
  <si>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</si>
  <si>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</si>
  <si>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</si>
  <si>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</si>
  <si>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</si>
  <si>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</si>
  <si>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</si>
  <si>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</si>
  <si>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</si>
  <si>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</si>
  <si>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</si>
  <si>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</si>
  <si>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</si>
  <si>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</si>
  <si>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</si>
  <si>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</si>
  <si>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</si>
  <si>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</si>
  <si>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</si>
  <si>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</si>
  <si>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</si>
  <si>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</si>
  <si>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</si>
  <si>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</si>
  <si>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</si>
  <si>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</si>
  <si>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</si>
  <si>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</si>
  <si>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</si>
  <si>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</si>
  <si>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</si>
  <si>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</si>
  <si>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</si>
  <si>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</si>
  <si>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</si>
  <si>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</si>
  <si>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</si>
  <si>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</si>
  <si>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</si>
  <si>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</si>
  <si>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</si>
  <si>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</si>
  <si>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</si>
  <si>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</si>
  <si>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</si>
  <si>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</si>
  <si>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</si>
  <si>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</si>
  <si>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</si>
  <si>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</si>
  <si>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</si>
  <si>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</si>
  <si>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</si>
  <si>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</si>
  <si>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26/4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</si>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</sst>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[$-1010000]d/m/yy;@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9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49" fontId="13" fillId="0" borderId="1" xfId="0" applyNumberFormat="1" applyFont="1" applyBorder="1"/>
    <xf numFmtId="0" fontId="2" fillId="4" borderId="1" xfId="3" applyFont="1" applyBorder="1" applyAlignment="1">
      <alignment horizontal="center"/>
    </xf>
    <xf numFmtId="0" fontId="13" fillId="12" borderId="1" xfId="0" applyFont="1" applyFill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4" fontId="2" fillId="4" borderId="1" xfId="3" applyNumberFormat="1" applyFont="1" applyBorder="1" applyAlignment="1">
      <alignment horizontal="center"/>
    </xf>
    <xf numFmtId="165" fontId="2" fillId="4" borderId="1" xfId="3" applyNumberFormat="1" applyFont="1" applyBorder="1" applyAlignment="1">
      <alignment horizontal="center"/>
    </xf>
    <xf numFmtId="166" fontId="13" fillId="0" borderId="1" xfId="0" applyNumberFormat="1" applyFont="1" applyBorder="1"/>
    <xf numFmtId="166" fontId="13" fillId="12" borderId="1" xfId="0" applyNumberFormat="1" applyFont="1" applyFill="1" applyBorder="1"/>
    <xf numFmtId="166" fontId="14" fillId="0" borderId="0" xfId="0" applyNumberFormat="1" applyFont="1" applyBorder="1"/>
    <xf numFmtId="0" fontId="0" fillId="0" borderId="0" xfId="0" applyFill="1" applyBorder="1"/>
    <xf numFmtId="166" fontId="1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topLeftCell="A6" workbookViewId="0">
      <selection activeCell="D6" sqref="D6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76" customWidth="1"/>
    <col min="5" max="5" width="22.28515625" style="7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75"/>
      <c r="E1" s="75"/>
      <c r="F1" s="41"/>
      <c r="G1" s="41"/>
    </row>
    <row r="2" spans="1:8" ht="18.75" x14ac:dyDescent="0.3">
      <c r="A2" s="89" t="s">
        <v>166</v>
      </c>
      <c r="B2" s="89"/>
      <c r="C2" s="89"/>
      <c r="D2" s="89"/>
      <c r="E2" s="89"/>
      <c r="F2" s="89"/>
      <c r="G2" s="41"/>
    </row>
    <row r="3" spans="1:8" x14ac:dyDescent="0.25">
      <c r="B3" s="84" t="s">
        <v>167</v>
      </c>
      <c r="C3" s="85">
        <f ca="1">MONTH(TODAY())</f>
        <v>8</v>
      </c>
      <c r="D3" s="41"/>
      <c r="E3" s="76" t="s">
        <v>168</v>
      </c>
      <c r="G3" t="s">
        <v>230</v>
      </c>
      <c r="H3" s="86">
        <f ca="1">TODAY()</f>
        <v>42969</v>
      </c>
    </row>
    <row r="5" spans="1:8" ht="18.75" x14ac:dyDescent="0.3">
      <c r="A5" s="44" t="s">
        <v>6</v>
      </c>
      <c r="B5" s="44" t="s">
        <v>5</v>
      </c>
      <c r="C5" s="44" t="s">
        <v>164</v>
      </c>
      <c r="D5" s="78" t="s">
        <v>139</v>
      </c>
      <c r="E5" s="77" t="s">
        <v>165</v>
      </c>
      <c r="F5" s="44" t="s">
        <v>169</v>
      </c>
    </row>
    <row r="6" spans="1:8" ht="18.75" x14ac:dyDescent="0.3">
      <c r="A6" s="42">
        <v>1</v>
      </c>
      <c r="B6" s="42" t="s">
        <v>52</v>
      </c>
      <c r="C6" s="42" t="s">
        <v>155</v>
      </c>
      <c r="D6" s="79">
        <v>34475</v>
      </c>
      <c r="E6" s="83">
        <f ca="1">IF(D6="","",DATE(YEAR(TODAY()),MONTH(D6),DAY(D6)))</f>
        <v>42876</v>
      </c>
      <c r="F6" s="22" t="str">
        <f ca="1">IF(D6="","", IF(TODAY()&gt;E6, "Đã xong", IF(TODAY()+7&gt;=E6, "Chuẩn bị tổ chức", IF(MONTH(D6)=$C$3, "Trong tháng có SN",""))))</f>
        <v>Đã xong</v>
      </c>
    </row>
    <row r="7" spans="1:8" ht="18.75" x14ac:dyDescent="0.3">
      <c r="A7" s="42">
        <v>2</v>
      </c>
      <c r="B7" s="42" t="s">
        <v>54</v>
      </c>
      <c r="C7" s="42" t="s">
        <v>155</v>
      </c>
      <c r="D7" s="79">
        <v>34387</v>
      </c>
      <c r="E7" s="83">
        <f t="shared" ref="E7:E22" ca="1" si="0">IF(D7="","",DATE(YEAR(TODAY()),MONTH(D7),DAY(D7)))</f>
        <v>42788</v>
      </c>
      <c r="F7" s="22" t="str">
        <f t="shared" ref="F7:F22" ca="1" si="1">IF(D7="","", IF(TODAY()&gt;E7, "Đã xong", IF(TODAY()+7&gt;=E7, "Chuẩn bị tổ chức", IF(MONTH(D7)=$C$3, "Trong tháng có SN",""))))</f>
        <v>Đã xong</v>
      </c>
    </row>
    <row r="8" spans="1:8" ht="18.75" x14ac:dyDescent="0.3">
      <c r="A8" s="42">
        <v>3</v>
      </c>
      <c r="B8" s="42" t="s">
        <v>55</v>
      </c>
      <c r="C8" s="42" t="s">
        <v>155</v>
      </c>
      <c r="D8" s="79">
        <v>34131</v>
      </c>
      <c r="E8" s="83">
        <f t="shared" ca="1" si="0"/>
        <v>42897</v>
      </c>
      <c r="F8" s="22" t="str">
        <f t="shared" ca="1" si="1"/>
        <v>Đã xong</v>
      </c>
    </row>
    <row r="9" spans="1:8" ht="18.75" x14ac:dyDescent="0.3">
      <c r="A9" s="45">
        <v>4</v>
      </c>
      <c r="B9" s="45" t="s">
        <v>59</v>
      </c>
      <c r="C9" s="45" t="s">
        <v>155</v>
      </c>
      <c r="D9" s="80">
        <v>34926</v>
      </c>
      <c r="E9" s="83">
        <f t="shared" ca="1" si="0"/>
        <v>42962</v>
      </c>
      <c r="F9" s="22" t="str">
        <f t="shared" ca="1" si="1"/>
        <v>Đã xong</v>
      </c>
    </row>
    <row r="10" spans="1:8" ht="18.75" x14ac:dyDescent="0.3">
      <c r="A10" s="42">
        <v>5</v>
      </c>
      <c r="B10" s="42" t="s">
        <v>61</v>
      </c>
      <c r="C10" s="42" t="s">
        <v>155</v>
      </c>
      <c r="D10" s="79">
        <v>35668</v>
      </c>
      <c r="E10" s="83">
        <f ca="1">IF(D10="","",DATE(YEAR(TODAY()),MONTH(D10),DAY(D10)))</f>
        <v>42973</v>
      </c>
      <c r="F10" s="22" t="str">
        <f t="shared" ca="1" si="1"/>
        <v>Chuẩn bị tổ chức</v>
      </c>
      <c r="G10" t="s">
        <v>231</v>
      </c>
    </row>
    <row r="11" spans="1:8" ht="18.75" x14ac:dyDescent="0.3">
      <c r="A11" s="42">
        <v>6</v>
      </c>
      <c r="B11" s="42" t="s">
        <v>62</v>
      </c>
      <c r="C11" s="42" t="s">
        <v>155</v>
      </c>
      <c r="D11" s="79">
        <v>32300</v>
      </c>
      <c r="E11" s="83">
        <f t="shared" ca="1" si="0"/>
        <v>42892</v>
      </c>
      <c r="F11" s="22" t="str">
        <f t="shared" ca="1" si="1"/>
        <v>Đã xong</v>
      </c>
      <c r="G11" s="87"/>
    </row>
    <row r="12" spans="1:8" ht="18.75" x14ac:dyDescent="0.3">
      <c r="A12" s="42">
        <v>7</v>
      </c>
      <c r="B12" s="42" t="s">
        <v>63</v>
      </c>
      <c r="C12" s="42" t="s">
        <v>155</v>
      </c>
      <c r="D12" s="79">
        <v>35748</v>
      </c>
      <c r="E12" s="83">
        <f t="shared" ca="1" si="0"/>
        <v>43053</v>
      </c>
      <c r="F12" s="22" t="str">
        <f t="shared" ca="1" si="1"/>
        <v/>
      </c>
    </row>
    <row r="13" spans="1:8" ht="18.75" x14ac:dyDescent="0.3">
      <c r="A13" s="42">
        <v>8</v>
      </c>
      <c r="B13" s="42" t="s">
        <v>64</v>
      </c>
      <c r="C13" s="42" t="s">
        <v>155</v>
      </c>
      <c r="D13" s="79">
        <v>35756</v>
      </c>
      <c r="E13" s="83">
        <f t="shared" ca="1" si="0"/>
        <v>43061</v>
      </c>
      <c r="F13" s="22" t="str">
        <f t="shared" ca="1" si="1"/>
        <v/>
      </c>
    </row>
    <row r="14" spans="1:8" ht="18.75" x14ac:dyDescent="0.3">
      <c r="A14" s="42">
        <v>9</v>
      </c>
      <c r="B14" s="42" t="s">
        <v>65</v>
      </c>
      <c r="C14" s="42" t="s">
        <v>155</v>
      </c>
      <c r="D14" s="79">
        <v>35443</v>
      </c>
      <c r="E14" s="83">
        <f t="shared" ca="1" si="0"/>
        <v>42748</v>
      </c>
      <c r="F14" s="22" t="str">
        <f t="shared" ca="1" si="1"/>
        <v>Đã xong</v>
      </c>
    </row>
    <row r="15" spans="1:8" ht="18.75" x14ac:dyDescent="0.3">
      <c r="A15" s="42">
        <v>10</v>
      </c>
      <c r="B15" s="42" t="s">
        <v>135</v>
      </c>
      <c r="C15" s="42" t="s">
        <v>155</v>
      </c>
      <c r="D15" s="79">
        <v>35414</v>
      </c>
      <c r="E15" s="83">
        <f t="shared" ca="1" si="0"/>
        <v>43084</v>
      </c>
      <c r="F15" s="22" t="str">
        <f t="shared" ca="1" si="1"/>
        <v/>
      </c>
    </row>
    <row r="16" spans="1:8" ht="18.75" x14ac:dyDescent="0.3">
      <c r="A16" s="42">
        <v>11</v>
      </c>
      <c r="B16" s="42" t="s">
        <v>111</v>
      </c>
      <c r="C16" s="42" t="s">
        <v>150</v>
      </c>
      <c r="D16" s="79">
        <v>35096</v>
      </c>
      <c r="E16" s="83">
        <f t="shared" ca="1" si="0"/>
        <v>42767</v>
      </c>
      <c r="F16" s="22" t="str">
        <f t="shared" ca="1" si="1"/>
        <v>Đã xong</v>
      </c>
    </row>
    <row r="17" spans="1:6" ht="18.75" x14ac:dyDescent="0.3">
      <c r="A17" s="42">
        <v>12</v>
      </c>
      <c r="B17" s="42" t="s">
        <v>57</v>
      </c>
      <c r="C17" s="42" t="s">
        <v>150</v>
      </c>
      <c r="D17" s="79">
        <v>34737</v>
      </c>
      <c r="E17" s="83">
        <f t="shared" ca="1" si="0"/>
        <v>42773</v>
      </c>
      <c r="F17" s="22" t="str">
        <f t="shared" ca="1" si="1"/>
        <v>Đã xong</v>
      </c>
    </row>
    <row r="18" spans="1:6" ht="18.75" x14ac:dyDescent="0.3">
      <c r="A18" s="45">
        <v>13</v>
      </c>
      <c r="B18" s="45" t="s">
        <v>58</v>
      </c>
      <c r="C18" s="45" t="s">
        <v>150</v>
      </c>
      <c r="D18" s="80">
        <v>35318</v>
      </c>
      <c r="E18" s="83">
        <f t="shared" ca="1" si="0"/>
        <v>42988</v>
      </c>
      <c r="F18" s="22" t="str">
        <f t="shared" ca="1" si="1"/>
        <v/>
      </c>
    </row>
    <row r="19" spans="1:6" ht="18.75" x14ac:dyDescent="0.3">
      <c r="A19" s="42">
        <v>14</v>
      </c>
      <c r="B19" s="42" t="s">
        <v>21</v>
      </c>
      <c r="C19" s="42" t="s">
        <v>150</v>
      </c>
      <c r="D19" s="79">
        <v>34700</v>
      </c>
      <c r="E19" s="83">
        <f t="shared" ca="1" si="0"/>
        <v>42736</v>
      </c>
      <c r="F19" s="22" t="str">
        <f t="shared" ca="1" si="1"/>
        <v>Đã xong</v>
      </c>
    </row>
    <row r="20" spans="1:6" ht="18.75" x14ac:dyDescent="0.3">
      <c r="A20" s="42">
        <v>15</v>
      </c>
      <c r="B20" s="42" t="s">
        <v>60</v>
      </c>
      <c r="C20" s="42" t="s">
        <v>150</v>
      </c>
      <c r="D20" s="79">
        <v>35409</v>
      </c>
      <c r="E20" s="83">
        <f ca="1">IF(D20="","",DATE(YEAR(TODAY()),MONTH(D20),DAY(D20)))</f>
        <v>43079</v>
      </c>
      <c r="F20" s="22" t="str">
        <f t="shared" ca="1" si="1"/>
        <v/>
      </c>
    </row>
    <row r="21" spans="1:6" ht="18.75" x14ac:dyDescent="0.3">
      <c r="A21" s="42">
        <v>16</v>
      </c>
      <c r="B21" s="42" t="s">
        <v>66</v>
      </c>
      <c r="C21" s="42" t="s">
        <v>150</v>
      </c>
      <c r="D21" s="79">
        <v>35248</v>
      </c>
      <c r="E21" s="83">
        <f t="shared" ca="1" si="0"/>
        <v>42918</v>
      </c>
      <c r="F21" s="22" t="str">
        <f t="shared" ca="1" si="1"/>
        <v>Đã xong</v>
      </c>
    </row>
    <row r="22" spans="1:6" ht="18.75" x14ac:dyDescent="0.3">
      <c r="A22" s="42">
        <v>17</v>
      </c>
      <c r="B22" s="43" t="s">
        <v>113</v>
      </c>
      <c r="C22" s="42" t="s">
        <v>150</v>
      </c>
      <c r="D22" s="79">
        <v>35166</v>
      </c>
      <c r="E22" s="83">
        <f t="shared" ca="1" si="0"/>
        <v>42836</v>
      </c>
      <c r="F22" s="22" t="str">
        <f t="shared" ca="1" si="1"/>
        <v>Đã xong</v>
      </c>
    </row>
    <row r="23" spans="1:6" x14ac:dyDescent="0.25">
      <c r="E23" s="81"/>
      <c r="F23" s="82"/>
    </row>
  </sheetData>
  <mergeCells count="1">
    <mergeCell ref="A2:F2"/>
  </mergeCells>
  <conditionalFormatting sqref="F6:F47">
    <cfRule type="expression" dxfId="2" priority="3">
      <formula>IF($F6="Đã xong",TRUE,FALSE)</formula>
    </cfRule>
    <cfRule type="expression" dxfId="1" priority="2">
      <formula>IF($F6="Chuẩn bị tổ chức",TRUE,FALSE)</formula>
    </cfRule>
    <cfRule type="expression" dxfId="0" priority="1">
      <formula>IF($F6="Trong tháng có SN",TRUE,FALSE)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9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P4" sqref="P4:Q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1" t="s">
        <v>7</v>
      </c>
      <c r="K2" s="91"/>
      <c r="L2" s="91"/>
      <c r="M2" s="91"/>
      <c r="N2" s="92" t="s">
        <v>8</v>
      </c>
      <c r="O2" s="92"/>
      <c r="P2" s="92"/>
      <c r="Q2" s="90" t="s">
        <v>9</v>
      </c>
      <c r="R2" s="90" t="s">
        <v>10</v>
      </c>
      <c r="S2" s="90" t="s">
        <v>11</v>
      </c>
      <c r="T2" s="90" t="s">
        <v>12</v>
      </c>
      <c r="U2" s="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90"/>
      <c r="R3" s="90"/>
      <c r="S3" s="90"/>
      <c r="T3" s="90"/>
      <c r="U3" s="9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1" spans="1:21" ht="21" customHeight="1" x14ac:dyDescent="0.3">
      <c r="A11" s="1">
        <v>8</v>
      </c>
      <c r="B11" s="1" t="s">
        <v>64</v>
      </c>
      <c r="C11" s="3" t="s">
        <v>87</v>
      </c>
      <c r="D11" s="3" t="s">
        <v>88</v>
      </c>
      <c r="E11" s="3" t="s">
        <v>126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65</v>
      </c>
      <c r="C12" s="3" t="s">
        <v>104</v>
      </c>
      <c r="D12" s="3" t="s">
        <v>105</v>
      </c>
      <c r="E12" s="3" t="s">
        <v>124</v>
      </c>
      <c r="F12" s="3" t="s">
        <v>76</v>
      </c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A13" s="1">
        <v>10</v>
      </c>
      <c r="B13" s="1" t="s">
        <v>135</v>
      </c>
      <c r="C13" s="3" t="s">
        <v>136</v>
      </c>
      <c r="D13" s="3" t="s">
        <v>137</v>
      </c>
      <c r="E13" s="3" t="s">
        <v>138</v>
      </c>
      <c r="F13"/>
      <c r="G13" s="3" t="s">
        <v>53</v>
      </c>
      <c r="H13" s="1" t="s">
        <v>53</v>
      </c>
      <c r="J13"/>
      <c r="K13"/>
      <c r="L13"/>
      <c r="M13"/>
      <c r="N13"/>
      <c r="O13"/>
      <c r="P13"/>
    </row>
    <row r="14" spans="1:21" ht="21" customHeight="1" x14ac:dyDescent="0.3">
      <c r="D14"/>
      <c r="E14"/>
      <c r="F14" s="34"/>
      <c r="J14"/>
      <c r="K14"/>
      <c r="L14"/>
      <c r="M14"/>
      <c r="N14"/>
      <c r="O14"/>
      <c r="P14"/>
    </row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  <row r="19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CC9" sqref="CC9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6" t="s">
        <v>6</v>
      </c>
      <c r="B3" s="96" t="s">
        <v>5</v>
      </c>
      <c r="C3" s="24"/>
      <c r="D3" s="24"/>
      <c r="E3" s="24"/>
      <c r="F3" s="24"/>
      <c r="G3" s="98"/>
      <c r="H3" s="98"/>
      <c r="I3" s="98"/>
      <c r="J3" s="93"/>
      <c r="K3" s="94"/>
      <c r="L3" s="95"/>
      <c r="M3" s="93"/>
      <c r="N3" s="94"/>
      <c r="O3" s="95"/>
      <c r="P3" s="93"/>
      <c r="Q3" s="94"/>
      <c r="R3" s="95"/>
      <c r="S3" s="93"/>
      <c r="T3" s="94"/>
      <c r="U3" s="95"/>
      <c r="V3" s="93"/>
      <c r="W3" s="94"/>
      <c r="X3" s="95"/>
      <c r="Y3" s="93"/>
      <c r="Z3" s="94"/>
      <c r="AA3" s="95"/>
      <c r="AB3" s="93"/>
      <c r="AC3" s="94"/>
      <c r="AD3" s="95"/>
      <c r="AE3" s="93"/>
      <c r="AF3" s="94"/>
      <c r="AG3" s="95"/>
      <c r="AH3" s="93"/>
      <c r="AI3" s="94"/>
      <c r="AJ3" s="95"/>
      <c r="AK3" s="93"/>
      <c r="AL3" s="94"/>
      <c r="AM3" s="95"/>
      <c r="AN3" s="93"/>
      <c r="AO3" s="94"/>
      <c r="AP3" s="95"/>
      <c r="AQ3" s="93"/>
      <c r="AR3" s="94"/>
      <c r="AS3" s="95"/>
      <c r="AT3" s="93"/>
      <c r="AU3" s="94"/>
      <c r="AV3" s="95"/>
      <c r="AW3" s="93"/>
      <c r="AX3" s="94"/>
      <c r="AY3" s="95"/>
      <c r="AZ3" s="93"/>
      <c r="BA3" s="94"/>
      <c r="BB3" s="95"/>
      <c r="BC3" s="100" t="s">
        <v>116</v>
      </c>
      <c r="BD3" s="101"/>
      <c r="BE3" s="102"/>
      <c r="BF3" s="99">
        <v>42930</v>
      </c>
      <c r="BG3" s="94"/>
      <c r="BH3" s="95"/>
      <c r="BI3" s="93" t="s">
        <v>148</v>
      </c>
      <c r="BJ3" s="94"/>
      <c r="BK3" s="95"/>
      <c r="BL3" s="93" t="s">
        <v>149</v>
      </c>
      <c r="BM3" s="94"/>
      <c r="BN3" s="95"/>
      <c r="BO3" s="93" t="s">
        <v>171</v>
      </c>
      <c r="BP3" s="94"/>
      <c r="BQ3" s="95"/>
      <c r="BR3" s="99">
        <v>42940</v>
      </c>
      <c r="BS3" s="94"/>
      <c r="BT3" s="95"/>
      <c r="BU3" s="99">
        <v>42942</v>
      </c>
      <c r="BV3" s="94"/>
      <c r="BW3" s="95"/>
      <c r="BX3" s="99">
        <v>42944</v>
      </c>
      <c r="BY3" s="94"/>
      <c r="BZ3" s="95"/>
      <c r="CA3" s="99">
        <v>42947</v>
      </c>
      <c r="CB3" s="94"/>
      <c r="CC3" s="95"/>
      <c r="CD3" s="26"/>
    </row>
    <row r="4" spans="1:82" s="17" customFormat="1" ht="21" customHeight="1" x14ac:dyDescent="0.25">
      <c r="A4" s="97"/>
      <c r="B4" s="9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6" t="s">
        <v>0</v>
      </c>
      <c r="BS5" s="46" t="s">
        <v>0</v>
      </c>
      <c r="BT5" s="46"/>
      <c r="BU5" s="18"/>
      <c r="BV5" s="18"/>
      <c r="BW5" s="18"/>
      <c r="BX5" s="26"/>
      <c r="BY5" s="26"/>
      <c r="BZ5" s="26"/>
      <c r="CA5" s="60" t="s">
        <v>0</v>
      </c>
      <c r="CB5" s="60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6" t="s">
        <v>0</v>
      </c>
      <c r="BS6" s="46" t="s">
        <v>0</v>
      </c>
      <c r="BT6" s="46"/>
      <c r="BU6" s="18"/>
      <c r="BV6" s="18"/>
      <c r="BW6" s="18"/>
      <c r="BX6" s="26"/>
      <c r="BY6" s="26"/>
      <c r="BZ6" s="26"/>
      <c r="CA6" s="60" t="s">
        <v>0</v>
      </c>
      <c r="CB6" s="60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6" t="s">
        <v>0</v>
      </c>
      <c r="BS7" s="46" t="s">
        <v>0</v>
      </c>
      <c r="BT7" s="46" t="s">
        <v>0</v>
      </c>
      <c r="BU7" s="18"/>
      <c r="BV7" s="18"/>
      <c r="BW7" s="18"/>
      <c r="BX7" s="26"/>
      <c r="BY7" s="26"/>
      <c r="BZ7" s="26"/>
      <c r="CA7" s="60" t="s">
        <v>0</v>
      </c>
      <c r="CB7" s="60" t="s">
        <v>0</v>
      </c>
      <c r="CC7" s="60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6" t="s">
        <v>0</v>
      </c>
      <c r="BS8" s="46" t="s">
        <v>0</v>
      </c>
      <c r="BT8" s="46" t="s">
        <v>0</v>
      </c>
      <c r="BU8" s="18"/>
      <c r="BV8" s="18"/>
      <c r="BW8" s="18"/>
      <c r="BX8" s="26"/>
      <c r="BY8" s="26"/>
      <c r="BZ8" s="26"/>
      <c r="CA8" s="60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6" t="s">
        <v>0</v>
      </c>
      <c r="BS9" s="46" t="s">
        <v>0</v>
      </c>
      <c r="BT9" s="46" t="s">
        <v>0</v>
      </c>
      <c r="BU9" s="18"/>
      <c r="BV9" s="18"/>
      <c r="BW9" s="18"/>
      <c r="BX9" s="26"/>
      <c r="BY9" s="26"/>
      <c r="BZ9" s="26"/>
      <c r="CA9" s="60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6" t="s">
        <v>0</v>
      </c>
      <c r="BS10" s="46" t="s">
        <v>0</v>
      </c>
      <c r="BT10" s="46" t="s">
        <v>0</v>
      </c>
      <c r="BU10" s="18"/>
      <c r="BV10" s="18"/>
      <c r="BW10" s="18"/>
      <c r="BX10" s="26"/>
      <c r="BY10" s="26"/>
      <c r="BZ10" s="26"/>
      <c r="CA10" s="60" t="s">
        <v>0</v>
      </c>
      <c r="CB10" s="60" t="s">
        <v>0</v>
      </c>
      <c r="CC10" s="26"/>
      <c r="CD10" s="26"/>
    </row>
    <row r="11" spans="1:82" s="52" customFormat="1" ht="21" customHeight="1" x14ac:dyDescent="0.3">
      <c r="A11" s="47">
        <v>7</v>
      </c>
      <c r="B11" s="47" t="s">
        <v>63</v>
      </c>
      <c r="C11" s="48"/>
      <c r="D11" s="49"/>
      <c r="E11" s="49"/>
      <c r="F11" s="49"/>
      <c r="G11" s="49" t="s">
        <v>0</v>
      </c>
      <c r="H11" s="49" t="s">
        <v>0</v>
      </c>
      <c r="I11" s="49" t="s">
        <v>0</v>
      </c>
      <c r="J11" s="49" t="s">
        <v>0</v>
      </c>
      <c r="K11" s="49" t="s">
        <v>0</v>
      </c>
      <c r="L11" s="49"/>
      <c r="M11" s="49" t="s">
        <v>0</v>
      </c>
      <c r="N11" s="49" t="s">
        <v>0</v>
      </c>
      <c r="O11" s="49"/>
      <c r="P11" s="49" t="s">
        <v>0</v>
      </c>
      <c r="Q11" s="49" t="s">
        <v>0</v>
      </c>
      <c r="R11" s="49"/>
      <c r="S11" s="49" t="s">
        <v>0</v>
      </c>
      <c r="T11" s="49" t="s">
        <v>0</v>
      </c>
      <c r="U11" s="49" t="s">
        <v>0</v>
      </c>
      <c r="V11" s="49" t="s">
        <v>0</v>
      </c>
      <c r="W11" s="49" t="s">
        <v>0</v>
      </c>
      <c r="X11" s="49"/>
      <c r="Y11" s="49" t="s">
        <v>0</v>
      </c>
      <c r="Z11" s="49" t="s">
        <v>0</v>
      </c>
      <c r="AA11" s="49"/>
      <c r="AB11" s="49" t="s">
        <v>0</v>
      </c>
      <c r="AC11" s="49" t="s">
        <v>0</v>
      </c>
      <c r="AD11" s="49"/>
      <c r="AE11" s="49" t="s">
        <v>0</v>
      </c>
      <c r="AF11" s="49" t="s">
        <v>0</v>
      </c>
      <c r="AG11" s="49" t="s">
        <v>0</v>
      </c>
      <c r="AH11" s="49" t="s">
        <v>0</v>
      </c>
      <c r="AI11" s="49" t="s">
        <v>0</v>
      </c>
      <c r="AJ11" s="49"/>
      <c r="AK11" s="49" t="s">
        <v>0</v>
      </c>
      <c r="AL11" s="49" t="s">
        <v>0</v>
      </c>
      <c r="AM11" s="49"/>
      <c r="AN11" s="49" t="s">
        <v>0</v>
      </c>
      <c r="AO11" s="49" t="s">
        <v>0</v>
      </c>
      <c r="AP11" s="49" t="s">
        <v>0</v>
      </c>
      <c r="AQ11" s="49" t="s">
        <v>0</v>
      </c>
      <c r="AR11" s="49" t="s">
        <v>0</v>
      </c>
      <c r="AS11" s="49"/>
      <c r="AT11" s="49" t="s">
        <v>0</v>
      </c>
      <c r="AU11" s="49" t="s">
        <v>0</v>
      </c>
      <c r="AV11" s="49"/>
      <c r="AW11" s="49" t="s">
        <v>0</v>
      </c>
      <c r="AX11" s="49" t="s">
        <v>0</v>
      </c>
      <c r="AY11" s="49" t="s">
        <v>0</v>
      </c>
      <c r="AZ11" s="49" t="s">
        <v>0</v>
      </c>
      <c r="BA11" s="49" t="s">
        <v>0</v>
      </c>
      <c r="BB11" s="49"/>
      <c r="BC11" s="49" t="s">
        <v>53</v>
      </c>
      <c r="BD11" s="49" t="s">
        <v>53</v>
      </c>
      <c r="BE11" s="49" t="s">
        <v>53</v>
      </c>
      <c r="BF11" s="49"/>
      <c r="BG11" s="49"/>
      <c r="BH11" s="49" t="s">
        <v>0</v>
      </c>
      <c r="BI11" s="49" t="s">
        <v>53</v>
      </c>
      <c r="BJ11" s="49" t="s">
        <v>53</v>
      </c>
      <c r="BK11" s="49"/>
      <c r="BL11" s="49" t="s">
        <v>53</v>
      </c>
      <c r="BM11" s="49" t="s">
        <v>53</v>
      </c>
      <c r="BN11" s="49" t="s">
        <v>53</v>
      </c>
      <c r="BO11" s="49" t="s">
        <v>0</v>
      </c>
      <c r="BP11" s="49" t="s">
        <v>0</v>
      </c>
      <c r="BQ11" s="49" t="s">
        <v>0</v>
      </c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6"/>
      <c r="BS12" s="46" t="s">
        <v>0</v>
      </c>
      <c r="BT12" s="46"/>
      <c r="BU12" s="18"/>
      <c r="BV12" s="18"/>
      <c r="BW12" s="18"/>
      <c r="BX12" s="26"/>
      <c r="BY12" s="26"/>
      <c r="BZ12" s="26"/>
      <c r="CA12" s="60" t="s">
        <v>0</v>
      </c>
      <c r="CB12" s="60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60" t="s">
        <v>0</v>
      </c>
      <c r="CB13" s="60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60" t="s">
        <v>0</v>
      </c>
      <c r="CB14" s="60" t="s">
        <v>0</v>
      </c>
      <c r="CC14" s="60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1" t="s">
        <v>7</v>
      </c>
      <c r="K2" s="91"/>
      <c r="L2" s="91"/>
      <c r="M2" s="91"/>
      <c r="N2" s="92" t="s">
        <v>8</v>
      </c>
      <c r="O2" s="92"/>
      <c r="P2" s="92"/>
      <c r="Q2" s="90" t="s">
        <v>9</v>
      </c>
      <c r="R2" s="90" t="s">
        <v>10</v>
      </c>
      <c r="S2" s="90" t="s">
        <v>11</v>
      </c>
      <c r="T2" s="90" t="s">
        <v>12</v>
      </c>
      <c r="U2" s="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90"/>
      <c r="R3" s="90"/>
      <c r="S3" s="90"/>
      <c r="T3" s="90"/>
      <c r="U3" s="9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3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96" t="s">
        <v>6</v>
      </c>
      <c r="B3" s="9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98" t="s">
        <v>31</v>
      </c>
      <c r="H3" s="98"/>
      <c r="I3" s="98"/>
      <c r="J3" s="93" t="s">
        <v>32</v>
      </c>
      <c r="K3" s="94"/>
      <c r="L3" s="95"/>
      <c r="M3" s="93" t="s">
        <v>33</v>
      </c>
      <c r="N3" s="94"/>
      <c r="O3" s="95"/>
      <c r="P3" s="93" t="s">
        <v>34</v>
      </c>
      <c r="Q3" s="94"/>
      <c r="R3" s="95"/>
      <c r="S3" s="93" t="s">
        <v>35</v>
      </c>
      <c r="T3" s="94"/>
      <c r="U3" s="95"/>
      <c r="V3" s="93" t="s">
        <v>36</v>
      </c>
      <c r="W3" s="94"/>
      <c r="X3" s="95"/>
      <c r="Y3" s="93" t="s">
        <v>37</v>
      </c>
      <c r="Z3" s="94"/>
      <c r="AA3" s="95"/>
      <c r="AB3" s="93" t="s">
        <v>38</v>
      </c>
      <c r="AC3" s="94"/>
      <c r="AD3" s="95"/>
      <c r="AE3" s="93" t="s">
        <v>39</v>
      </c>
      <c r="AF3" s="94"/>
      <c r="AG3" s="95"/>
      <c r="AH3" s="93" t="s">
        <v>40</v>
      </c>
      <c r="AI3" s="94"/>
      <c r="AJ3" s="95"/>
      <c r="AK3" s="93" t="s">
        <v>41</v>
      </c>
      <c r="AL3" s="94"/>
      <c r="AM3" s="95"/>
      <c r="AN3" s="93" t="s">
        <v>42</v>
      </c>
      <c r="AO3" s="94"/>
      <c r="AP3" s="95"/>
      <c r="AQ3" s="93" t="s">
        <v>43</v>
      </c>
      <c r="AR3" s="94"/>
      <c r="AS3" s="95"/>
      <c r="AT3" s="93" t="s">
        <v>44</v>
      </c>
      <c r="AU3" s="94"/>
      <c r="AV3" s="95"/>
      <c r="AW3" s="93" t="s">
        <v>45</v>
      </c>
      <c r="AX3" s="94"/>
      <c r="AY3" s="95"/>
      <c r="AZ3" s="93" t="s">
        <v>46</v>
      </c>
      <c r="BA3" s="94"/>
      <c r="BB3" s="95"/>
      <c r="BC3" s="93" t="s">
        <v>47</v>
      </c>
      <c r="BD3" s="94"/>
      <c r="BE3" s="95"/>
      <c r="BF3" s="93" t="s">
        <v>48</v>
      </c>
      <c r="BG3" s="94"/>
      <c r="BH3" s="95"/>
      <c r="BI3" s="93" t="s">
        <v>49</v>
      </c>
      <c r="BJ3" s="94"/>
      <c r="BK3" s="95"/>
      <c r="BL3" s="93"/>
      <c r="BM3" s="94"/>
      <c r="BN3" s="95"/>
      <c r="BO3" s="93"/>
      <c r="BP3" s="94"/>
      <c r="BQ3" s="95"/>
      <c r="BR3" s="93"/>
      <c r="BS3" s="94"/>
      <c r="BT3" s="9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6"/>
      <c r="B4" s="9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1"/>
  <sheetViews>
    <sheetView workbookViewId="0">
      <pane xSplit="2" ySplit="3" topLeftCell="E11" activePane="bottomRight" state="frozen"/>
      <selection activeCell="BA9" sqref="BA9"/>
      <selection pane="topRight" activeCell="BA9" sqref="BA9"/>
      <selection pane="bottomLeft" activeCell="BA9" sqref="BA9"/>
      <selection pane="bottomRight" activeCell="E26" sqref="E2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54" customWidth="1"/>
    <col min="5" max="5" width="37.28515625" style="54" customWidth="1"/>
    <col min="6" max="6" width="26.140625" style="54" customWidth="1"/>
    <col min="7" max="7" width="15.5703125" style="54" customWidth="1"/>
    <col min="8" max="9" width="15.5703125" style="58" customWidth="1"/>
    <col min="10" max="10" width="19" style="61" customWidth="1"/>
    <col min="11" max="11" width="22.7109375" style="69" customWidth="1"/>
    <col min="12" max="12" width="22" customWidth="1"/>
    <col min="13" max="13" width="34.5703125" customWidth="1"/>
    <col min="14" max="14" width="10.7109375" bestFit="1" customWidth="1"/>
    <col min="15" max="20" width="9.140625" style="53"/>
    <col min="21" max="21" width="6.42578125" style="53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ht="15.75" x14ac:dyDescent="0.25">
      <c r="O2" s="91" t="s">
        <v>7</v>
      </c>
      <c r="P2" s="91"/>
      <c r="Q2" s="91"/>
      <c r="R2" s="91"/>
      <c r="S2" s="92" t="s">
        <v>8</v>
      </c>
      <c r="T2" s="92"/>
      <c r="U2" s="92"/>
      <c r="V2" s="90" t="s">
        <v>9</v>
      </c>
      <c r="W2" s="90" t="s">
        <v>10</v>
      </c>
      <c r="X2" s="90" t="s">
        <v>11</v>
      </c>
      <c r="Y2" s="90" t="s">
        <v>12</v>
      </c>
      <c r="Z2" s="9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90"/>
      <c r="W3" s="90"/>
      <c r="X3" s="90"/>
      <c r="Y3" s="90"/>
      <c r="Z3" s="90"/>
    </row>
    <row r="4" spans="1:26" s="1" customFormat="1" ht="21" customHeight="1" x14ac:dyDescent="0.3">
      <c r="A4" s="1">
        <v>1</v>
      </c>
      <c r="B4" s="1" t="s">
        <v>174</v>
      </c>
      <c r="D4" s="3" t="s">
        <v>189</v>
      </c>
      <c r="E4" s="3"/>
      <c r="H4" s="71">
        <v>2100000</v>
      </c>
      <c r="I4" s="72">
        <v>0.3</v>
      </c>
      <c r="J4" s="71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D5" s="3" t="s">
        <v>190</v>
      </c>
      <c r="E5" s="3"/>
      <c r="H5" s="71">
        <v>2100000</v>
      </c>
      <c r="I5" s="72">
        <v>0.3</v>
      </c>
      <c r="J5" s="71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"/>
      <c r="D6" s="62" t="s">
        <v>192</v>
      </c>
      <c r="E6" s="3"/>
      <c r="F6" s="3"/>
      <c r="G6" s="3"/>
      <c r="H6" s="71">
        <v>2100000</v>
      </c>
      <c r="I6" s="72">
        <v>0.3</v>
      </c>
      <c r="J6" s="71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"/>
      <c r="D7" s="3" t="s">
        <v>194</v>
      </c>
      <c r="E7" s="3"/>
      <c r="F7" s="3"/>
      <c r="G7" s="3"/>
      <c r="H7" s="71">
        <v>2100000</v>
      </c>
      <c r="I7" s="72">
        <v>0.3</v>
      </c>
      <c r="J7" s="71">
        <v>1470000</v>
      </c>
      <c r="K7" s="2"/>
    </row>
    <row r="8" spans="1:26" ht="21" customHeight="1" x14ac:dyDescent="0.3">
      <c r="A8" s="1">
        <v>5</v>
      </c>
      <c r="B8" s="1" t="s">
        <v>195</v>
      </c>
      <c r="C8" s="3"/>
      <c r="D8" s="3"/>
      <c r="E8" s="3"/>
      <c r="F8" s="3"/>
      <c r="G8" s="3"/>
      <c r="H8" s="71">
        <v>2100000</v>
      </c>
      <c r="I8" s="72">
        <v>0.3</v>
      </c>
      <c r="J8" s="71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"/>
      <c r="D9" s="62" t="s">
        <v>202</v>
      </c>
      <c r="E9" s="3"/>
      <c r="F9" s="3"/>
      <c r="G9" s="3"/>
      <c r="H9" s="71">
        <v>2100000</v>
      </c>
      <c r="I9" s="72">
        <v>0.3</v>
      </c>
      <c r="J9" s="71">
        <v>1470000</v>
      </c>
      <c r="K9" s="2"/>
      <c r="L9" s="1"/>
      <c r="M9" s="1"/>
      <c r="O9"/>
      <c r="P9"/>
      <c r="Q9"/>
      <c r="R9"/>
      <c r="S9"/>
      <c r="T9"/>
      <c r="U9"/>
    </row>
    <row r="10" spans="1:26" ht="18.75" x14ac:dyDescent="0.3">
      <c r="A10" s="1">
        <v>7</v>
      </c>
      <c r="B10" s="1" t="s">
        <v>205</v>
      </c>
      <c r="H10" s="71">
        <v>2100000</v>
      </c>
      <c r="I10" s="72">
        <v>0.3</v>
      </c>
      <c r="J10" s="71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"/>
      <c r="D11" s="3"/>
      <c r="E11" s="3"/>
      <c r="F11" s="3"/>
      <c r="G11" s="3"/>
      <c r="H11" s="71">
        <v>2100000</v>
      </c>
      <c r="I11" s="72">
        <v>0.3</v>
      </c>
      <c r="J11" s="71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"/>
      <c r="D12" s="3"/>
      <c r="E12" s="3"/>
      <c r="F12" s="3"/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"/>
      <c r="D13" s="3"/>
      <c r="E13" s="3"/>
      <c r="F13"/>
      <c r="G13" s="3"/>
      <c r="H13" s="34" t="s">
        <v>220</v>
      </c>
      <c r="I13" s="34" t="s">
        <v>221</v>
      </c>
      <c r="J13" s="71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D14"/>
      <c r="E14"/>
      <c r="F14" s="34"/>
      <c r="H14" s="34" t="s">
        <v>220</v>
      </c>
      <c r="I14" s="34" t="s">
        <v>221</v>
      </c>
      <c r="J14" s="71">
        <v>1470000</v>
      </c>
      <c r="K14" s="2"/>
      <c r="O14"/>
      <c r="P14"/>
      <c r="Q14"/>
      <c r="R14"/>
      <c r="S14"/>
      <c r="T14"/>
      <c r="U14"/>
    </row>
    <row r="15" spans="1:26" s="64" customFormat="1" ht="21" customHeight="1" x14ac:dyDescent="0.25">
      <c r="A15" s="66">
        <v>12</v>
      </c>
      <c r="B15" s="67" t="s">
        <v>63</v>
      </c>
      <c r="C15" s="65" t="s">
        <v>85</v>
      </c>
      <c r="D15" s="68" t="s">
        <v>86</v>
      </c>
      <c r="E15" s="65" t="s">
        <v>125</v>
      </c>
      <c r="F15" s="65" t="s">
        <v>89</v>
      </c>
      <c r="G15" s="65" t="s">
        <v>53</v>
      </c>
      <c r="H15" s="65"/>
      <c r="I15" s="65"/>
      <c r="J15" s="66"/>
      <c r="K15" s="66" t="s">
        <v>222</v>
      </c>
      <c r="L15" s="65"/>
      <c r="M15" s="65"/>
      <c r="N15" s="65"/>
    </row>
    <row r="16" spans="1:26" ht="21" customHeight="1" x14ac:dyDescent="0.3">
      <c r="A16" s="1">
        <v>13</v>
      </c>
      <c r="B16" s="1" t="s">
        <v>213</v>
      </c>
      <c r="H16" s="34" t="s">
        <v>220</v>
      </c>
      <c r="I16" s="34" t="s">
        <v>221</v>
      </c>
      <c r="J16" s="71">
        <v>1470000</v>
      </c>
      <c r="K16" s="2"/>
    </row>
    <row r="17" spans="1:11" ht="21" customHeight="1" x14ac:dyDescent="0.3">
      <c r="A17" s="1">
        <v>14</v>
      </c>
      <c r="B17" s="1" t="s">
        <v>223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H19" s="34" t="s">
        <v>220</v>
      </c>
      <c r="I19" s="34" t="s">
        <v>221</v>
      </c>
      <c r="J19" s="71">
        <v>1470000</v>
      </c>
    </row>
    <row r="20" spans="1:11" ht="18.75" x14ac:dyDescent="0.3">
      <c r="A20" s="1">
        <v>17</v>
      </c>
      <c r="B20" s="1" t="s">
        <v>229</v>
      </c>
      <c r="H20" s="34" t="s">
        <v>220</v>
      </c>
      <c r="I20" s="34" t="s">
        <v>221</v>
      </c>
      <c r="J20" s="71">
        <v>1470000</v>
      </c>
    </row>
    <row r="21" spans="1:11" ht="18.75" x14ac:dyDescent="0.3">
      <c r="A21" s="1">
        <v>18</v>
      </c>
      <c r="B21" s="1" t="s">
        <v>232</v>
      </c>
      <c r="H21" s="34" t="s">
        <v>220</v>
      </c>
      <c r="I21" s="34" t="s">
        <v>221</v>
      </c>
      <c r="J21" s="71">
        <v>1470000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2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3" sqref="A2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3" customWidth="1"/>
    <col min="5" max="5" width="6.140625" style="53" hidden="1" customWidth="1"/>
    <col min="6" max="6" width="5.5703125" style="53" hidden="1" customWidth="1"/>
    <col min="7" max="20" width="6.28515625" style="53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6" t="s">
        <v>6</v>
      </c>
      <c r="B3" s="96" t="s">
        <v>5</v>
      </c>
      <c r="C3" s="70"/>
      <c r="D3" s="70"/>
      <c r="E3" s="70"/>
      <c r="F3" s="70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103"/>
      <c r="BD3" s="103"/>
      <c r="BE3" s="103"/>
      <c r="BF3" s="104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104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26"/>
    </row>
    <row r="4" spans="1:82" s="17" customFormat="1" ht="21" customHeight="1" x14ac:dyDescent="0.25">
      <c r="A4" s="96"/>
      <c r="B4" s="96"/>
      <c r="C4" s="18"/>
      <c r="D4" s="18"/>
      <c r="E4" s="18"/>
      <c r="F4" s="18"/>
      <c r="G4" s="70" t="s">
        <v>23</v>
      </c>
      <c r="H4" s="70" t="s">
        <v>24</v>
      </c>
      <c r="I4" s="70" t="s">
        <v>22</v>
      </c>
      <c r="J4" s="70" t="s">
        <v>23</v>
      </c>
      <c r="K4" s="70" t="s">
        <v>24</v>
      </c>
      <c r="L4" s="70" t="s">
        <v>22</v>
      </c>
      <c r="M4" s="70" t="s">
        <v>23</v>
      </c>
      <c r="N4" s="70" t="s">
        <v>24</v>
      </c>
      <c r="O4" s="70" t="s">
        <v>22</v>
      </c>
      <c r="P4" s="70" t="s">
        <v>23</v>
      </c>
      <c r="Q4" s="70" t="s">
        <v>24</v>
      </c>
      <c r="R4" s="70" t="s">
        <v>22</v>
      </c>
      <c r="S4" s="70" t="s">
        <v>23</v>
      </c>
      <c r="T4" s="70" t="s">
        <v>24</v>
      </c>
      <c r="U4" s="70" t="s">
        <v>22</v>
      </c>
      <c r="V4" s="70" t="s">
        <v>23</v>
      </c>
      <c r="W4" s="70" t="s">
        <v>24</v>
      </c>
      <c r="X4" s="70" t="s">
        <v>22</v>
      </c>
      <c r="Y4" s="70" t="s">
        <v>23</v>
      </c>
      <c r="Z4" s="70" t="s">
        <v>24</v>
      </c>
      <c r="AA4" s="70" t="s">
        <v>22</v>
      </c>
      <c r="AB4" s="70" t="s">
        <v>23</v>
      </c>
      <c r="AC4" s="70" t="s">
        <v>24</v>
      </c>
      <c r="AD4" s="70" t="s">
        <v>22</v>
      </c>
      <c r="AE4" s="70" t="s">
        <v>23</v>
      </c>
      <c r="AF4" s="70" t="s">
        <v>24</v>
      </c>
      <c r="AG4" s="70" t="s">
        <v>22</v>
      </c>
      <c r="AH4" s="70" t="s">
        <v>23</v>
      </c>
      <c r="AI4" s="70" t="s">
        <v>24</v>
      </c>
      <c r="AJ4" s="70" t="s">
        <v>22</v>
      </c>
      <c r="AK4" s="70" t="s">
        <v>23</v>
      </c>
      <c r="AL4" s="70" t="s">
        <v>24</v>
      </c>
      <c r="AM4" s="70" t="s">
        <v>22</v>
      </c>
      <c r="AN4" s="70" t="s">
        <v>23</v>
      </c>
      <c r="AO4" s="70" t="s">
        <v>24</v>
      </c>
      <c r="AP4" s="70" t="s">
        <v>22</v>
      </c>
      <c r="AQ4" s="70" t="s">
        <v>23</v>
      </c>
      <c r="AR4" s="70" t="s">
        <v>24</v>
      </c>
      <c r="AS4" s="70" t="s">
        <v>22</v>
      </c>
      <c r="AT4" s="70" t="s">
        <v>23</v>
      </c>
      <c r="AU4" s="70" t="s">
        <v>24</v>
      </c>
      <c r="AV4" s="70" t="s">
        <v>22</v>
      </c>
      <c r="AW4" s="70" t="s">
        <v>23</v>
      </c>
      <c r="AX4" s="70" t="s">
        <v>24</v>
      </c>
      <c r="AY4" s="70" t="s">
        <v>22</v>
      </c>
      <c r="AZ4" s="70" t="s">
        <v>23</v>
      </c>
      <c r="BA4" s="70" t="s">
        <v>24</v>
      </c>
      <c r="BB4" s="70" t="s">
        <v>22</v>
      </c>
      <c r="BC4" s="70" t="s">
        <v>23</v>
      </c>
      <c r="BD4" s="70" t="s">
        <v>24</v>
      </c>
      <c r="BE4" s="70" t="s">
        <v>22</v>
      </c>
      <c r="BF4" s="70" t="s">
        <v>23</v>
      </c>
      <c r="BG4" s="70" t="s">
        <v>24</v>
      </c>
      <c r="BH4" s="70" t="s">
        <v>22</v>
      </c>
      <c r="BI4" s="70" t="s">
        <v>23</v>
      </c>
      <c r="BJ4" s="70" t="s">
        <v>24</v>
      </c>
      <c r="BK4" s="70" t="s">
        <v>22</v>
      </c>
      <c r="BL4" s="70" t="s">
        <v>23</v>
      </c>
      <c r="BM4" s="70" t="s">
        <v>30</v>
      </c>
      <c r="BN4" s="70" t="s">
        <v>22</v>
      </c>
      <c r="BO4" s="70" t="s">
        <v>23</v>
      </c>
      <c r="BP4" s="70" t="s">
        <v>24</v>
      </c>
      <c r="BQ4" s="70" t="s">
        <v>22</v>
      </c>
      <c r="BR4" s="7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18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18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18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18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18"/>
      <c r="AF7" s="18"/>
      <c r="AG7" s="18"/>
      <c r="AH7" s="18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18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18"/>
      <c r="AH8" s="18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18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18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18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18"/>
      <c r="AH10" s="18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18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52" customFormat="1" ht="21" customHeight="1" x14ac:dyDescent="0.3">
      <c r="A11" s="21">
        <v>7</v>
      </c>
      <c r="B11" s="21" t="s">
        <v>205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206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18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3">
        <v>12</v>
      </c>
      <c r="B16" s="7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232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tabSelected="1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F7" sqref="F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8" customWidth="1"/>
    <col min="5" max="5" width="49" style="58" customWidth="1"/>
    <col min="6" max="7" width="23.28515625" style="58" customWidth="1"/>
    <col min="8" max="8" width="14.42578125" style="58" customWidth="1"/>
    <col min="9" max="9" width="23.28515625" style="58" customWidth="1"/>
    <col min="10" max="10" width="9.7109375" style="63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5"/>
    <col min="21" max="21" width="6.42578125" style="55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91" t="s">
        <v>7</v>
      </c>
      <c r="P2" s="91"/>
      <c r="Q2" s="91"/>
      <c r="R2" s="91"/>
      <c r="S2" s="92" t="s">
        <v>8</v>
      </c>
      <c r="T2" s="92"/>
      <c r="U2" s="92"/>
      <c r="V2" s="90" t="s">
        <v>9</v>
      </c>
      <c r="W2" s="90" t="s">
        <v>10</v>
      </c>
      <c r="X2" s="90" t="s">
        <v>11</v>
      </c>
      <c r="Y2" s="90" t="s">
        <v>12</v>
      </c>
      <c r="Z2" s="9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90"/>
      <c r="W3" s="90"/>
      <c r="X3" s="90"/>
      <c r="Y3" s="90"/>
      <c r="Z3" s="90"/>
    </row>
    <row r="4" spans="1:26" s="1" customFormat="1" ht="21" customHeight="1" x14ac:dyDescent="0.3">
      <c r="A4" s="1">
        <v>1</v>
      </c>
      <c r="B4" s="1" t="s">
        <v>196</v>
      </c>
      <c r="C4" s="3"/>
      <c r="D4" s="62" t="s">
        <v>197</v>
      </c>
      <c r="E4" s="3"/>
      <c r="G4" s="71">
        <v>2400000</v>
      </c>
      <c r="H4" s="72">
        <v>0.3</v>
      </c>
      <c r="I4" s="71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62"/>
      <c r="E5" s="3"/>
      <c r="G5" s="71">
        <v>2400000</v>
      </c>
      <c r="H5" s="72">
        <v>0.3</v>
      </c>
      <c r="I5" s="71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245</v>
      </c>
      <c r="D6" s="62" t="s">
        <v>200</v>
      </c>
      <c r="E6" s="3" t="s">
        <v>246</v>
      </c>
      <c r="F6" s="1" t="s">
        <v>247</v>
      </c>
      <c r="G6" s="71">
        <v>2400000</v>
      </c>
      <c r="H6" s="72">
        <v>0.3</v>
      </c>
      <c r="I6" s="71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62" t="s">
        <v>204</v>
      </c>
      <c r="E7" s="3" t="s">
        <v>252</v>
      </c>
      <c r="F7" s="1" t="s">
        <v>251</v>
      </c>
      <c r="G7" s="71">
        <v>2400000</v>
      </c>
      <c r="H7" s="72">
        <v>0.3</v>
      </c>
      <c r="I7" s="71">
        <v>1680000</v>
      </c>
      <c r="J7" s="2"/>
    </row>
    <row r="8" spans="1:26" ht="21" customHeight="1" x14ac:dyDescent="0.3">
      <c r="A8" s="1">
        <v>5</v>
      </c>
      <c r="B8" s="1" t="s">
        <v>233</v>
      </c>
      <c r="C8" s="3" t="s">
        <v>248</v>
      </c>
      <c r="D8" s="3" t="s">
        <v>249</v>
      </c>
      <c r="E8" s="35" t="s">
        <v>250</v>
      </c>
      <c r="F8" s="1" t="s">
        <v>251</v>
      </c>
      <c r="G8" s="71">
        <v>2400000</v>
      </c>
      <c r="H8" s="72">
        <v>0.3</v>
      </c>
      <c r="I8" s="71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234</v>
      </c>
      <c r="C9" s="3" t="s">
        <v>237</v>
      </c>
      <c r="D9" s="3" t="s">
        <v>238</v>
      </c>
      <c r="E9" s="3" t="s">
        <v>239</v>
      </c>
      <c r="F9" s="1" t="s">
        <v>240</v>
      </c>
      <c r="G9" s="71">
        <v>2400000</v>
      </c>
      <c r="H9" s="72">
        <v>0.3</v>
      </c>
      <c r="I9" s="71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88" t="s">
        <v>146</v>
      </c>
      <c r="B10" s="3" t="s">
        <v>235</v>
      </c>
      <c r="C10" s="3" t="s">
        <v>241</v>
      </c>
      <c r="D10" s="3" t="s">
        <v>242</v>
      </c>
      <c r="E10" s="3" t="s">
        <v>243</v>
      </c>
      <c r="F10" s="3" t="s">
        <v>244</v>
      </c>
      <c r="G10" s="71">
        <v>2400000</v>
      </c>
      <c r="H10" s="72">
        <v>0.3</v>
      </c>
      <c r="I10" s="71">
        <v>1680000</v>
      </c>
      <c r="J10" s="58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236</v>
      </c>
      <c r="D11"/>
      <c r="E11"/>
      <c r="F11"/>
      <c r="G11" s="71">
        <v>2400000</v>
      </c>
      <c r="H11" s="72">
        <v>0.3</v>
      </c>
      <c r="I11" s="71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A9" sqref="A9:B11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5" hidden="1" customWidth="1"/>
    <col min="7" max="19" width="5.85546875" style="55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5" t="s">
        <v>28</v>
      </c>
    </row>
    <row r="3" spans="1:84" s="17" customFormat="1" ht="21" customHeight="1" x14ac:dyDescent="0.25">
      <c r="A3" s="96" t="s">
        <v>6</v>
      </c>
      <c r="B3" s="96" t="s">
        <v>5</v>
      </c>
      <c r="C3" s="57" t="s">
        <v>25</v>
      </c>
      <c r="D3" s="57" t="s">
        <v>26</v>
      </c>
      <c r="E3" s="57" t="s">
        <v>27</v>
      </c>
      <c r="F3" s="57" t="s">
        <v>29</v>
      </c>
      <c r="G3" s="98" t="s">
        <v>31</v>
      </c>
      <c r="H3" s="98"/>
      <c r="I3" s="98"/>
      <c r="J3" s="93" t="s">
        <v>32</v>
      </c>
      <c r="K3" s="94"/>
      <c r="L3" s="95"/>
      <c r="M3" s="93" t="s">
        <v>33</v>
      </c>
      <c r="N3" s="94"/>
      <c r="O3" s="95"/>
      <c r="P3" s="93" t="s">
        <v>34</v>
      </c>
      <c r="Q3" s="94"/>
      <c r="R3" s="95"/>
      <c r="S3" s="93" t="s">
        <v>35</v>
      </c>
      <c r="T3" s="94"/>
      <c r="U3" s="95"/>
      <c r="V3" s="93" t="s">
        <v>36</v>
      </c>
      <c r="W3" s="94"/>
      <c r="X3" s="95"/>
      <c r="Y3" s="93" t="s">
        <v>37</v>
      </c>
      <c r="Z3" s="94"/>
      <c r="AA3" s="95"/>
      <c r="AB3" s="93" t="s">
        <v>38</v>
      </c>
      <c r="AC3" s="94"/>
      <c r="AD3" s="95"/>
      <c r="AE3" s="93" t="s">
        <v>39</v>
      </c>
      <c r="AF3" s="94"/>
      <c r="AG3" s="95"/>
      <c r="AH3" s="93" t="s">
        <v>40</v>
      </c>
      <c r="AI3" s="94"/>
      <c r="AJ3" s="95"/>
      <c r="AK3" s="93" t="s">
        <v>41</v>
      </c>
      <c r="AL3" s="94"/>
      <c r="AM3" s="95"/>
      <c r="AN3" s="93" t="s">
        <v>42</v>
      </c>
      <c r="AO3" s="94"/>
      <c r="AP3" s="95"/>
      <c r="AQ3" s="93" t="s">
        <v>43</v>
      </c>
      <c r="AR3" s="94"/>
      <c r="AS3" s="95"/>
      <c r="AT3" s="93" t="s">
        <v>44</v>
      </c>
      <c r="AU3" s="94"/>
      <c r="AV3" s="95"/>
      <c r="AW3" s="93" t="s">
        <v>45</v>
      </c>
      <c r="AX3" s="94"/>
      <c r="AY3" s="95"/>
      <c r="AZ3" s="93" t="s">
        <v>46</v>
      </c>
      <c r="BA3" s="94"/>
      <c r="BB3" s="95"/>
      <c r="BC3" s="93" t="s">
        <v>47</v>
      </c>
      <c r="BD3" s="94"/>
      <c r="BE3" s="95"/>
      <c r="BF3" s="93" t="s">
        <v>48</v>
      </c>
      <c r="BG3" s="94"/>
      <c r="BH3" s="95"/>
      <c r="BI3" s="93" t="s">
        <v>49</v>
      </c>
      <c r="BJ3" s="94"/>
      <c r="BK3" s="95"/>
      <c r="BL3" s="93"/>
      <c r="BM3" s="94"/>
      <c r="BN3" s="95"/>
      <c r="BO3" s="93"/>
      <c r="BP3" s="94"/>
      <c r="BQ3" s="95"/>
      <c r="BR3" s="93"/>
      <c r="BS3" s="94"/>
      <c r="BT3" s="9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6"/>
      <c r="B4" s="96"/>
      <c r="C4" s="57"/>
      <c r="D4" s="57"/>
      <c r="E4" s="57"/>
      <c r="F4" s="57"/>
      <c r="G4" s="57" t="s">
        <v>23</v>
      </c>
      <c r="H4" s="57" t="s">
        <v>30</v>
      </c>
      <c r="I4" s="57" t="s">
        <v>22</v>
      </c>
      <c r="J4" s="57" t="s">
        <v>23</v>
      </c>
      <c r="K4" s="57" t="s">
        <v>30</v>
      </c>
      <c r="L4" s="57" t="s">
        <v>22</v>
      </c>
      <c r="M4" s="57" t="s">
        <v>23</v>
      </c>
      <c r="N4" s="57" t="s">
        <v>30</v>
      </c>
      <c r="O4" s="57" t="s">
        <v>22</v>
      </c>
      <c r="P4" s="57" t="s">
        <v>23</v>
      </c>
      <c r="Q4" s="57" t="s">
        <v>30</v>
      </c>
      <c r="R4" s="57" t="s">
        <v>22</v>
      </c>
      <c r="S4" s="57" t="s">
        <v>23</v>
      </c>
      <c r="T4" s="57" t="s">
        <v>30</v>
      </c>
      <c r="U4" s="57" t="s">
        <v>22</v>
      </c>
      <c r="V4" s="57" t="s">
        <v>23</v>
      </c>
      <c r="W4" s="57" t="s">
        <v>30</v>
      </c>
      <c r="X4" s="57" t="s">
        <v>22</v>
      </c>
      <c r="Y4" s="57" t="s">
        <v>23</v>
      </c>
      <c r="Z4" s="57" t="s">
        <v>30</v>
      </c>
      <c r="AA4" s="57" t="s">
        <v>22</v>
      </c>
      <c r="AB4" s="57" t="s">
        <v>23</v>
      </c>
      <c r="AC4" s="57" t="s">
        <v>30</v>
      </c>
      <c r="AD4" s="57" t="s">
        <v>22</v>
      </c>
      <c r="AE4" s="57" t="s">
        <v>23</v>
      </c>
      <c r="AF4" s="57" t="s">
        <v>30</v>
      </c>
      <c r="AG4" s="57" t="s">
        <v>22</v>
      </c>
      <c r="AH4" s="57" t="s">
        <v>23</v>
      </c>
      <c r="AI4" s="57" t="s">
        <v>30</v>
      </c>
      <c r="AJ4" s="57" t="s">
        <v>22</v>
      </c>
      <c r="AK4" s="57" t="s">
        <v>23</v>
      </c>
      <c r="AL4" s="57" t="s">
        <v>30</v>
      </c>
      <c r="AM4" s="57" t="s">
        <v>22</v>
      </c>
      <c r="AN4" s="57" t="s">
        <v>23</v>
      </c>
      <c r="AO4" s="57" t="s">
        <v>30</v>
      </c>
      <c r="AP4" s="57" t="s">
        <v>22</v>
      </c>
      <c r="AQ4" s="57" t="s">
        <v>23</v>
      </c>
      <c r="AR4" s="57" t="s">
        <v>30</v>
      </c>
      <c r="AS4" s="57" t="s">
        <v>22</v>
      </c>
      <c r="AT4" s="57" t="s">
        <v>23</v>
      </c>
      <c r="AU4" s="57" t="s">
        <v>30</v>
      </c>
      <c r="AV4" s="57" t="s">
        <v>22</v>
      </c>
      <c r="AW4" s="57" t="s">
        <v>23</v>
      </c>
      <c r="AX4" s="57" t="s">
        <v>30</v>
      </c>
      <c r="AY4" s="57" t="s">
        <v>22</v>
      </c>
      <c r="AZ4" s="57" t="s">
        <v>23</v>
      </c>
      <c r="BA4" s="57" t="s">
        <v>30</v>
      </c>
      <c r="BB4" s="57" t="s">
        <v>22</v>
      </c>
      <c r="BC4" s="57" t="s">
        <v>23</v>
      </c>
      <c r="BD4" s="57" t="s">
        <v>30</v>
      </c>
      <c r="BE4" s="57" t="s">
        <v>22</v>
      </c>
      <c r="BF4" s="57" t="s">
        <v>23</v>
      </c>
      <c r="BG4" s="57" t="s">
        <v>30</v>
      </c>
      <c r="BH4" s="57" t="s">
        <v>22</v>
      </c>
      <c r="BI4" s="57" t="s">
        <v>23</v>
      </c>
      <c r="BJ4" s="57" t="s">
        <v>30</v>
      </c>
      <c r="BK4" s="57" t="s">
        <v>22</v>
      </c>
      <c r="BL4" s="57" t="s">
        <v>23</v>
      </c>
      <c r="BM4" s="57" t="s">
        <v>30</v>
      </c>
      <c r="BN4" s="57" t="s">
        <v>22</v>
      </c>
      <c r="BO4" s="57" t="s">
        <v>23</v>
      </c>
      <c r="BP4" s="57" t="s">
        <v>30</v>
      </c>
      <c r="BQ4" s="57" t="s">
        <v>22</v>
      </c>
      <c r="BR4" s="57" t="s">
        <v>23</v>
      </c>
      <c r="BS4" s="57" t="s">
        <v>30</v>
      </c>
      <c r="BT4" s="57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7"/>
      <c r="D5" s="57"/>
      <c r="E5" s="57"/>
      <c r="F5" s="57"/>
      <c r="G5" s="57"/>
      <c r="H5" s="57"/>
      <c r="I5" s="57"/>
      <c r="J5" s="57" t="s">
        <v>0</v>
      </c>
      <c r="K5" s="57" t="s">
        <v>0</v>
      </c>
      <c r="L5" s="57"/>
      <c r="M5" s="57" t="s">
        <v>0</v>
      </c>
      <c r="N5" s="57" t="s">
        <v>0</v>
      </c>
      <c r="O5" s="57"/>
      <c r="P5" s="57" t="s">
        <v>0</v>
      </c>
      <c r="Q5" s="57" t="s">
        <v>0</v>
      </c>
      <c r="R5" s="57"/>
      <c r="S5" s="57"/>
      <c r="T5" s="18"/>
      <c r="U5" s="18"/>
      <c r="V5" s="57" t="s">
        <v>0</v>
      </c>
      <c r="W5" s="57" t="s">
        <v>0</v>
      </c>
      <c r="X5" s="57"/>
      <c r="Y5" s="57" t="s">
        <v>0</v>
      </c>
      <c r="Z5" s="57" t="s">
        <v>0</v>
      </c>
      <c r="AA5" s="57" t="s">
        <v>0</v>
      </c>
      <c r="AB5" s="57" t="s">
        <v>0</v>
      </c>
      <c r="AC5" s="57" t="s">
        <v>0</v>
      </c>
      <c r="AD5" s="57" t="s">
        <v>0</v>
      </c>
      <c r="AE5" s="57" t="s">
        <v>0</v>
      </c>
      <c r="AF5" s="57" t="s">
        <v>0</v>
      </c>
      <c r="AG5" s="57"/>
      <c r="AH5" s="57" t="s">
        <v>0</v>
      </c>
      <c r="AI5" s="57" t="s">
        <v>0</v>
      </c>
      <c r="AJ5" s="57"/>
      <c r="AK5" s="57" t="s">
        <v>0</v>
      </c>
      <c r="AL5" s="57" t="s">
        <v>0</v>
      </c>
      <c r="AM5" s="57" t="s">
        <v>0</v>
      </c>
      <c r="AN5" s="57" t="s">
        <v>0</v>
      </c>
      <c r="AO5" s="57" t="s">
        <v>0</v>
      </c>
      <c r="AP5" s="57" t="s">
        <v>0</v>
      </c>
      <c r="AQ5" s="57" t="s">
        <v>0</v>
      </c>
      <c r="AR5" s="57" t="s">
        <v>0</v>
      </c>
      <c r="AS5" s="57"/>
      <c r="AT5" s="57" t="s">
        <v>0</v>
      </c>
      <c r="AU5" s="57" t="s">
        <v>0</v>
      </c>
      <c r="AV5" s="57"/>
      <c r="AW5" s="57" t="s">
        <v>0</v>
      </c>
      <c r="AX5" s="57" t="s">
        <v>0</v>
      </c>
      <c r="AY5" s="57"/>
      <c r="AZ5" s="57" t="s">
        <v>0</v>
      </c>
      <c r="BA5" s="57" t="s">
        <v>0</v>
      </c>
      <c r="BB5" s="57"/>
      <c r="BC5" s="57" t="s">
        <v>0</v>
      </c>
      <c r="BD5" s="57" t="s">
        <v>0</v>
      </c>
      <c r="BE5" s="57" t="s">
        <v>0</v>
      </c>
      <c r="BF5" s="57" t="s">
        <v>0</v>
      </c>
      <c r="BG5" s="57" t="s">
        <v>0</v>
      </c>
      <c r="BH5" s="18"/>
      <c r="BI5" s="57" t="s">
        <v>0</v>
      </c>
      <c r="BJ5" s="57" t="s">
        <v>0</v>
      </c>
      <c r="BK5" s="57" t="s">
        <v>0</v>
      </c>
      <c r="BL5" s="57"/>
      <c r="BM5" s="57"/>
      <c r="BN5" s="57"/>
      <c r="BO5" s="57"/>
      <c r="BP5" s="57"/>
      <c r="BQ5" s="18"/>
      <c r="BR5" s="57"/>
      <c r="BS5" s="57"/>
      <c r="BT5" s="57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 t="s">
        <v>0</v>
      </c>
      <c r="N6" s="57" t="s">
        <v>0</v>
      </c>
      <c r="O6" s="57"/>
      <c r="P6" s="57"/>
      <c r="Q6" s="57"/>
      <c r="R6" s="57"/>
      <c r="S6" s="57"/>
      <c r="T6" s="18"/>
      <c r="U6" s="18"/>
      <c r="V6" s="57" t="s">
        <v>0</v>
      </c>
      <c r="W6" s="57" t="s">
        <v>0</v>
      </c>
      <c r="X6" s="57" t="s">
        <v>0</v>
      </c>
      <c r="Y6" s="57" t="s">
        <v>0</v>
      </c>
      <c r="Z6" s="57" t="s">
        <v>0</v>
      </c>
      <c r="AA6" s="57" t="s">
        <v>0</v>
      </c>
      <c r="AB6" s="57" t="s">
        <v>0</v>
      </c>
      <c r="AC6" s="57" t="s">
        <v>0</v>
      </c>
      <c r="AD6" s="57"/>
      <c r="AE6" s="57" t="s">
        <v>0</v>
      </c>
      <c r="AF6" s="57" t="s">
        <v>0</v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 t="s">
        <v>0</v>
      </c>
      <c r="AX6" s="57" t="s">
        <v>0</v>
      </c>
      <c r="AY6" s="57"/>
      <c r="AZ6" s="57"/>
      <c r="BA6" s="57"/>
      <c r="BB6" s="57"/>
      <c r="BC6" s="57" t="s">
        <v>0</v>
      </c>
      <c r="BD6" s="57" t="s">
        <v>0</v>
      </c>
      <c r="BE6" s="18"/>
      <c r="BF6" s="18"/>
      <c r="BG6" s="18"/>
      <c r="BH6" s="18"/>
      <c r="BI6" s="57" t="s">
        <v>0</v>
      </c>
      <c r="BJ6" s="57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7"/>
      <c r="D7" s="57"/>
      <c r="E7" s="57" t="s">
        <v>0</v>
      </c>
      <c r="F7" s="57"/>
      <c r="G7" s="57" t="s">
        <v>0</v>
      </c>
      <c r="H7" s="57" t="s">
        <v>0</v>
      </c>
      <c r="I7" s="57"/>
      <c r="J7" s="57" t="s">
        <v>0</v>
      </c>
      <c r="K7" s="57" t="s">
        <v>0</v>
      </c>
      <c r="L7" s="57" t="s">
        <v>0</v>
      </c>
      <c r="M7" s="57" t="s">
        <v>0</v>
      </c>
      <c r="N7" s="57" t="s">
        <v>0</v>
      </c>
      <c r="O7" s="57"/>
      <c r="P7" s="57" t="s">
        <v>0</v>
      </c>
      <c r="Q7" s="57" t="s">
        <v>0</v>
      </c>
      <c r="R7" s="57"/>
      <c r="S7" s="57" t="s">
        <v>0</v>
      </c>
      <c r="T7" s="57" t="s">
        <v>0</v>
      </c>
      <c r="U7" s="18"/>
      <c r="V7" s="57" t="s">
        <v>0</v>
      </c>
      <c r="W7" s="57" t="s">
        <v>0</v>
      </c>
      <c r="X7" s="57" t="s">
        <v>0</v>
      </c>
      <c r="Y7" s="57" t="s">
        <v>0</v>
      </c>
      <c r="Z7" s="57" t="s">
        <v>0</v>
      </c>
      <c r="AA7" s="57" t="s">
        <v>0</v>
      </c>
      <c r="AB7" s="57" t="s">
        <v>0</v>
      </c>
      <c r="AC7" s="57" t="s">
        <v>0</v>
      </c>
      <c r="AD7" s="57"/>
      <c r="AE7" s="57" t="s">
        <v>0</v>
      </c>
      <c r="AF7" s="57" t="s">
        <v>0</v>
      </c>
      <c r="AG7" s="57" t="s">
        <v>0</v>
      </c>
      <c r="AH7" s="57" t="s">
        <v>0</v>
      </c>
      <c r="AI7" s="57" t="s">
        <v>0</v>
      </c>
      <c r="AJ7" s="57"/>
      <c r="AK7" s="57" t="s">
        <v>0</v>
      </c>
      <c r="AL7" s="57" t="s">
        <v>0</v>
      </c>
      <c r="AM7" s="57" t="s">
        <v>0</v>
      </c>
      <c r="AN7" s="57" t="s">
        <v>0</v>
      </c>
      <c r="AO7" s="57" t="s">
        <v>0</v>
      </c>
      <c r="AP7" s="57"/>
      <c r="AQ7" s="57" t="s">
        <v>0</v>
      </c>
      <c r="AR7" s="57" t="s">
        <v>0</v>
      </c>
      <c r="AS7" s="57"/>
      <c r="AT7" s="57" t="s">
        <v>0</v>
      </c>
      <c r="AU7" s="57" t="s">
        <v>0</v>
      </c>
      <c r="AV7" s="57" t="s">
        <v>0</v>
      </c>
      <c r="AW7" s="57" t="s">
        <v>0</v>
      </c>
      <c r="AX7" s="57" t="s">
        <v>0</v>
      </c>
      <c r="AY7" s="57" t="s">
        <v>0</v>
      </c>
      <c r="AZ7" s="57" t="s">
        <v>0</v>
      </c>
      <c r="BA7" s="57" t="s">
        <v>0</v>
      </c>
      <c r="BB7" s="57"/>
      <c r="BC7" s="57" t="s">
        <v>0</v>
      </c>
      <c r="BD7" s="57" t="s">
        <v>0</v>
      </c>
      <c r="BE7" s="57" t="s">
        <v>0</v>
      </c>
      <c r="BF7" s="57" t="s">
        <v>0</v>
      </c>
      <c r="BG7" s="57" t="s">
        <v>0</v>
      </c>
      <c r="BH7" s="18"/>
      <c r="BI7" s="57" t="s">
        <v>0</v>
      </c>
      <c r="BJ7" s="57" t="s">
        <v>0</v>
      </c>
      <c r="BK7" s="18"/>
      <c r="BL7" s="57"/>
      <c r="BM7" s="57"/>
      <c r="BN7" s="18"/>
      <c r="BO7" s="57"/>
      <c r="BP7" s="57"/>
      <c r="BQ7" s="57"/>
      <c r="BR7" s="57"/>
      <c r="BS7" s="57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233</v>
      </c>
      <c r="C9" s="57" t="s">
        <v>0</v>
      </c>
      <c r="D9" s="57"/>
      <c r="E9" s="57" t="s">
        <v>0</v>
      </c>
      <c r="F9" s="57"/>
      <c r="G9" s="57" t="s">
        <v>0</v>
      </c>
      <c r="H9" s="57" t="s">
        <v>0</v>
      </c>
      <c r="I9" s="57"/>
      <c r="J9" s="57"/>
      <c r="K9" s="57" t="s">
        <v>0</v>
      </c>
      <c r="L9" s="57"/>
      <c r="M9" s="57" t="s">
        <v>0</v>
      </c>
      <c r="N9" s="57" t="s">
        <v>0</v>
      </c>
      <c r="O9" s="57"/>
      <c r="P9" s="57" t="s">
        <v>0</v>
      </c>
      <c r="Q9" s="57" t="s">
        <v>0</v>
      </c>
      <c r="R9" s="57"/>
      <c r="S9" s="57"/>
      <c r="T9" s="57" t="s">
        <v>0</v>
      </c>
      <c r="U9" s="18"/>
      <c r="V9" s="57" t="s">
        <v>0</v>
      </c>
      <c r="W9" s="57" t="s">
        <v>0</v>
      </c>
      <c r="X9" s="57" t="s">
        <v>0</v>
      </c>
      <c r="Y9" s="57" t="s">
        <v>0</v>
      </c>
      <c r="Z9" s="57" t="s">
        <v>0</v>
      </c>
      <c r="AA9" s="57"/>
      <c r="AB9" s="57" t="s">
        <v>0</v>
      </c>
      <c r="AC9" s="57" t="s">
        <v>0</v>
      </c>
      <c r="AD9" s="57"/>
      <c r="AE9" s="57" t="s">
        <v>0</v>
      </c>
      <c r="AF9" s="57" t="s">
        <v>0</v>
      </c>
      <c r="AG9" s="57"/>
      <c r="AH9" s="57" t="s">
        <v>0</v>
      </c>
      <c r="AI9" s="57" t="s">
        <v>0</v>
      </c>
      <c r="AJ9" s="57"/>
      <c r="AK9" s="57" t="s">
        <v>0</v>
      </c>
      <c r="AL9" s="57" t="s">
        <v>0</v>
      </c>
      <c r="AM9" s="57"/>
      <c r="AN9" s="57"/>
      <c r="AO9" s="57" t="s">
        <v>0</v>
      </c>
      <c r="AP9" s="57"/>
      <c r="AQ9" s="57" t="s">
        <v>0</v>
      </c>
      <c r="AR9" s="57" t="s">
        <v>0</v>
      </c>
      <c r="AS9" s="57" t="s">
        <v>0</v>
      </c>
      <c r="AT9" s="57" t="s">
        <v>0</v>
      </c>
      <c r="AU9" s="57" t="s">
        <v>0</v>
      </c>
      <c r="AV9" s="57"/>
      <c r="AW9" s="57" t="s">
        <v>0</v>
      </c>
      <c r="AX9" s="57" t="s">
        <v>0</v>
      </c>
      <c r="AY9" s="57" t="s">
        <v>0</v>
      </c>
      <c r="AZ9" s="57" t="s">
        <v>0</v>
      </c>
      <c r="BA9" s="57" t="s">
        <v>0</v>
      </c>
      <c r="BB9" s="57"/>
      <c r="BC9" s="57" t="s">
        <v>0</v>
      </c>
      <c r="BD9" s="57" t="s">
        <v>0</v>
      </c>
      <c r="BE9" s="18"/>
      <c r="BF9" s="57" t="s">
        <v>0</v>
      </c>
      <c r="BG9" s="57" t="s">
        <v>0</v>
      </c>
      <c r="BH9" s="57" t="s">
        <v>0</v>
      </c>
      <c r="BI9" s="57" t="s">
        <v>0</v>
      </c>
      <c r="BJ9" s="57" t="s">
        <v>0</v>
      </c>
      <c r="BK9" s="57" t="s">
        <v>0</v>
      </c>
      <c r="BL9" s="57"/>
      <c r="BM9" s="57"/>
      <c r="BN9" s="57"/>
      <c r="BO9" s="57"/>
      <c r="BP9" s="57"/>
      <c r="BQ9" s="18"/>
      <c r="BR9" s="57"/>
      <c r="BS9" s="57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234</v>
      </c>
      <c r="C10" s="57" t="s">
        <v>0</v>
      </c>
      <c r="D10" s="57" t="s">
        <v>0</v>
      </c>
      <c r="E10" s="57" t="s">
        <v>0</v>
      </c>
      <c r="F10" s="57" t="s">
        <v>0</v>
      </c>
      <c r="G10" s="57" t="s">
        <v>0</v>
      </c>
      <c r="H10" s="57" t="s">
        <v>0</v>
      </c>
      <c r="I10" s="57" t="s">
        <v>0</v>
      </c>
      <c r="J10" s="57" t="s">
        <v>0</v>
      </c>
      <c r="K10" s="57" t="s">
        <v>0</v>
      </c>
      <c r="L10" s="57" t="s">
        <v>0</v>
      </c>
      <c r="M10" s="57" t="s">
        <v>0</v>
      </c>
      <c r="N10" s="57" t="s">
        <v>0</v>
      </c>
      <c r="O10" s="57"/>
      <c r="P10" s="57" t="s">
        <v>0</v>
      </c>
      <c r="Q10" s="57" t="s">
        <v>0</v>
      </c>
      <c r="R10" s="57" t="s">
        <v>0</v>
      </c>
      <c r="S10" s="57" t="s">
        <v>0</v>
      </c>
      <c r="T10" s="57" t="s">
        <v>0</v>
      </c>
      <c r="U10" s="18"/>
      <c r="V10" s="57" t="s">
        <v>0</v>
      </c>
      <c r="W10" s="57" t="s">
        <v>0</v>
      </c>
      <c r="X10" s="57" t="s">
        <v>0</v>
      </c>
      <c r="Y10" s="57" t="s">
        <v>0</v>
      </c>
      <c r="Z10" s="57" t="s">
        <v>0</v>
      </c>
      <c r="AA10" s="57"/>
      <c r="AB10" s="57" t="s">
        <v>0</v>
      </c>
      <c r="AC10" s="57" t="s">
        <v>0</v>
      </c>
      <c r="AD10" s="57" t="s">
        <v>0</v>
      </c>
      <c r="AE10" s="57" t="s">
        <v>0</v>
      </c>
      <c r="AF10" s="57" t="s">
        <v>0</v>
      </c>
      <c r="AG10" s="57" t="s">
        <v>0</v>
      </c>
      <c r="AH10" s="57" t="s">
        <v>0</v>
      </c>
      <c r="AI10" s="57" t="s">
        <v>0</v>
      </c>
      <c r="AJ10" s="57"/>
      <c r="AK10" s="57" t="s">
        <v>0</v>
      </c>
      <c r="AL10" s="57" t="s">
        <v>0</v>
      </c>
      <c r="AM10" s="57"/>
      <c r="AN10" s="57" t="s">
        <v>0</v>
      </c>
      <c r="AO10" s="57" t="s">
        <v>0</v>
      </c>
      <c r="AP10" s="57" t="s">
        <v>0</v>
      </c>
      <c r="AQ10" s="57" t="s">
        <v>0</v>
      </c>
      <c r="AR10" s="57" t="s">
        <v>0</v>
      </c>
      <c r="AS10" s="57"/>
      <c r="AT10" s="57" t="s">
        <v>0</v>
      </c>
      <c r="AU10" s="57" t="s">
        <v>0</v>
      </c>
      <c r="AV10" s="57" t="s">
        <v>0</v>
      </c>
      <c r="AW10" s="57" t="s">
        <v>0</v>
      </c>
      <c r="AX10" s="57" t="s">
        <v>0</v>
      </c>
      <c r="AY10" s="57" t="s">
        <v>0</v>
      </c>
      <c r="AZ10" s="57" t="s">
        <v>0</v>
      </c>
      <c r="BA10" s="57" t="s">
        <v>0</v>
      </c>
      <c r="BB10" s="57"/>
      <c r="BC10" s="57" t="s">
        <v>0</v>
      </c>
      <c r="BD10" s="57" t="s">
        <v>0</v>
      </c>
      <c r="BE10" s="57" t="s">
        <v>0</v>
      </c>
      <c r="BF10" s="57" t="s">
        <v>0</v>
      </c>
      <c r="BG10" s="57" t="s">
        <v>0</v>
      </c>
      <c r="BH10" s="57" t="s">
        <v>0</v>
      </c>
      <c r="BI10" s="57" t="s">
        <v>0</v>
      </c>
      <c r="BJ10" s="57" t="s">
        <v>0</v>
      </c>
      <c r="BK10" s="57" t="s">
        <v>0</v>
      </c>
      <c r="BL10" s="57"/>
      <c r="BM10" s="57"/>
      <c r="BN10" s="57"/>
      <c r="BO10" s="57"/>
      <c r="BP10" s="57"/>
      <c r="BQ10" s="57"/>
      <c r="BR10" s="57"/>
      <c r="BS10" s="57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88" t="s">
        <v>146</v>
      </c>
      <c r="B11" s="3" t="s">
        <v>235</v>
      </c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84" s="17" customFormat="1" ht="15.75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84" s="17" customFormat="1" ht="15.75" x14ac:dyDescent="0.25"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84" s="17" customFormat="1" ht="15.75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3:19" s="17" customFormat="1" ht="15.75" x14ac:dyDescent="0.25"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3:19" s="17" customFormat="1" ht="15.75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2017-08-22T01:55:19Z</dcterms:modified>
</cp:coreProperties>
</file>