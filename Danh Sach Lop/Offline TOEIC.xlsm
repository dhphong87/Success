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6" activeTab="2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  <sheet name="AK12" sheetId="38" r:id="rId22"/>
    <sheet name="B10" sheetId="39" r:id="rId2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G33" i="39" l="1"/>
  <c r="H32" i="39"/>
  <c r="I32" i="39" s="1"/>
  <c r="K32" i="39" s="1"/>
  <c r="G32" i="39"/>
  <c r="H31" i="39"/>
  <c r="I31" i="39" s="1"/>
  <c r="K31" i="39" s="1"/>
  <c r="G31" i="39"/>
  <c r="H30" i="39"/>
  <c r="I30" i="39" s="1"/>
  <c r="K30" i="39" s="1"/>
  <c r="G30" i="39"/>
  <c r="H29" i="39"/>
  <c r="I29" i="39" s="1"/>
  <c r="K29" i="39" s="1"/>
  <c r="G29" i="39"/>
  <c r="H28" i="39"/>
  <c r="I28" i="39" s="1"/>
  <c r="K28" i="39" s="1"/>
  <c r="G28" i="39"/>
  <c r="G28" i="38"/>
  <c r="G29" i="38"/>
  <c r="G30" i="38"/>
  <c r="G31" i="38"/>
  <c r="G32" i="38"/>
  <c r="G33" i="38"/>
  <c r="H32" i="38"/>
  <c r="I32" i="38" s="1"/>
  <c r="K32" i="38" s="1"/>
  <c r="H29" i="38"/>
  <c r="I29" i="38" s="1"/>
  <c r="K29" i="38" s="1"/>
  <c r="H30" i="38"/>
  <c r="I30" i="38" s="1"/>
  <c r="K30" i="38" s="1"/>
  <c r="H31" i="38"/>
  <c r="I31" i="38" s="1"/>
  <c r="K31" i="38" s="1"/>
  <c r="H28" i="38"/>
  <c r="I28" i="38" s="1"/>
  <c r="K28" i="38" s="1"/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comments1.xml><?xml version="1.0" encoding="utf-8"?>
<comments xmlns="http://schemas.openxmlformats.org/spreadsheetml/2006/main">
  <authors>
    <author>Author</author>
  </authors>
  <commentList>
    <comment ref="J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Nếu ds đăng ký kéo dài &gt;=2 tháng: Copy giá trị từ cột Bonus bên cạnh vào ngày cuối mỗi tháng 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J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Nếu ds đăng ký kéo dài &gt;=2 tháng: Copy giá trị từ cột Bonus bên cạnh vào ngày cuối mỗi tháng </t>
        </r>
      </text>
    </comment>
  </commentList>
</comments>
</file>

<file path=xl/sharedStrings.xml><?xml version="1.0" encoding="utf-8"?>
<sst xmlns="http://schemas.openxmlformats.org/spreadsheetml/2006/main" count="2873" uniqueCount="739">
  <si>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</si>
  <si>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</si>
  <si>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</si>
  <si>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</si>
  <si>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</si>
  <si>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</si>
  <si>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</si>
  <si>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</si>
  <si>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</si>
  <si>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</si>
  <si>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</si>
  <si>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</si>
  <si>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</si>
  <si>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</si>
  <si>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</si>
  <si>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</si>
  <si>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</si>
  <si>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</si>
  <si>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</si>
  <si>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</si>
  <si>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</si>
  <si>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</si>
  <si>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</si>
  <si>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</si>
  <si>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</si>
  <si>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</si>
  <si>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</si>
  <si>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</si>
  <si>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</si>
  <si>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</si>
  <si>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</si>
  <si>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</si>
  <si>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</si>
  <si>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</si>
  <si>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</si>
  <si>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</si>
  <si>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</si>
  <si>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</si>
  <si>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</si>
  <si>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</si>
  <si>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</si>
  <si>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</si>
  <si>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</si>
  <si>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</si>
  <si>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</si>
  <si>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</si>
  <si>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</si>
  <si>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</si>
  <si>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</si>
  <si>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</si>
  <si>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</si>
  <si>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</si>
  <si>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</si>
  <si>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</si>
  <si>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</si>
  <si>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</si>
  <si>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</si>
  <si>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</si>
  <si>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</si>
  <si>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</si>
  <si>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</si>
  <si>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</si>
  <si>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</si>
  <si>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</si>
  <si>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</si>
  <si>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</si>
  <si>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</si>
  <si>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</si>
  <si>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</si>
  <si>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</si>
  <si>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</si>
  <si>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</si>
  <si>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</si>
  <si>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</si>
  <si>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</si>
  <si>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</si>
  <si>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</si>
  <si>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</si>
  <si>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</si>
  <si>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</si>
  <si>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</si>
  <si>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</si>
  <si>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</si>
  <si>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</si>
  <si>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</si>
  <si>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</si>
  <si>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</si>
  <si>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</si>
  <si>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</si>
  <si>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</si>
  <si>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</si>
  <si>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</si>
  <si>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</si>
  <si>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</si>
  <si>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</si>
  <si>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</si>
  <si>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</si>
  <si>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</si>
  <si>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</si>
  <si>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</si>
  <si>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</si>
  <si>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</si>
  <si>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</si>
  <si>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</si>
  <si>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</si>
  <si>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</si>
  <si>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</si>
  <si>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</si>
  <si>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</si>
  <si>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</si>
  <si>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</si>
  <si>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</si>
  <si>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</si>
  <si>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</si>
  <si>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</si>
  <si>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</si>
  <si>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</si>
  <si>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</si>
  <si>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</si>
  <si>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</si>
  <si>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</si>
  <si>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</si>
  <si>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</si>
  <si>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</si>
  <si>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</si>
  <si>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</si>
  <si>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</si>
  <si>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</si>
  <si>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</si>
  <si>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</si>
  <si>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</si>
  <si>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</si>
  <si>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</si>
  <si>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</si>
  <si>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</si>
  <si>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</si>
  <si>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</si>
  <si>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</si>
  <si>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</si>
  <si>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</si>
  <si>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</si>
  <si>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</si>
  <si>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</si>
  <si>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</si>
  <si>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</si>
  <si>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</si>
  <si>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</si>
  <si>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</si>
  <si>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</si>
  <si>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</si>
  <si>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</si>
  <si>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</si>
  <si>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</si>
  <si>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</si>
  <si>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</si>
  <si>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</si>
  <si>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</si>
  <si>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</si>
  <si>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</si>
  <si>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</si>
  <si>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</si>
  <si>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</si>
  <si>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</si>
  <si>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</si>
  <si>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</si>
  <si>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</si>
  <si>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</si>
  <si>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</si>
  <si>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</si>
  <si>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</si>
  <si>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</si>
  <si>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</si>
  <si>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</si>
  <si>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</si>
  <si>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</si>
  <si>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</si>
  <si>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</si>
  <si>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</si>
  <si>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</si>
  <si>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</si>
  <si>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</si>
  <si>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</si>
  <si>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</si>
  <si>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</si>
  <si>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</si>
  <si>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</si>
  <si>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</si>
  <si>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</si>
  <si>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</si>
  <si>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</si>
  <si>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</si>
  <si>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</si>
  <si>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</si>
  <si>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</si>
  <si>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</si>
  <si>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</si>
  <si>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</si>
  <si>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</si>
  <si>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</si>
  <si>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</si>
  <si>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</si>
  <si>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</si>
  <si>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</si>
  <si>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</si>
  <si>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</si>
  <si>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</si>
  <si>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</si>
  <si>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</si>
  <si>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</si>
  <si>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</si>
  <si>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</si>
  <si>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</si>
  <si>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</si>
  <si>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</si>
  <si>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</si>
  <si>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</si>
  <si>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</si>
  <si>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</si>
  <si>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</si>
  <si>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</si>
  <si>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</si>
  <si>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</si>
  <si>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</si>
  <si>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</si>
  <si>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</si>
  <si>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</si>
  <si>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</si>
  <si>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</si>
  <si>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</si>
  <si>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</si>
  <si>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</si>
  <si>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</si>
  <si>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</si>
  <si>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</si>
  <si>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</si>
  <si>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</si>
  <si>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</si>
  <si>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</si>
  <si>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</si>
  <si>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</si>
  <si>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</si>
  <si>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</si>
  <si>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</si>
  <si>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</si>
  <si>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</si>
  <si>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</si>
  <si>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</si>
  <si>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</si>
  <si>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</si>
  <si>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</si>
  <si>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</si>
  <si>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</si>
  <si>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</si>
  <si>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</si>
  <si>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</si>
  <si>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</si>
  <si>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</si>
  <si>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</si>
  <si>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</si>
  <si>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</si>
  <si>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</si>
  <si>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</si>
  <si>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</si>
  <si>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</si>
  <si>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</si>
  <si>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</si>
  <si>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</si>
  <si>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</si>
  <si>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</si>
  <si>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</si>
  <si>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</si>
  <si>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</si>
  <si>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</si>
  <si>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</si>
  <si>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</si>
  <si>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</si>
  <si>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</si>
  <si>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</si>
  <si>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</si>
  <si>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</si>
  <si>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</si>
  <si>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</si>
  <si>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</si>
  <si>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</si>
  <si>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</si>
  <si>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</si>
  <si>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</si>
  <si>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</si>
  <si>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</si>
  <si>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</si>
  <si>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</si>
  <si>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</si>
  <si>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</si>
  <si>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</si>
  <si>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</si>
  <si>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</si>
  <si>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</si>
  <si>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</si>
  <si>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</si>
  <si>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</si>
  <si>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</si>
  <si>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</si>
  <si>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</si>
  <si>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</si>
  <si>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</si>
  <si>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</si>
  <si>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</si>
  <si>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</si>
  <si>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</si>
  <si>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</si>
  <si>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</si>
  <si>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</si>
  <si>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</si>
  <si>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</si>
  <si>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</si>
  <si>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</si>
  <si>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</si>
  <si>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</si>
  <si>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</si>
  <si>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</si>
  <si>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</si>
  <si>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</si>
  <si>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</si>
  <si>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</si>
  <si>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</si>
  <si>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</si>
  <si>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</si>
  <si>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</si>
  <si>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</si>
  <si>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</si>
  <si>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</si>
  <si>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</si>
  <si>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</si>
  <si>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</si>
  <si>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</si>
  <si>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</si>
  <si>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</si>
  <si>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</si>
  <si>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</si>
  <si>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</si>
  <si>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</si>
  <si>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</si>
  <si>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</si>
  <si>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</si>
  <si>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</si>
  <si>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</si>
  <si>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</si>
  <si>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</si>
  <si>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</si>
  <si>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</si>
  <si>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</si>
  <si>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</si>
  <si>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</si>
  <si>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</si>
  <si>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</si>
  <si>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</si>
  <si>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</si>
  <si>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</si>
  <si>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</si>
  <si>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</si>
  <si>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</si>
  <si>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</si>
  <si>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</si>
  <si>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</si>
  <si>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</si>
  <si>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</si>
  <si>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</si>
  <si>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</si>
  <si>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</si>
  <si>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</si>
  <si>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</si>
  <si>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</si>
  <si>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</si>
  <si>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</si>
  <si>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</si>
  <si>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</si>
  <si>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</si>
  <si>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</si>
  <si>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</si>
  <si>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</si>
  <si>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</si>
  <si>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</si>
  <si>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</si>
  <si>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</si>
  <si>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</si>
  <si>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</si>
  <si>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</si>
  <si>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</si>
  <si>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</si>
  <si>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</si>
  <si>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</si>
  <si>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</si>
  <si>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</si>
  <si>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</si>
  <si>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</si>
  <si>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</si>
  <si>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</si>
  <si>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</si>
  <si>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</si>
  <si>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</si>
  <si>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</si>
  <si>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</si>
  <si>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</si>
  <si>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</si>
  <si>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</si>
  <si>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</si>
  <si>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</si>
  <si>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</si>
  <si>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</si>
  <si>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</si>
  <si>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</si>
  <si>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</si>
  <si>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</si>
  <si>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</si>
  <si>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</si>
  <si>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</si>
  <si>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</si>
  <si>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</si>
  <si>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</si>
  <si>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</si>
  <si>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</si>
  <si>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</si>
  <si>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</si>
  <si>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</si>
  <si>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</si>
  <si>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</si>
  <si>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</si>
  <si>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</si>
  <si>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</si>
  <si>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</si>
  <si>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</si>
  <si>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</si>
  <si>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</si>
  <si>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</si>
  <si>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</si>
  <si>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</si>
  <si>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</si>
  <si>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</si>
  <si>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</si>
  <si>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</si>
  <si>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</si>
  <si>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</si>
  <si>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</si>
  <si>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</si>
  <si>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</si>
  <si>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</si>
  <si>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</si>
  <si>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</si>
  <si>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</si>
  <si>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</si>
  <si>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</si>
  <si>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</si>
  <si>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</si>
  <si>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</si>
  <si>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</si>
  <si>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</si>
  <si>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</si>
  <si>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</si>
  <si>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</si>
  <si>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</si>
  <si>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</si>
  <si>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</si>
  <si>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</si>
  <si>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</si>
  <si>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</si>
  <si>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</si>
  <si>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</si>
  <si>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</si>
  <si>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</si>
  <si>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</si>
  <si>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</si>
  <si>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</si>
  <si>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</si>
  <si>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</si>
  <si>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</si>
  <si>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</si>
  <si>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</si>
  <si>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</si>
  <si>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</si>
  <si>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</si>
  <si>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</si>
  <si>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</si>
  <si>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</si>
  <si>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</si>
  <si>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</si>
  <si>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</si>
  <si>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</si>
  <si>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</si>
  <si>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</si>
  <si>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</si>
  <si>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</si>
  <si>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</si>
  <si>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</si>
  <si>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</si>
  <si>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</si>
  <si>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</si>
  <si>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</si>
  <si>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</si>
  <si>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</si>
  <si>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</si>
  <si>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</si>
  <si>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</si>
  <si>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</si>
  <si>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</si>
  <si>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</si>
  <si>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</si>
  <si>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</si>
  <si>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</si>
  <si>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</si>
  <si>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</si>
  <si>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</si>
  <si>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</si>
  <si>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</si>
  <si>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</si>
  <si>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</si>
  <si>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</si>
  <si>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</si>
  <si>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</si>
  <si>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</si>
  <si>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</si>
  <si>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</si>
  <si>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</si>
  <si>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</si>
  <si>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</si>
  <si>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</si>
  <si>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</si>
  <si>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</si>
  <si>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</si>
  <si>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</si>
  <si>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</si>
  <si>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</si>
  <si>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</si>
  <si>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</si>
  <si>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</si>
  <si>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</si>
  <si>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</si>
  <si>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</si>
  <si>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</si>
  <si>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</si>
  <si>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</si>
  <si>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</si>
  <si>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</si>
  <si>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</si>
  <si>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</si>
  <si>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</si>
  <si>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</si>
  <si>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</si>
  <si>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</si>
  <si>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</si>
  <si>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</si>
  <si>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</si>
  <si>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</si>
  <si>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</si>
  <si>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</si>
  <si>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</si>
  <si>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</si>
  <si>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</si>
  <si>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</si>
  <si>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</si>
  <si>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</si>
  <si>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</si>
  <si>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</si>
  <si>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</si>
  <si>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</si>
  <si>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</si>
  <si>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</si>
  <si>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</si>
  <si>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</si>
  <si>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</si>
  <si>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</si>
  <si>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</si>
  <si>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</si>
  <si>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</si>
  <si>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</si>
  <si>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</si>
  <si>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</si>
  <si>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</si>
  <si>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</si>
  <si>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</si>
  <si>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</si>
  <si>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</si>
  <si>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</si>
  <si>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</si>
  <si>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</si>
  <si>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</si>
  <si>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</si>
  <si>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</si>
  <si>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</si>
  <si>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</si>
  <si>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</si>
  <si>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</si>
  <si>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</si>
  <si>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</si>
  <si>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</si>
  <si>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</si>
  <si>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</si>
  <si>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</si>
  <si>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</si>
  <si>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</si>
  <si>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</si>
  <si>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</si>
  <si>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</si>
  <si>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</si>
  <si>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</si>
  <si>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</si>
  <si>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</si>
  <si>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</si>
  <si>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</si>
  <si>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</si>
  <si>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</si>
  <si>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</si>
  <si>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</si>
  <si>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</si>
  <si>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</si>
  <si>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</si>
  <si>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</si>
  <si>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</si>
  <si>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</si>
  <si>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</si>
  <si>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</si>
  <si>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</si>
  <si>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</si>
  <si>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</si>
  <si>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</si>
  <si>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</si>
  <si>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</si>
  <si>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</si>
  <si>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</si>
  <si>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</si>
  <si>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</si>
  <si>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</si>
  <si>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</si>
  <si>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</si>
  <si>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</si>
  <si>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</si>
  <si>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</si>
  <si>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</si>
  <si>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</si>
  <si>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</si>
  <si>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</si>
  <si>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</si>
  <si>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</si>
  <si>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</si>
  <si>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</si>
  <si>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</si>
  <si>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01674115097</t>
  </si>
  <si>
    <t>16/03/1996</t>
  </si>
  <si>
    <t>153 Tăng Bạt Hổ</t>
  </si>
  <si>
    <t>24/04/1996</t>
  </si>
  <si>
    <t>92 Đào Duy Anh, Phú Bình, Huế</t>
  </si>
  <si>
    <t>Khách sạn HueNiNo Hotel</t>
  </si>
  <si>
    <t>18/06/1997</t>
  </si>
  <si>
    <t>Cao đăng Công nghiệp Huế</t>
  </si>
  <si>
    <t>06 Lương Văn Can, p An Cựu, Huế</t>
  </si>
  <si>
    <t>15/75/245 Bùi Thị Xuân, tp Huế</t>
  </si>
  <si>
    <t>Ngân hàng Á Châu</t>
  </si>
  <si>
    <t>15/02/1996</t>
  </si>
  <si>
    <t>16/09/1996</t>
  </si>
  <si>
    <t>Phan Hoàng Kiều Oanh</t>
  </si>
  <si>
    <t>Phan Thị Đông Trúc</t>
  </si>
  <si>
    <t>Phú An, Phú Vang, Thừa Thiên Huế</t>
  </si>
  <si>
    <t>85 đướng 2 tháng 9, Phú Bài, Hương Thủy</t>
  </si>
  <si>
    <t>Đại học Sư phạm</t>
  </si>
  <si>
    <t>2/4/1987</t>
  </si>
  <si>
    <t>3 Phan Đình Phùng, tp Huế</t>
  </si>
  <si>
    <t>Chi cục Đăng kiểm số 13</t>
  </si>
  <si>
    <t>24 Đặng Trần Côn, tp Huế</t>
  </si>
  <si>
    <t>29/04/1998</t>
  </si>
  <si>
    <t>Huế</t>
  </si>
  <si>
    <t>Cao đẳng Y tế Huế</t>
  </si>
  <si>
    <t>21/03/1998</t>
  </si>
  <si>
    <t>Hương Thủy, Thừa Thiên Huế</t>
  </si>
  <si>
    <t>117 Trường Chinh, Huế</t>
  </si>
  <si>
    <t>Sinh viên</t>
  </si>
  <si>
    <t>15/09/1999</t>
  </si>
  <si>
    <t>Đại học Y Dược Huế</t>
  </si>
  <si>
    <t>17/08/1999</t>
  </si>
  <si>
    <t>49 Nguyễn Thiện Kế, p Vĩnh Ninh, Huế</t>
  </si>
  <si>
    <t>10/10/91 Hàn Mặc Tử</t>
  </si>
  <si>
    <t>Đại học Ngoại ngữ Huế</t>
  </si>
  <si>
    <t>28 Nguyễn Duy Luật, Phú Bài, Hương Thủy</t>
  </si>
  <si>
    <t>18/03/1997</t>
  </si>
  <si>
    <t>01 Phạm Văn Đồng, p Vĩ Dạ, Huế</t>
  </si>
  <si>
    <t>Đại học Sư Phạm Huế</t>
  </si>
  <si>
    <t>Phú Bài, Hương Thủy, Thừa Thiên Huế</t>
  </si>
  <si>
    <t>97 Trần Trung Lập, Hương Vân, Hương Trà, Thừa Thiên Huế</t>
  </si>
  <si>
    <t>22 Lê Thái Tông, Tứ Hạ, Hương Trà, Thừa Thiên Huế</t>
  </si>
  <si>
    <t>29/06/1996</t>
  </si>
  <si>
    <t>2/31/246 Hùng Vương, Huế</t>
  </si>
  <si>
    <t>215 Trần Phú, Huế</t>
  </si>
  <si>
    <t>18/01/1997</t>
  </si>
  <si>
    <t>215 A Trần Phú, Huế</t>
  </si>
  <si>
    <t>17/05/1997</t>
  </si>
  <si>
    <t>13 Trần Quang Khải</t>
  </si>
  <si>
    <t>Võ Thế Anh Nhi</t>
  </si>
  <si>
    <t>24/10/1995</t>
  </si>
  <si>
    <t>0935341487</t>
  </si>
  <si>
    <t>24/7 Phạm Thị Liên ,Huế</t>
  </si>
  <si>
    <t>Lê Thị Ngọc Bảo</t>
  </si>
  <si>
    <t>31/10/1983</t>
  </si>
  <si>
    <t>0914612626</t>
  </si>
  <si>
    <t>32 Phan Văn Trường, phường Vỹ Dạ, Huế</t>
  </si>
  <si>
    <t>Giảng viên ĐH Sư phạm huế</t>
  </si>
  <si>
    <t>Hoàng Trịnh Như</t>
  </si>
  <si>
    <t>Trần Thị Thanh Thủy</t>
  </si>
  <si>
    <t>0935434824</t>
  </si>
  <si>
    <t>27/03/1996</t>
  </si>
  <si>
    <t>40A Tăng Bạt Hổ, huế</t>
  </si>
  <si>
    <t>01222425175</t>
  </si>
  <si>
    <t>01202076504</t>
  </si>
  <si>
    <t>Trương Thị Thảo Uyên</t>
  </si>
  <si>
    <t>01222424708</t>
  </si>
  <si>
    <t>Bạn Khả Tú</t>
  </si>
  <si>
    <t>Lô B222 Khu đô thị Phú Mỹ Thượng, Phú Vang</t>
  </si>
  <si>
    <t>0903528152</t>
  </si>
  <si>
    <t>Ngân hàng Agribank</t>
  </si>
  <si>
    <t>Khóa TOEIC A K12 (9/5/2018 - 10/2018)</t>
  </si>
  <si>
    <t>Lập</t>
  </si>
  <si>
    <t>Khác</t>
  </si>
  <si>
    <t>Số Lượng</t>
  </si>
  <si>
    <t>Doanh Thu</t>
  </si>
  <si>
    <t>Bonus</t>
  </si>
  <si>
    <t>Tư Vấn</t>
  </si>
  <si>
    <t>Thanh Toán 1</t>
  </si>
  <si>
    <t>Thanh Toán 2</t>
  </si>
  <si>
    <t>Ngày đăng ký</t>
  </si>
  <si>
    <t>Khóa TOEIC B K10 (9/5/2018 - 10/2018)</t>
  </si>
  <si>
    <t>Lưu ý</t>
  </si>
  <si>
    <r>
      <t xml:space="preserve">Nếu danh sách đăng ký một lớp kéo dài 2 hoặc nhiều tháng, </t>
    </r>
    <r>
      <rPr>
        <b/>
        <sz val="11"/>
        <color theme="0"/>
        <rFont val="Calibri"/>
        <family val="2"/>
        <scheme val="minor"/>
      </rPr>
      <t>chốt bonus vào ngày cuối của tháng</t>
    </r>
    <r>
      <rPr>
        <sz val="11"/>
        <color theme="0"/>
        <rFont val="Calibri"/>
        <family val="2"/>
        <scheme val="minor"/>
      </rPr>
      <t xml:space="preserve"> ở bảng phụ phía dưới danh sách lớp</t>
    </r>
  </si>
  <si>
    <r>
      <t xml:space="preserve">Nếu danh sách đăng ký một lớp kéo dài 2 hoặc nhiều tháng, </t>
    </r>
    <r>
      <rPr>
        <b/>
        <sz val="11"/>
        <color theme="1"/>
        <rFont val="Calibri"/>
        <family val="2"/>
        <scheme val="minor"/>
      </rPr>
      <t>chốt bonus vào ngày cuối của mỗi tháng</t>
    </r>
    <r>
      <rPr>
        <sz val="11"/>
        <color theme="1"/>
        <rFont val="Calibri"/>
        <family val="2"/>
        <scheme val="minor"/>
      </rPr>
      <t xml:space="preserve"> ở bảng phụ phía dưới danh sách lớp</t>
    </r>
  </si>
  <si>
    <t>Hồ Thị Mỹ Linh</t>
  </si>
  <si>
    <t>Võ Thị Minh Thư</t>
  </si>
  <si>
    <t>Trần Hữu Hoài Nguyên</t>
  </si>
  <si>
    <t>Hồ Công Tiến</t>
  </si>
  <si>
    <t>Đào Quang Hàng</t>
  </si>
  <si>
    <t>Phạm Bá Hoàng</t>
  </si>
  <si>
    <t>Tôn Thất Trường Phát</t>
  </si>
  <si>
    <t>Nguyễn Phan Ngọc Anh</t>
  </si>
  <si>
    <t>Hồ Thị Diệu Hòa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</si>
</sst>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010000]mm/dd/yyyy;@"/>
  </numFmts>
  <fonts count="2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9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4" fontId="0" fillId="0" borderId="0" xfId="0" applyNumberFormat="1" applyAlignment="1"/>
    <xf numFmtId="14" fontId="0" fillId="0" borderId="0" xfId="0" applyNumberFormat="1"/>
    <xf numFmtId="164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4" fontId="13" fillId="0" borderId="1" xfId="0" applyNumberFormat="1" applyFont="1" applyFill="1" applyBorder="1"/>
    <xf numFmtId="164" fontId="0" fillId="0" borderId="0" xfId="0" applyNumberFormat="1" applyAlignment="1"/>
    <xf numFmtId="164" fontId="0" fillId="0" borderId="0" xfId="0" applyNumberFormat="1"/>
    <xf numFmtId="0" fontId="14" fillId="4" borderId="1" xfId="3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4" fontId="14" fillId="4" borderId="1" xfId="3" applyNumberFormat="1" applyFont="1" applyBorder="1" applyAlignment="1">
      <alignment horizontal="center"/>
    </xf>
    <xf numFmtId="164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4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4" fontId="13" fillId="0" borderId="7" xfId="0" applyNumberFormat="1" applyFont="1" applyBorder="1"/>
    <xf numFmtId="0" fontId="13" fillId="0" borderId="7" xfId="0" applyFont="1" applyFill="1" applyBorder="1"/>
    <xf numFmtId="164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4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4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4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4" fontId="13" fillId="0" borderId="16" xfId="0" applyNumberFormat="1" applyFont="1" applyBorder="1"/>
    <xf numFmtId="164" fontId="13" fillId="0" borderId="9" xfId="0" applyNumberFormat="1" applyFont="1" applyBorder="1"/>
    <xf numFmtId="164" fontId="13" fillId="0" borderId="18" xfId="0" applyNumberFormat="1" applyFont="1" applyBorder="1"/>
    <xf numFmtId="164" fontId="13" fillId="0" borderId="17" xfId="0" applyNumberFormat="1" applyFont="1" applyBorder="1" applyAlignment="1">
      <alignment horizontal="right"/>
    </xf>
    <xf numFmtId="164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left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7" borderId="4" xfId="0" applyNumberFormat="1" applyFont="1" applyFill="1" applyBorder="1" applyAlignment="1">
      <alignment horizontal="center" vertical="center"/>
    </xf>
    <xf numFmtId="0" fontId="1" fillId="4" borderId="1" xfId="3" applyFont="1" applyBorder="1" applyAlignment="1">
      <alignment horizontal="center" vertical="center"/>
    </xf>
    <xf numFmtId="0" fontId="1" fillId="5" borderId="1" xfId="4" applyFont="1" applyBorder="1" applyAlignment="1">
      <alignment horizontal="center" vertical="center"/>
    </xf>
    <xf numFmtId="0" fontId="19" fillId="6" borderId="1" xfId="5" applyFont="1" applyBorder="1" applyAlignment="1">
      <alignment horizontal="center" vertical="center"/>
    </xf>
    <xf numFmtId="0" fontId="1" fillId="3" borderId="1" xfId="2" applyFont="1" applyBorder="1" applyAlignment="1">
      <alignment horizontal="center" vertical="center"/>
    </xf>
    <xf numFmtId="0" fontId="1" fillId="9" borderId="1" xfId="8" applyFont="1" applyBorder="1" applyAlignment="1">
      <alignment horizontal="center" vertical="center"/>
    </xf>
    <xf numFmtId="0" fontId="1" fillId="10" borderId="1" xfId="9" applyFont="1" applyBorder="1" applyAlignment="1">
      <alignment horizontal="center" vertical="center"/>
    </xf>
    <xf numFmtId="0" fontId="19" fillId="11" borderId="1" xfId="10" applyFont="1" applyBorder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24" fillId="16" borderId="0" xfId="0" applyFont="1" applyFill="1"/>
    <xf numFmtId="0" fontId="24" fillId="0" borderId="0" xfId="0" applyFont="1" applyFill="1"/>
    <xf numFmtId="0" fontId="24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vertical="center"/>
    </xf>
    <xf numFmtId="0" fontId="0" fillId="4" borderId="1" xfId="3" applyFont="1" applyBorder="1" applyAlignment="1">
      <alignment horizontal="center" vertical="center"/>
    </xf>
    <xf numFmtId="0" fontId="0" fillId="5" borderId="1" xfId="4" applyFont="1" applyBorder="1" applyAlignment="1">
      <alignment horizontal="center" vertical="center"/>
    </xf>
    <xf numFmtId="0" fontId="6" fillId="6" borderId="1" xfId="5" applyFont="1" applyBorder="1" applyAlignment="1">
      <alignment horizontal="center" vertical="center"/>
    </xf>
    <xf numFmtId="0" fontId="0" fillId="3" borderId="1" xfId="2" applyFont="1" applyBorder="1" applyAlignment="1">
      <alignment horizontal="center" vertical="center"/>
    </xf>
    <xf numFmtId="0" fontId="0" fillId="9" borderId="1" xfId="8" applyFont="1" applyBorder="1" applyAlignment="1">
      <alignment horizontal="center" vertical="center"/>
    </xf>
    <xf numFmtId="0" fontId="0" fillId="10" borderId="1" xfId="9" applyFont="1" applyBorder="1" applyAlignment="1">
      <alignment horizontal="center" vertical="center"/>
    </xf>
    <xf numFmtId="0" fontId="6" fillId="11" borderId="1" xfId="10" applyFont="1" applyBorder="1" applyAlignment="1">
      <alignment horizontal="center" vertical="center"/>
    </xf>
    <xf numFmtId="0" fontId="0" fillId="21" borderId="1" xfId="0" applyFill="1" applyBorder="1" applyAlignment="1">
      <alignment horizontal="center"/>
    </xf>
    <xf numFmtId="3" fontId="0" fillId="0" borderId="1" xfId="0" applyNumberFormat="1" applyBorder="1"/>
    <xf numFmtId="0" fontId="0" fillId="0" borderId="20" xfId="0" applyFill="1" applyBorder="1"/>
    <xf numFmtId="3" fontId="0" fillId="0" borderId="1" xfId="0" applyNumberFormat="1" applyBorder="1" applyAlignment="1">
      <alignment horizontal="center"/>
    </xf>
    <xf numFmtId="0" fontId="0" fillId="15" borderId="1" xfId="0" applyFill="1" applyBorder="1" applyAlignment="1">
      <alignment horizontal="center"/>
    </xf>
    <xf numFmtId="3" fontId="0" fillId="15" borderId="1" xfId="0" applyNumberFormat="1" applyFill="1" applyBorder="1"/>
    <xf numFmtId="14" fontId="0" fillId="0" borderId="1" xfId="0" applyNumberFormat="1" applyBorder="1"/>
    <xf numFmtId="49" fontId="23" fillId="0" borderId="0" xfId="0" applyNumberFormat="1" applyFont="1" applyFill="1" applyAlignment="1">
      <alignment horizontal="left" vertical="center"/>
    </xf>
    <xf numFmtId="14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0" fontId="18" fillId="2" borderId="1" xfId="1" applyFont="1" applyBorder="1" applyAlignment="1">
      <alignment horizontal="center" vertical="center"/>
    </xf>
    <xf numFmtId="0" fontId="19" fillId="7" borderId="1" xfId="6" applyFont="1" applyBorder="1" applyAlignment="1">
      <alignment horizontal="center" vertical="center"/>
    </xf>
    <xf numFmtId="49" fontId="26" fillId="17" borderId="5" xfId="0" applyNumberFormat="1" applyFont="1" applyFill="1" applyBorder="1" applyAlignment="1">
      <alignment horizontal="center" vertical="center"/>
    </xf>
    <xf numFmtId="49" fontId="26" fillId="17" borderId="7" xfId="0" applyNumberFormat="1" applyFont="1" applyFill="1" applyBorder="1" applyAlignment="1">
      <alignment horizontal="center" vertical="center"/>
    </xf>
    <xf numFmtId="49" fontId="6" fillId="14" borderId="0" xfId="0" applyNumberFormat="1" applyFont="1" applyFill="1" applyAlignment="1">
      <alignment horizontal="center" vertical="center"/>
    </xf>
    <xf numFmtId="49" fontId="6" fillId="20" borderId="0" xfId="0" applyNumberFormat="1" applyFont="1" applyFill="1" applyAlignment="1">
      <alignment horizontal="left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26" fillId="17" borderId="5" xfId="0" applyFont="1" applyFill="1" applyBorder="1" applyAlignment="1">
      <alignment horizontal="center" vertical="center"/>
    </xf>
    <xf numFmtId="0" fontId="26" fillId="17" borderId="7" xfId="0" applyFont="1" applyFill="1" applyBorder="1" applyAlignment="1">
      <alignment horizontal="center" vertical="center"/>
    </xf>
    <xf numFmtId="0" fontId="5" fillId="2" borderId="1" xfId="1" applyFont="1" applyBorder="1" applyAlignment="1">
      <alignment horizontal="center" vertical="center"/>
    </xf>
    <xf numFmtId="0" fontId="6" fillId="7" borderId="1" xfId="6" applyFont="1" applyBorder="1" applyAlignment="1">
      <alignment horizontal="center" vertical="center"/>
    </xf>
    <xf numFmtId="49" fontId="0" fillId="22" borderId="0" xfId="0" applyNumberFormat="1" applyFont="1" applyFill="1" applyAlignment="1">
      <alignment horizontal="left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0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50" t="s">
        <v>165</v>
      </c>
      <c r="B2" s="350"/>
      <c r="C2" s="350"/>
      <c r="D2" s="350"/>
      <c r="E2" s="350"/>
      <c r="F2" s="350"/>
      <c r="G2" s="38"/>
    </row>
    <row r="3" spans="1:8" x14ac:dyDescent="0.25">
      <c r="B3" s="68" t="s">
        <v>166</v>
      </c>
      <c r="C3" s="69">
        <f ca="1">MONTH(TODAY())</f>
        <v>8</v>
      </c>
      <c r="D3" s="79"/>
      <c r="E3" s="66" t="s">
        <v>167</v>
      </c>
      <c r="G3" t="s">
        <v>227</v>
      </c>
      <c r="H3" s="70">
        <f ca="1">TODAY()</f>
        <v>43342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Đã xong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>Chuẩn bị tổ chức</v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52" t="s">
        <v>7</v>
      </c>
      <c r="K2" s="352"/>
      <c r="L2" s="352"/>
      <c r="M2" s="352"/>
      <c r="N2" s="353" t="s">
        <v>8</v>
      </c>
      <c r="O2" s="353"/>
      <c r="P2" s="353"/>
      <c r="Q2" s="354" t="s">
        <v>9</v>
      </c>
      <c r="R2" s="354" t="s">
        <v>10</v>
      </c>
      <c r="S2" s="354" t="s">
        <v>11</v>
      </c>
      <c r="T2" s="354" t="s">
        <v>12</v>
      </c>
      <c r="U2" s="35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54"/>
      <c r="R3" s="354"/>
      <c r="S3" s="354"/>
      <c r="T3" s="354"/>
      <c r="U3" s="35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58" t="s">
        <v>6</v>
      </c>
      <c r="B3" s="358" t="s">
        <v>5</v>
      </c>
      <c r="C3" s="24"/>
      <c r="D3" s="24"/>
      <c r="E3" s="24"/>
      <c r="F3" s="24"/>
      <c r="G3" s="360"/>
      <c r="H3" s="360"/>
      <c r="I3" s="360"/>
      <c r="J3" s="355"/>
      <c r="K3" s="356"/>
      <c r="L3" s="357"/>
      <c r="M3" s="355"/>
      <c r="N3" s="356"/>
      <c r="O3" s="357"/>
      <c r="P3" s="355"/>
      <c r="Q3" s="356"/>
      <c r="R3" s="357"/>
      <c r="S3" s="355"/>
      <c r="T3" s="356"/>
      <c r="U3" s="357"/>
      <c r="V3" s="355"/>
      <c r="W3" s="356"/>
      <c r="X3" s="357"/>
      <c r="Y3" s="355"/>
      <c r="Z3" s="356"/>
      <c r="AA3" s="357"/>
      <c r="AB3" s="355"/>
      <c r="AC3" s="356"/>
      <c r="AD3" s="357"/>
      <c r="AE3" s="355"/>
      <c r="AF3" s="356"/>
      <c r="AG3" s="357"/>
      <c r="AH3" s="355"/>
      <c r="AI3" s="356"/>
      <c r="AJ3" s="357"/>
      <c r="AK3" s="355"/>
      <c r="AL3" s="356"/>
      <c r="AM3" s="357"/>
      <c r="AN3" s="355"/>
      <c r="AO3" s="356"/>
      <c r="AP3" s="357"/>
      <c r="AQ3" s="355"/>
      <c r="AR3" s="356"/>
      <c r="AS3" s="357"/>
      <c r="AT3" s="355"/>
      <c r="AU3" s="356"/>
      <c r="AV3" s="357"/>
      <c r="AW3" s="355"/>
      <c r="AX3" s="356"/>
      <c r="AY3" s="357"/>
      <c r="AZ3" s="355"/>
      <c r="BA3" s="356"/>
      <c r="BB3" s="357"/>
      <c r="BC3" s="362" t="s">
        <v>116</v>
      </c>
      <c r="BD3" s="363"/>
      <c r="BE3" s="364"/>
      <c r="BF3" s="361">
        <v>42930</v>
      </c>
      <c r="BG3" s="356"/>
      <c r="BH3" s="357"/>
      <c r="BI3" s="355" t="s">
        <v>147</v>
      </c>
      <c r="BJ3" s="356"/>
      <c r="BK3" s="357"/>
      <c r="BL3" s="355" t="s">
        <v>148</v>
      </c>
      <c r="BM3" s="356"/>
      <c r="BN3" s="357"/>
      <c r="BO3" s="355" t="s">
        <v>170</v>
      </c>
      <c r="BP3" s="356"/>
      <c r="BQ3" s="357"/>
      <c r="BR3" s="361">
        <v>42940</v>
      </c>
      <c r="BS3" s="356"/>
      <c r="BT3" s="357"/>
      <c r="BU3" s="361">
        <v>42942</v>
      </c>
      <c r="BV3" s="356"/>
      <c r="BW3" s="357"/>
      <c r="BX3" s="361">
        <v>42944</v>
      </c>
      <c r="BY3" s="356"/>
      <c r="BZ3" s="357"/>
      <c r="CA3" s="361">
        <v>42947</v>
      </c>
      <c r="CB3" s="356"/>
      <c r="CC3" s="357"/>
      <c r="CD3" s="26"/>
    </row>
    <row r="4" spans="1:82" s="17" customFormat="1" ht="21" customHeight="1" x14ac:dyDescent="0.25">
      <c r="A4" s="359"/>
      <c r="B4" s="359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52" t="s">
        <v>7</v>
      </c>
      <c r="K2" s="352"/>
      <c r="L2" s="352"/>
      <c r="M2" s="352"/>
      <c r="N2" s="353" t="s">
        <v>8</v>
      </c>
      <c r="O2" s="353"/>
      <c r="P2" s="353"/>
      <c r="Q2" s="354" t="s">
        <v>9</v>
      </c>
      <c r="R2" s="354" t="s">
        <v>10</v>
      </c>
      <c r="S2" s="354" t="s">
        <v>11</v>
      </c>
      <c r="T2" s="354" t="s">
        <v>12</v>
      </c>
      <c r="U2" s="35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54"/>
      <c r="R3" s="354"/>
      <c r="S3" s="354"/>
      <c r="T3" s="354"/>
      <c r="U3" s="35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58" t="s">
        <v>6</v>
      </c>
      <c r="B3" s="358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60" t="s">
        <v>31</v>
      </c>
      <c r="H3" s="360"/>
      <c r="I3" s="360"/>
      <c r="J3" s="355" t="s">
        <v>32</v>
      </c>
      <c r="K3" s="356"/>
      <c r="L3" s="357"/>
      <c r="M3" s="355" t="s">
        <v>33</v>
      </c>
      <c r="N3" s="356"/>
      <c r="O3" s="357"/>
      <c r="P3" s="355" t="s">
        <v>34</v>
      </c>
      <c r="Q3" s="356"/>
      <c r="R3" s="357"/>
      <c r="S3" s="355" t="s">
        <v>35</v>
      </c>
      <c r="T3" s="356"/>
      <c r="U3" s="357"/>
      <c r="V3" s="355" t="s">
        <v>36</v>
      </c>
      <c r="W3" s="356"/>
      <c r="X3" s="357"/>
      <c r="Y3" s="355" t="s">
        <v>37</v>
      </c>
      <c r="Z3" s="356"/>
      <c r="AA3" s="357"/>
      <c r="AB3" s="355" t="s">
        <v>38</v>
      </c>
      <c r="AC3" s="356"/>
      <c r="AD3" s="357"/>
      <c r="AE3" s="355" t="s">
        <v>39</v>
      </c>
      <c r="AF3" s="356"/>
      <c r="AG3" s="357"/>
      <c r="AH3" s="355" t="s">
        <v>40</v>
      </c>
      <c r="AI3" s="356"/>
      <c r="AJ3" s="357"/>
      <c r="AK3" s="355" t="s">
        <v>41</v>
      </c>
      <c r="AL3" s="356"/>
      <c r="AM3" s="357"/>
      <c r="AN3" s="355" t="s">
        <v>42</v>
      </c>
      <c r="AO3" s="356"/>
      <c r="AP3" s="357"/>
      <c r="AQ3" s="355" t="s">
        <v>43</v>
      </c>
      <c r="AR3" s="356"/>
      <c r="AS3" s="357"/>
      <c r="AT3" s="355" t="s">
        <v>44</v>
      </c>
      <c r="AU3" s="356"/>
      <c r="AV3" s="357"/>
      <c r="AW3" s="355" t="s">
        <v>45</v>
      </c>
      <c r="AX3" s="356"/>
      <c r="AY3" s="357"/>
      <c r="AZ3" s="355" t="s">
        <v>46</v>
      </c>
      <c r="BA3" s="356"/>
      <c r="BB3" s="357"/>
      <c r="BC3" s="355" t="s">
        <v>47</v>
      </c>
      <c r="BD3" s="356"/>
      <c r="BE3" s="357"/>
      <c r="BF3" s="355" t="s">
        <v>48</v>
      </c>
      <c r="BG3" s="356"/>
      <c r="BH3" s="357"/>
      <c r="BI3" s="355" t="s">
        <v>49</v>
      </c>
      <c r="BJ3" s="356"/>
      <c r="BK3" s="357"/>
      <c r="BL3" s="355"/>
      <c r="BM3" s="356"/>
      <c r="BN3" s="357"/>
      <c r="BO3" s="355"/>
      <c r="BP3" s="356"/>
      <c r="BQ3" s="357"/>
      <c r="BR3" s="355"/>
      <c r="BS3" s="356"/>
      <c r="BT3" s="35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58"/>
      <c r="B4" s="358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66" t="s">
        <v>7</v>
      </c>
      <c r="P2" s="366"/>
      <c r="Q2" s="366"/>
      <c r="R2" s="366"/>
      <c r="S2" s="367" t="s">
        <v>8</v>
      </c>
      <c r="T2" s="367"/>
      <c r="U2" s="367"/>
      <c r="V2" s="368" t="s">
        <v>9</v>
      </c>
      <c r="W2" s="368" t="s">
        <v>10</v>
      </c>
      <c r="X2" s="368" t="s">
        <v>11</v>
      </c>
      <c r="Y2" s="368" t="s">
        <v>12</v>
      </c>
      <c r="Z2" s="365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68"/>
      <c r="W3" s="368"/>
      <c r="X3" s="368"/>
      <c r="Y3" s="368"/>
      <c r="Z3" s="365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58" t="s">
        <v>6</v>
      </c>
      <c r="B3" s="358" t="s">
        <v>5</v>
      </c>
      <c r="C3" s="60"/>
      <c r="D3" s="60"/>
      <c r="E3" s="60"/>
      <c r="F3" s="60"/>
      <c r="G3" s="360"/>
      <c r="H3" s="360"/>
      <c r="I3" s="360"/>
      <c r="J3" s="360"/>
      <c r="K3" s="360"/>
      <c r="L3" s="360"/>
      <c r="M3" s="360"/>
      <c r="N3" s="360"/>
      <c r="O3" s="360"/>
      <c r="P3" s="360"/>
      <c r="Q3" s="360"/>
      <c r="R3" s="360"/>
      <c r="S3" s="360"/>
      <c r="T3" s="360"/>
      <c r="U3" s="360"/>
      <c r="V3" s="360"/>
      <c r="W3" s="360"/>
      <c r="X3" s="360"/>
      <c r="Y3" s="360"/>
      <c r="Z3" s="360"/>
      <c r="AA3" s="360"/>
      <c r="AB3" s="360"/>
      <c r="AC3" s="360"/>
      <c r="AD3" s="360"/>
      <c r="AE3" s="360"/>
      <c r="AF3" s="360"/>
      <c r="AG3" s="360"/>
      <c r="AH3" s="360"/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/>
      <c r="BB3" s="360"/>
      <c r="BC3" s="369"/>
      <c r="BD3" s="369"/>
      <c r="BE3" s="369"/>
      <c r="BF3" s="370">
        <v>42976</v>
      </c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70"/>
      <c r="BS3" s="360"/>
      <c r="BT3" s="360"/>
      <c r="BU3" s="360"/>
      <c r="BV3" s="360"/>
      <c r="BW3" s="360"/>
      <c r="BX3" s="360"/>
      <c r="BY3" s="360"/>
      <c r="BZ3" s="360"/>
      <c r="CA3" s="360"/>
      <c r="CB3" s="360"/>
      <c r="CC3" s="360"/>
      <c r="CD3" s="26"/>
    </row>
    <row r="4" spans="1:82" s="17" customFormat="1" ht="21" customHeight="1" x14ac:dyDescent="0.25">
      <c r="A4" s="358"/>
      <c r="B4" s="358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71" t="s">
        <v>224</v>
      </c>
      <c r="C1" s="371"/>
      <c r="D1" s="371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52" t="s">
        <v>7</v>
      </c>
      <c r="O2" s="352"/>
      <c r="P2" s="352"/>
      <c r="Q2" s="352"/>
      <c r="R2" s="353" t="s">
        <v>8</v>
      </c>
      <c r="S2" s="353"/>
      <c r="T2" s="353"/>
      <c r="U2" s="354" t="s">
        <v>9</v>
      </c>
      <c r="V2" s="354" t="s">
        <v>10</v>
      </c>
      <c r="W2" s="354" t="s">
        <v>11</v>
      </c>
      <c r="X2" s="354" t="s">
        <v>12</v>
      </c>
      <c r="Y2" s="351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54"/>
      <c r="V3" s="354"/>
      <c r="W3" s="354"/>
      <c r="X3" s="354"/>
      <c r="Y3" s="351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75" t="s">
        <v>430</v>
      </c>
      <c r="B1" s="376"/>
      <c r="C1" s="376"/>
      <c r="D1" s="376"/>
      <c r="E1" s="376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76"/>
      <c r="B2" s="376"/>
      <c r="C2" s="376"/>
      <c r="D2" s="376"/>
      <c r="E2" s="376"/>
      <c r="F2" s="196"/>
      <c r="G2" s="196"/>
      <c r="H2" s="49"/>
      <c r="I2" s="49"/>
      <c r="J2" s="204"/>
      <c r="K2" s="377" t="s">
        <v>7</v>
      </c>
      <c r="L2" s="377"/>
      <c r="M2" s="377"/>
      <c r="N2" s="377"/>
      <c r="O2" s="378" t="s">
        <v>8</v>
      </c>
      <c r="P2" s="378"/>
      <c r="Q2" s="378"/>
      <c r="R2" s="373" t="s">
        <v>322</v>
      </c>
      <c r="S2" s="373" t="s">
        <v>323</v>
      </c>
      <c r="T2" s="372" t="s">
        <v>11</v>
      </c>
      <c r="U2" s="372" t="s">
        <v>12</v>
      </c>
      <c r="V2" s="373" t="s">
        <v>324</v>
      </c>
      <c r="W2" s="194"/>
      <c r="X2" s="377" t="s">
        <v>7</v>
      </c>
      <c r="Y2" s="377"/>
      <c r="Z2" s="377"/>
      <c r="AA2" s="377"/>
      <c r="AB2" s="378" t="s">
        <v>8</v>
      </c>
      <c r="AC2" s="378"/>
      <c r="AD2" s="378"/>
      <c r="AE2" s="373" t="s">
        <v>322</v>
      </c>
      <c r="AF2" s="373" t="s">
        <v>323</v>
      </c>
      <c r="AG2" s="372" t="s">
        <v>11</v>
      </c>
      <c r="AH2" s="372" t="s">
        <v>12</v>
      </c>
      <c r="AI2" s="373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72"/>
      <c r="S3" s="372"/>
      <c r="T3" s="372"/>
      <c r="U3" s="372"/>
      <c r="V3" s="372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72"/>
      <c r="AF3" s="372"/>
      <c r="AG3" s="372"/>
      <c r="AH3" s="372"/>
      <c r="AI3" s="372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74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74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74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74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74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74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74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74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74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74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74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74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74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74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74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74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74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74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74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74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66" t="s">
        <v>7</v>
      </c>
      <c r="L2" s="366"/>
      <c r="M2" s="366"/>
      <c r="N2" s="366"/>
      <c r="O2" s="367" t="s">
        <v>8</v>
      </c>
      <c r="P2" s="367"/>
      <c r="Q2" s="367"/>
      <c r="R2" s="368" t="s">
        <v>9</v>
      </c>
      <c r="S2" s="368" t="s">
        <v>10</v>
      </c>
      <c r="T2" s="368" t="s">
        <v>11</v>
      </c>
      <c r="U2" s="368" t="s">
        <v>12</v>
      </c>
      <c r="V2" s="368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68"/>
      <c r="S3" s="368"/>
      <c r="T3" s="368"/>
      <c r="U3" s="368"/>
      <c r="V3" s="368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66" t="s">
        <v>7</v>
      </c>
      <c r="L2" s="366"/>
      <c r="M2" s="366"/>
      <c r="N2" s="366"/>
      <c r="O2" s="367" t="s">
        <v>8</v>
      </c>
      <c r="P2" s="367"/>
      <c r="Q2" s="367"/>
      <c r="R2" s="379" t="s">
        <v>322</v>
      </c>
      <c r="S2" s="379" t="s">
        <v>323</v>
      </c>
      <c r="T2" s="368" t="s">
        <v>11</v>
      </c>
      <c r="U2" s="368" t="s">
        <v>12</v>
      </c>
      <c r="V2" s="379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68"/>
      <c r="S3" s="368"/>
      <c r="T3" s="368"/>
      <c r="U3" s="368"/>
      <c r="V3" s="368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77" t="s">
        <v>7</v>
      </c>
      <c r="L2" s="377"/>
      <c r="M2" s="377"/>
      <c r="N2" s="377"/>
      <c r="O2" s="378" t="s">
        <v>8</v>
      </c>
      <c r="P2" s="378"/>
      <c r="Q2" s="378"/>
      <c r="R2" s="373" t="s">
        <v>322</v>
      </c>
      <c r="S2" s="373" t="s">
        <v>323</v>
      </c>
      <c r="T2" s="372" t="s">
        <v>11</v>
      </c>
      <c r="U2" s="372" t="s">
        <v>12</v>
      </c>
      <c r="V2" s="373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72"/>
      <c r="S3" s="372"/>
      <c r="T3" s="372"/>
      <c r="U3" s="372"/>
      <c r="V3" s="372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82" t="s">
        <v>7</v>
      </c>
      <c r="L2" s="382"/>
      <c r="M2" s="382"/>
      <c r="N2" s="382"/>
      <c r="O2" s="383" t="s">
        <v>8</v>
      </c>
      <c r="P2" s="383"/>
      <c r="Q2" s="383"/>
      <c r="R2" s="381" t="s">
        <v>322</v>
      </c>
      <c r="S2" s="381" t="s">
        <v>323</v>
      </c>
      <c r="T2" s="380" t="s">
        <v>11</v>
      </c>
      <c r="U2" s="380" t="s">
        <v>12</v>
      </c>
      <c r="V2" s="381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80"/>
      <c r="S3" s="380"/>
      <c r="T3" s="380"/>
      <c r="U3" s="380"/>
      <c r="V3" s="380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77" t="s">
        <v>7</v>
      </c>
      <c r="K2" s="377"/>
      <c r="L2" s="377"/>
      <c r="M2" s="377"/>
      <c r="N2" s="378" t="s">
        <v>8</v>
      </c>
      <c r="O2" s="378"/>
      <c r="P2" s="378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72"/>
      <c r="R3" s="372"/>
      <c r="S3" s="372"/>
      <c r="T3" s="372"/>
      <c r="U3" s="372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D10" sqref="D10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77" t="s">
        <v>7</v>
      </c>
      <c r="K2" s="377"/>
      <c r="L2" s="377"/>
      <c r="M2" s="377"/>
      <c r="N2" s="378" t="s">
        <v>8</v>
      </c>
      <c r="O2" s="378"/>
      <c r="P2" s="378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72"/>
      <c r="R3" s="372"/>
      <c r="S3" s="372"/>
      <c r="T3" s="372"/>
      <c r="U3" s="372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  <c r="J4" s="2">
        <v>6</v>
      </c>
      <c r="K4" s="2">
        <v>18</v>
      </c>
      <c r="L4" s="2">
        <v>22</v>
      </c>
      <c r="M4" s="2">
        <v>10</v>
      </c>
      <c r="N4" s="2">
        <v>27</v>
      </c>
      <c r="O4" s="2">
        <v>7</v>
      </c>
      <c r="P4" s="2">
        <v>27</v>
      </c>
      <c r="Q4" s="2">
        <v>56</v>
      </c>
      <c r="R4" s="2">
        <v>61</v>
      </c>
      <c r="S4" s="2">
        <v>290</v>
      </c>
      <c r="T4" s="2">
        <v>208</v>
      </c>
      <c r="U4" s="327">
        <v>570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58" t="s">
        <v>6</v>
      </c>
      <c r="B3" s="358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60" t="s">
        <v>31</v>
      </c>
      <c r="H3" s="360"/>
      <c r="I3" s="360"/>
      <c r="J3" s="360" t="s">
        <v>32</v>
      </c>
      <c r="K3" s="360"/>
      <c r="L3" s="360"/>
      <c r="M3" s="360" t="s">
        <v>33</v>
      </c>
      <c r="N3" s="360"/>
      <c r="O3" s="360"/>
      <c r="P3" s="360" t="s">
        <v>34</v>
      </c>
      <c r="Q3" s="360"/>
      <c r="R3" s="360"/>
      <c r="S3" s="360" t="s">
        <v>35</v>
      </c>
      <c r="T3" s="360"/>
      <c r="U3" s="360"/>
      <c r="V3" s="360" t="s">
        <v>36</v>
      </c>
      <c r="W3" s="360"/>
      <c r="X3" s="360"/>
      <c r="Y3" s="360" t="s">
        <v>37</v>
      </c>
      <c r="Z3" s="360"/>
      <c r="AA3" s="360"/>
      <c r="AB3" s="360" t="s">
        <v>38</v>
      </c>
      <c r="AC3" s="360"/>
      <c r="AD3" s="360"/>
      <c r="AE3" s="360" t="s">
        <v>39</v>
      </c>
      <c r="AF3" s="360"/>
      <c r="AG3" s="360"/>
      <c r="AH3" s="360" t="s">
        <v>40</v>
      </c>
      <c r="AI3" s="360"/>
      <c r="AJ3" s="360"/>
      <c r="AK3" s="360" t="s">
        <v>41</v>
      </c>
      <c r="AL3" s="360"/>
      <c r="AM3" s="360"/>
      <c r="AN3" s="360" t="s">
        <v>42</v>
      </c>
      <c r="AO3" s="360"/>
      <c r="AP3" s="360"/>
      <c r="AQ3" s="360" t="s">
        <v>43</v>
      </c>
      <c r="AR3" s="360"/>
      <c r="AS3" s="360"/>
      <c r="AT3" s="360" t="s">
        <v>44</v>
      </c>
      <c r="AU3" s="360"/>
      <c r="AV3" s="360"/>
      <c r="AW3" s="360" t="s">
        <v>45</v>
      </c>
      <c r="AX3" s="360"/>
      <c r="AY3" s="360"/>
      <c r="AZ3" s="360" t="s">
        <v>46</v>
      </c>
      <c r="BA3" s="360"/>
      <c r="BB3" s="360"/>
      <c r="BC3" s="360" t="s">
        <v>47</v>
      </c>
      <c r="BD3" s="360"/>
      <c r="BE3" s="360"/>
      <c r="BF3" s="360" t="s">
        <v>48</v>
      </c>
      <c r="BG3" s="360"/>
      <c r="BH3" s="360"/>
      <c r="BI3" s="360" t="s">
        <v>49</v>
      </c>
      <c r="BJ3" s="360"/>
      <c r="BK3" s="360"/>
      <c r="BL3" s="370">
        <v>43244</v>
      </c>
      <c r="BM3" s="360"/>
      <c r="BN3" s="360"/>
      <c r="BO3" s="370">
        <v>43246</v>
      </c>
      <c r="BP3" s="360"/>
      <c r="BQ3" s="360"/>
      <c r="BR3" s="370">
        <v>43249</v>
      </c>
      <c r="BS3" s="360"/>
      <c r="BT3" s="360"/>
      <c r="BU3" s="370">
        <v>43256</v>
      </c>
      <c r="BV3" s="360"/>
      <c r="BW3" s="360"/>
      <c r="BX3" s="361">
        <v>43258</v>
      </c>
      <c r="BY3" s="356"/>
      <c r="BZ3" s="357"/>
      <c r="CA3" s="361">
        <v>43260</v>
      </c>
      <c r="CB3" s="356"/>
      <c r="CC3" s="357"/>
      <c r="CD3" s="361">
        <v>43263</v>
      </c>
      <c r="CE3" s="356"/>
      <c r="CF3" s="357"/>
      <c r="CG3" s="361">
        <v>43265</v>
      </c>
      <c r="CH3" s="356"/>
      <c r="CI3" s="357"/>
      <c r="CJ3" s="361">
        <v>43267</v>
      </c>
      <c r="CK3" s="356"/>
      <c r="CL3" s="357"/>
      <c r="CM3" s="361">
        <v>43270</v>
      </c>
      <c r="CN3" s="356"/>
      <c r="CO3" s="357"/>
      <c r="CP3" s="361">
        <v>43272</v>
      </c>
      <c r="CQ3" s="356"/>
      <c r="CR3" s="357"/>
      <c r="CS3" s="361">
        <v>43277</v>
      </c>
      <c r="CT3" s="384"/>
      <c r="CU3" s="385"/>
      <c r="CV3" s="361">
        <v>43279</v>
      </c>
      <c r="CW3" s="384"/>
      <c r="CX3" s="385"/>
      <c r="CY3" s="361">
        <v>43281</v>
      </c>
      <c r="CZ3" s="384"/>
      <c r="DA3" s="385"/>
      <c r="DB3" s="361">
        <v>43277</v>
      </c>
      <c r="DC3" s="384"/>
      <c r="DD3" s="385"/>
    </row>
    <row r="4" spans="1:108" s="17" customFormat="1" ht="21" customHeight="1" x14ac:dyDescent="0.25">
      <c r="A4" s="358"/>
      <c r="B4" s="358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9" t="s">
        <v>23</v>
      </c>
      <c r="CT4" s="299" t="s">
        <v>24</v>
      </c>
      <c r="CU4" s="299" t="s">
        <v>22</v>
      </c>
      <c r="CV4" s="299" t="s">
        <v>23</v>
      </c>
      <c r="CW4" s="299" t="s">
        <v>24</v>
      </c>
      <c r="CX4" s="299" t="s">
        <v>22</v>
      </c>
      <c r="CY4" s="299" t="s">
        <v>23</v>
      </c>
      <c r="CZ4" s="299" t="s">
        <v>24</v>
      </c>
      <c r="DA4" s="299" t="s">
        <v>22</v>
      </c>
      <c r="DB4" s="299" t="s">
        <v>23</v>
      </c>
      <c r="DC4" s="299" t="s">
        <v>24</v>
      </c>
      <c r="DD4" s="299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299" t="s">
        <v>0</v>
      </c>
      <c r="CT5" s="299" t="s">
        <v>0</v>
      </c>
      <c r="CU5" s="299"/>
      <c r="CV5" s="299" t="s">
        <v>0</v>
      </c>
      <c r="CW5" s="299" t="s">
        <v>0</v>
      </c>
      <c r="CX5" s="299"/>
      <c r="CY5" s="299" t="s">
        <v>0</v>
      </c>
      <c r="CZ5" s="299"/>
      <c r="DA5" s="299"/>
      <c r="DB5" s="299"/>
      <c r="DC5" s="299"/>
      <c r="DD5" s="299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299" t="s">
        <v>0</v>
      </c>
      <c r="CT6" s="299"/>
      <c r="CU6" s="299"/>
      <c r="CV6" s="299" t="s">
        <v>0</v>
      </c>
      <c r="CW6" s="299"/>
      <c r="CX6" s="299"/>
      <c r="CY6" s="299" t="s">
        <v>0</v>
      </c>
      <c r="CZ6" s="299"/>
      <c r="DA6" s="299"/>
      <c r="DB6" s="299"/>
      <c r="DC6" s="299"/>
      <c r="DD6" s="299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299" t="s">
        <v>0</v>
      </c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U3:BW3"/>
    <mergeCell ref="CA3:CC3"/>
    <mergeCell ref="CJ3:CL3"/>
    <mergeCell ref="CM3:CO3"/>
    <mergeCell ref="CP3:CR3"/>
    <mergeCell ref="CY3:DA3"/>
    <mergeCell ref="DB3:DD3"/>
    <mergeCell ref="BX3:BZ3"/>
    <mergeCell ref="CD3:CF3"/>
    <mergeCell ref="CG3:CI3"/>
    <mergeCell ref="CV3:CX3"/>
    <mergeCell ref="CS3:CU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3"/>
  <sheetViews>
    <sheetView topLeftCell="G3" workbookViewId="0">
      <selection activeCell="Q14" sqref="Q1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77" t="s">
        <v>7</v>
      </c>
      <c r="K2" s="377"/>
      <c r="L2" s="377"/>
      <c r="M2" s="377"/>
      <c r="N2" s="378" t="s">
        <v>8</v>
      </c>
      <c r="O2" s="378"/>
      <c r="P2" s="378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72"/>
      <c r="R3" s="372"/>
      <c r="S3" s="372"/>
      <c r="T3" s="372"/>
      <c r="U3" s="372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  <c r="J4" s="1">
        <v>0</v>
      </c>
      <c r="K4" s="1">
        <v>11</v>
      </c>
      <c r="L4" s="1">
        <v>11</v>
      </c>
      <c r="M4" s="1">
        <v>10</v>
      </c>
      <c r="N4" s="1">
        <v>12</v>
      </c>
      <c r="O4" s="1">
        <v>4</v>
      </c>
      <c r="P4" s="1">
        <v>14</v>
      </c>
      <c r="Q4" s="1">
        <v>32</v>
      </c>
      <c r="R4" s="1">
        <v>30</v>
      </c>
      <c r="S4" s="1">
        <v>140</v>
      </c>
      <c r="T4" s="1">
        <v>90</v>
      </c>
      <c r="U4" s="193">
        <v>230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  <c r="U5" s="325"/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  <c r="U6" s="193"/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>
        <v>4</v>
      </c>
      <c r="K7" s="179">
        <v>18</v>
      </c>
      <c r="L7" s="179">
        <v>10</v>
      </c>
      <c r="M7" s="179">
        <v>10</v>
      </c>
      <c r="N7" s="179">
        <v>13</v>
      </c>
      <c r="O7" s="179">
        <v>6</v>
      </c>
      <c r="P7" s="179">
        <v>11</v>
      </c>
      <c r="Q7" s="179">
        <v>42</v>
      </c>
      <c r="R7" s="179">
        <v>30</v>
      </c>
      <c r="S7" s="179">
        <v>195</v>
      </c>
      <c r="T7" s="179">
        <v>90</v>
      </c>
      <c r="U7" s="326">
        <v>285</v>
      </c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  <c r="U8" s="193"/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  <c r="J9" s="1">
        <v>2</v>
      </c>
      <c r="K9" s="1">
        <v>13</v>
      </c>
      <c r="L9" s="1">
        <v>13</v>
      </c>
      <c r="M9" s="1">
        <v>10</v>
      </c>
      <c r="N9" s="1">
        <v>20</v>
      </c>
      <c r="O9" s="1">
        <v>3</v>
      </c>
      <c r="P9" s="1">
        <v>20</v>
      </c>
      <c r="Q9" s="1">
        <v>38</v>
      </c>
      <c r="R9" s="1">
        <v>43</v>
      </c>
      <c r="S9" s="1">
        <v>175</v>
      </c>
      <c r="T9" s="1">
        <v>170</v>
      </c>
      <c r="U9" s="193">
        <v>345</v>
      </c>
    </row>
    <row r="13" spans="1:21" x14ac:dyDescent="0.3">
      <c r="S13" s="15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zoomScale="90" zoomScaleNormal="90" workbookViewId="0">
      <selection activeCell="D11" sqref="D11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76" customWidth="1"/>
    <col min="4" max="4" width="18.85546875" style="1" customWidth="1"/>
    <col min="5" max="5" width="42.570312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A1" s="173"/>
      <c r="B1" s="308" t="s">
        <v>619</v>
      </c>
      <c r="C1" s="309"/>
      <c r="D1" s="307"/>
      <c r="E1" s="307"/>
      <c r="F1" s="303"/>
      <c r="G1" s="307"/>
      <c r="H1" s="173"/>
      <c r="I1" s="173"/>
      <c r="J1" s="173"/>
      <c r="K1" s="173"/>
      <c r="L1" s="173"/>
      <c r="M1" s="173"/>
      <c r="N1" s="173"/>
      <c r="O1" s="173"/>
      <c r="P1" s="173"/>
      <c r="Q1" s="249"/>
      <c r="R1" s="249"/>
      <c r="S1" s="249"/>
      <c r="T1" s="249"/>
      <c r="U1" s="249"/>
    </row>
    <row r="2" spans="1:21" x14ac:dyDescent="0.3">
      <c r="A2" s="173"/>
      <c r="B2" s="249"/>
      <c r="C2" s="309"/>
      <c r="D2" s="303"/>
      <c r="E2" s="307"/>
      <c r="F2" s="303"/>
      <c r="G2" s="307"/>
      <c r="H2" s="173"/>
      <c r="I2" s="173"/>
      <c r="J2" s="386" t="s">
        <v>7</v>
      </c>
      <c r="K2" s="386"/>
      <c r="L2" s="386"/>
      <c r="M2" s="386"/>
      <c r="N2" s="387" t="s">
        <v>8</v>
      </c>
      <c r="O2" s="387"/>
      <c r="P2" s="387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s="2" customFormat="1" x14ac:dyDescent="0.3">
      <c r="A3" s="310" t="s">
        <v>6</v>
      </c>
      <c r="B3" s="310" t="s">
        <v>5</v>
      </c>
      <c r="C3" s="311" t="s">
        <v>4</v>
      </c>
      <c r="D3" s="312" t="s">
        <v>3</v>
      </c>
      <c r="E3" s="313" t="s">
        <v>117</v>
      </c>
      <c r="F3" s="312" t="s">
        <v>71</v>
      </c>
      <c r="G3" s="312" t="s">
        <v>106</v>
      </c>
      <c r="H3" s="310" t="s">
        <v>2</v>
      </c>
      <c r="I3" s="310" t="s">
        <v>173</v>
      </c>
      <c r="J3" s="314" t="s">
        <v>14</v>
      </c>
      <c r="K3" s="315" t="s">
        <v>15</v>
      </c>
      <c r="L3" s="316" t="s">
        <v>16</v>
      </c>
      <c r="M3" s="317" t="s">
        <v>17</v>
      </c>
      <c r="N3" s="318" t="s">
        <v>18</v>
      </c>
      <c r="O3" s="319" t="s">
        <v>19</v>
      </c>
      <c r="P3" s="320" t="s">
        <v>20</v>
      </c>
      <c r="Q3" s="372"/>
      <c r="R3" s="372"/>
      <c r="S3" s="372"/>
      <c r="T3" s="372"/>
      <c r="U3" s="372"/>
    </row>
    <row r="4" spans="1:21" s="249" customFormat="1" ht="37.5" x14ac:dyDescent="0.25">
      <c r="A4" s="173">
        <v>1</v>
      </c>
      <c r="B4" s="249" t="s">
        <v>546</v>
      </c>
      <c r="C4" s="303" t="s">
        <v>580</v>
      </c>
      <c r="D4" s="304" t="s">
        <v>547</v>
      </c>
      <c r="E4" s="305" t="s">
        <v>581</v>
      </c>
      <c r="F4" s="306" t="s">
        <v>579</v>
      </c>
      <c r="G4" s="307"/>
      <c r="H4" s="173" t="s">
        <v>53</v>
      </c>
      <c r="I4" s="173" t="s">
        <v>599</v>
      </c>
    </row>
    <row r="5" spans="1:21" s="295" customFormat="1" x14ac:dyDescent="0.25">
      <c r="A5" s="294">
        <v>2</v>
      </c>
      <c r="B5" s="295" t="s">
        <v>600</v>
      </c>
      <c r="C5" s="296">
        <v>31051</v>
      </c>
      <c r="D5" s="348" t="s">
        <v>602</v>
      </c>
      <c r="E5" s="297" t="s">
        <v>664</v>
      </c>
      <c r="F5" s="251" t="s">
        <v>665</v>
      </c>
      <c r="G5" s="298"/>
      <c r="H5" s="294" t="s">
        <v>53</v>
      </c>
      <c r="I5" s="294" t="s">
        <v>331</v>
      </c>
    </row>
    <row r="6" spans="1:21" s="179" customFormat="1" x14ac:dyDescent="0.3">
      <c r="A6" s="294">
        <v>3</v>
      </c>
      <c r="B6" s="295" t="s">
        <v>601</v>
      </c>
      <c r="C6" s="251" t="s">
        <v>663</v>
      </c>
      <c r="D6" s="348" t="s">
        <v>603</v>
      </c>
      <c r="E6" s="321" t="s">
        <v>666</v>
      </c>
      <c r="F6" s="251" t="s">
        <v>665</v>
      </c>
      <c r="G6" s="298"/>
      <c r="H6" s="294" t="s">
        <v>53</v>
      </c>
      <c r="I6" s="294" t="s">
        <v>331</v>
      </c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</row>
    <row r="7" spans="1:21" x14ac:dyDescent="0.3">
      <c r="A7" s="322">
        <v>4</v>
      </c>
      <c r="B7" s="323" t="s">
        <v>606</v>
      </c>
      <c r="C7" s="250" t="s">
        <v>681</v>
      </c>
      <c r="D7" s="348" t="s">
        <v>608</v>
      </c>
      <c r="E7" s="324" t="s">
        <v>682</v>
      </c>
      <c r="F7" s="249" t="s">
        <v>683</v>
      </c>
      <c r="G7" s="173"/>
      <c r="H7" s="173" t="s">
        <v>53</v>
      </c>
      <c r="I7" s="173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s="249" customFormat="1" x14ac:dyDescent="0.25">
      <c r="A8" s="173">
        <v>5</v>
      </c>
      <c r="B8" s="249" t="s">
        <v>607</v>
      </c>
      <c r="C8" s="250" t="s">
        <v>692</v>
      </c>
      <c r="D8" s="348" t="s">
        <v>609</v>
      </c>
      <c r="E8" s="252" t="s">
        <v>693</v>
      </c>
      <c r="F8" s="249" t="s">
        <v>683</v>
      </c>
      <c r="G8" s="173"/>
      <c r="H8" s="173" t="s">
        <v>53</v>
      </c>
      <c r="I8" s="173"/>
    </row>
    <row r="9" spans="1:21" x14ac:dyDescent="0.3">
      <c r="A9" s="173">
        <v>6</v>
      </c>
      <c r="B9" s="249" t="s">
        <v>610</v>
      </c>
      <c r="C9" s="309" t="s">
        <v>87</v>
      </c>
      <c r="D9" s="348" t="s">
        <v>612</v>
      </c>
      <c r="E9" s="249" t="s">
        <v>684</v>
      </c>
      <c r="F9" s="249" t="s">
        <v>579</v>
      </c>
      <c r="G9" s="249"/>
      <c r="H9" s="173" t="s">
        <v>53</v>
      </c>
      <c r="I9" s="173" t="s">
        <v>614</v>
      </c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</row>
    <row r="10" spans="1:21" x14ac:dyDescent="0.3">
      <c r="A10" s="173">
        <v>7</v>
      </c>
      <c r="B10" s="249" t="s">
        <v>611</v>
      </c>
      <c r="C10" s="250">
        <v>36436</v>
      </c>
      <c r="D10" s="348" t="s">
        <v>613</v>
      </c>
      <c r="E10" s="249" t="s">
        <v>660</v>
      </c>
      <c r="F10" s="249" t="s">
        <v>579</v>
      </c>
      <c r="G10" s="249"/>
      <c r="H10" s="173" t="s">
        <v>53</v>
      </c>
      <c r="I10" s="173" t="s">
        <v>614</v>
      </c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1" x14ac:dyDescent="0.3">
      <c r="A11" s="173">
        <v>8</v>
      </c>
      <c r="B11" s="249" t="s">
        <v>617</v>
      </c>
      <c r="C11" s="250">
        <v>35947</v>
      </c>
      <c r="D11" s="348" t="s">
        <v>618</v>
      </c>
      <c r="E11" s="249" t="s">
        <v>678</v>
      </c>
      <c r="F11" s="249" t="s">
        <v>679</v>
      </c>
      <c r="G11" s="249"/>
      <c r="H11" s="173" t="s">
        <v>53</v>
      </c>
      <c r="I11" s="173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1" ht="37.5" x14ac:dyDescent="0.3">
      <c r="A12" s="173">
        <v>9</v>
      </c>
      <c r="B12" s="249" t="s">
        <v>628</v>
      </c>
      <c r="C12" s="309" t="s">
        <v>403</v>
      </c>
      <c r="D12" s="348" t="s">
        <v>630</v>
      </c>
      <c r="E12" s="252" t="s">
        <v>686</v>
      </c>
      <c r="F12" s="249" t="s">
        <v>673</v>
      </c>
      <c r="G12" s="249"/>
      <c r="H12" s="173" t="s">
        <v>53</v>
      </c>
      <c r="I12" s="173" t="s">
        <v>331</v>
      </c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</row>
    <row r="13" spans="1:21" s="249" customFormat="1" ht="37.5" x14ac:dyDescent="0.25">
      <c r="A13" s="173">
        <v>10</v>
      </c>
      <c r="B13" s="249" t="s">
        <v>629</v>
      </c>
      <c r="C13" s="250">
        <v>35377</v>
      </c>
      <c r="D13" s="348" t="s">
        <v>631</v>
      </c>
      <c r="E13" s="252" t="s">
        <v>685</v>
      </c>
      <c r="F13" s="249" t="s">
        <v>673</v>
      </c>
      <c r="H13" s="173" t="s">
        <v>53</v>
      </c>
      <c r="I13" s="173" t="s">
        <v>331</v>
      </c>
    </row>
    <row r="14" spans="1:21" x14ac:dyDescent="0.3">
      <c r="A14" s="173">
        <v>11</v>
      </c>
      <c r="B14" s="249" t="s">
        <v>632</v>
      </c>
      <c r="C14" s="309" t="s">
        <v>690</v>
      </c>
      <c r="D14" s="348" t="s">
        <v>635</v>
      </c>
      <c r="E14" s="249" t="s">
        <v>689</v>
      </c>
      <c r="F14" s="249" t="s">
        <v>675</v>
      </c>
      <c r="G14" s="249"/>
      <c r="H14" s="173" t="s">
        <v>53</v>
      </c>
      <c r="I14" s="173" t="s">
        <v>331</v>
      </c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</row>
    <row r="15" spans="1:21" x14ac:dyDescent="0.3">
      <c r="A15" s="173">
        <v>12</v>
      </c>
      <c r="B15" s="249" t="s">
        <v>633</v>
      </c>
      <c r="C15" s="250">
        <v>35776</v>
      </c>
      <c r="D15" s="348" t="s">
        <v>636</v>
      </c>
      <c r="E15" s="249" t="s">
        <v>691</v>
      </c>
      <c r="F15" s="249" t="s">
        <v>675</v>
      </c>
      <c r="G15" s="249"/>
      <c r="H15" s="173" t="s">
        <v>53</v>
      </c>
      <c r="I15" s="173" t="s">
        <v>331</v>
      </c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</row>
    <row r="16" spans="1:21" x14ac:dyDescent="0.3">
      <c r="A16" s="173">
        <v>13</v>
      </c>
      <c r="B16" s="249" t="s">
        <v>634</v>
      </c>
      <c r="C16" s="309" t="s">
        <v>687</v>
      </c>
      <c r="D16" s="348" t="s">
        <v>637</v>
      </c>
      <c r="E16" s="249" t="s">
        <v>688</v>
      </c>
      <c r="F16" s="249" t="s">
        <v>675</v>
      </c>
      <c r="G16" s="249"/>
      <c r="H16" s="173" t="s">
        <v>53</v>
      </c>
      <c r="I16" s="173" t="s">
        <v>331</v>
      </c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</row>
    <row r="17" spans="1:21" x14ac:dyDescent="0.3">
      <c r="A17" s="173">
        <v>14</v>
      </c>
      <c r="B17" s="249" t="s">
        <v>624</v>
      </c>
      <c r="C17" s="309" t="s">
        <v>670</v>
      </c>
      <c r="D17" s="348" t="s">
        <v>625</v>
      </c>
      <c r="E17" s="249" t="s">
        <v>671</v>
      </c>
      <c r="F17" s="249"/>
      <c r="G17" s="249"/>
      <c r="H17" s="173" t="s">
        <v>53</v>
      </c>
      <c r="I17" s="173" t="s">
        <v>331</v>
      </c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</row>
    <row r="18" spans="1:21" x14ac:dyDescent="0.3">
      <c r="A18" s="173">
        <v>15</v>
      </c>
      <c r="B18" s="249" t="s">
        <v>626</v>
      </c>
      <c r="C18" s="309" t="s">
        <v>667</v>
      </c>
      <c r="D18" s="348" t="s">
        <v>627</v>
      </c>
      <c r="E18" s="249" t="s">
        <v>668</v>
      </c>
      <c r="F18" s="249" t="s">
        <v>669</v>
      </c>
      <c r="G18" s="249"/>
      <c r="H18" s="173" t="s">
        <v>53</v>
      </c>
      <c r="I18" s="173" t="s">
        <v>331</v>
      </c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</row>
    <row r="19" spans="1:21" x14ac:dyDescent="0.3">
      <c r="A19" s="173">
        <v>16</v>
      </c>
      <c r="B19" s="249" t="s">
        <v>638</v>
      </c>
      <c r="C19" s="309" t="s">
        <v>674</v>
      </c>
      <c r="D19" s="348" t="s">
        <v>640</v>
      </c>
      <c r="E19" s="249" t="s">
        <v>677</v>
      </c>
      <c r="F19" s="249" t="s">
        <v>675</v>
      </c>
      <c r="G19" s="249"/>
      <c r="H19" s="173" t="s">
        <v>53</v>
      </c>
      <c r="I19" s="173" t="s">
        <v>331</v>
      </c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</row>
    <row r="20" spans="1:21" x14ac:dyDescent="0.3">
      <c r="A20" s="173">
        <v>17</v>
      </c>
      <c r="B20" s="249" t="s">
        <v>639</v>
      </c>
      <c r="C20" s="309" t="s">
        <v>676</v>
      </c>
      <c r="D20" s="348" t="s">
        <v>641</v>
      </c>
      <c r="E20" s="249" t="s">
        <v>677</v>
      </c>
      <c r="F20" s="249" t="s">
        <v>675</v>
      </c>
      <c r="G20" s="249"/>
      <c r="H20" s="173" t="s">
        <v>53</v>
      </c>
      <c r="I20" s="173" t="s">
        <v>331</v>
      </c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</row>
    <row r="21" spans="1:21" x14ac:dyDescent="0.3">
      <c r="A21" s="173">
        <v>18</v>
      </c>
      <c r="B21" s="249" t="s">
        <v>642</v>
      </c>
      <c r="C21" s="250">
        <v>36344</v>
      </c>
      <c r="D21" s="348" t="s">
        <v>643</v>
      </c>
      <c r="E21" s="249" t="s">
        <v>672</v>
      </c>
      <c r="F21" s="249" t="s">
        <v>673</v>
      </c>
      <c r="G21" s="249"/>
      <c r="H21" s="173" t="s">
        <v>53</v>
      </c>
      <c r="I21" s="173" t="s">
        <v>331</v>
      </c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</row>
    <row r="22" spans="1:21" ht="37.5" x14ac:dyDescent="0.3">
      <c r="A22" s="173">
        <v>19</v>
      </c>
      <c r="B22" s="249" t="s">
        <v>644</v>
      </c>
      <c r="C22" s="250">
        <v>35106</v>
      </c>
      <c r="D22" s="348" t="s">
        <v>645</v>
      </c>
      <c r="E22" s="252" t="s">
        <v>680</v>
      </c>
      <c r="F22" s="249" t="s">
        <v>579</v>
      </c>
      <c r="G22" s="249"/>
      <c r="H22" s="173" t="s">
        <v>53</v>
      </c>
      <c r="I22" s="173" t="s">
        <v>614</v>
      </c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</row>
    <row r="23" spans="1:21" x14ac:dyDescent="0.3">
      <c r="A23" s="173">
        <v>20</v>
      </c>
      <c r="B23" s="249" t="s">
        <v>694</v>
      </c>
      <c r="C23" s="309" t="s">
        <v>695</v>
      </c>
      <c r="D23" s="348" t="s">
        <v>696</v>
      </c>
      <c r="E23" s="249" t="s">
        <v>697</v>
      </c>
      <c r="F23" s="249"/>
      <c r="G23" s="249"/>
      <c r="H23" s="173" t="s">
        <v>53</v>
      </c>
      <c r="I23" s="173" t="s">
        <v>331</v>
      </c>
      <c r="J23" s="249"/>
      <c r="K23" s="249"/>
      <c r="L23" s="249"/>
      <c r="M23" s="249"/>
      <c r="N23" s="249"/>
      <c r="O23" s="249"/>
      <c r="P23" s="249"/>
      <c r="Q23" s="249"/>
      <c r="R23" s="249"/>
      <c r="S23" s="249"/>
      <c r="T23" s="249"/>
      <c r="U23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4"/>
  <sheetViews>
    <sheetView tabSelected="1" workbookViewId="0">
      <selection activeCell="D10" sqref="D10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2" customWidth="1"/>
    <col min="4" max="4" width="20.85546875" style="1" customWidth="1"/>
    <col min="5" max="5" width="51.42578125" style="1" customWidth="1"/>
    <col min="6" max="6" width="43.140625" style="1" customWidth="1"/>
    <col min="7" max="7" width="19.5703125" style="1" customWidth="1"/>
    <col min="8" max="8" width="13" style="2" customWidth="1"/>
    <col min="9" max="9" width="19.140625" style="2" customWidth="1"/>
    <col min="10" max="16384" width="9.140625" style="1"/>
  </cols>
  <sheetData>
    <row r="1" spans="1:21" x14ac:dyDescent="0.3">
      <c r="B1" s="159" t="s">
        <v>620</v>
      </c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D2" s="34"/>
      <c r="E2" s="33"/>
      <c r="F2" s="34"/>
      <c r="G2" s="33"/>
      <c r="J2" s="377" t="s">
        <v>7</v>
      </c>
      <c r="K2" s="377"/>
      <c r="L2" s="377"/>
      <c r="M2" s="377"/>
      <c r="N2" s="378" t="s">
        <v>8</v>
      </c>
      <c r="O2" s="378"/>
      <c r="P2" s="378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x14ac:dyDescent="0.3">
      <c r="A3" s="156" t="s">
        <v>6</v>
      </c>
      <c r="B3" s="156" t="s">
        <v>5</v>
      </c>
      <c r="C3" s="300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72"/>
      <c r="R3" s="372"/>
      <c r="S3" s="372"/>
      <c r="T3" s="372"/>
      <c r="U3" s="372"/>
    </row>
    <row r="4" spans="1:21" x14ac:dyDescent="0.3">
      <c r="A4" s="2">
        <v>1</v>
      </c>
      <c r="B4" s="1" t="s">
        <v>596</v>
      </c>
      <c r="C4" s="33" t="s">
        <v>646</v>
      </c>
      <c r="D4" s="191" t="s">
        <v>709</v>
      </c>
      <c r="E4" s="3" t="s">
        <v>647</v>
      </c>
      <c r="F4" s="3" t="s">
        <v>579</v>
      </c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01" t="s">
        <v>648</v>
      </c>
      <c r="D5" s="180" t="s">
        <v>598</v>
      </c>
      <c r="E5" s="181" t="s">
        <v>649</v>
      </c>
      <c r="F5" s="180" t="s">
        <v>650</v>
      </c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658</v>
      </c>
      <c r="C6" s="33" t="s">
        <v>656</v>
      </c>
      <c r="D6" s="34" t="s">
        <v>604</v>
      </c>
      <c r="E6" s="3" t="s">
        <v>660</v>
      </c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659</v>
      </c>
      <c r="C7" s="182" t="s">
        <v>657</v>
      </c>
      <c r="D7" s="180" t="s">
        <v>605</v>
      </c>
      <c r="E7" s="181" t="s">
        <v>661</v>
      </c>
      <c r="F7" s="180" t="s">
        <v>662</v>
      </c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615</v>
      </c>
      <c r="C8" s="302" t="s">
        <v>651</v>
      </c>
      <c r="D8" s="245" t="s">
        <v>616</v>
      </c>
      <c r="E8" s="248" t="s">
        <v>653</v>
      </c>
      <c r="F8" s="247" t="s">
        <v>652</v>
      </c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621</v>
      </c>
      <c r="C9" s="75">
        <v>31478</v>
      </c>
      <c r="D9" s="180" t="s">
        <v>622</v>
      </c>
      <c r="E9" s="1" t="s">
        <v>654</v>
      </c>
      <c r="F9" s="1" t="s">
        <v>655</v>
      </c>
      <c r="G9" s="2"/>
      <c r="H9" s="178" t="s">
        <v>446</v>
      </c>
      <c r="I9" s="178" t="s">
        <v>623</v>
      </c>
    </row>
    <row r="10" spans="1:21" x14ac:dyDescent="0.3">
      <c r="A10" s="2">
        <v>7</v>
      </c>
      <c r="B10" s="1" t="s">
        <v>549</v>
      </c>
      <c r="C10" s="2">
        <v>1987</v>
      </c>
      <c r="D10" s="180" t="s">
        <v>714</v>
      </c>
      <c r="F10" s="1" t="s">
        <v>715</v>
      </c>
      <c r="H10" s="2" t="s">
        <v>53</v>
      </c>
      <c r="I10" s="2" t="s">
        <v>308</v>
      </c>
    </row>
    <row r="11" spans="1:21" x14ac:dyDescent="0.3">
      <c r="A11" s="2">
        <v>8</v>
      </c>
      <c r="B11" s="1" t="s">
        <v>698</v>
      </c>
      <c r="C11" s="2" t="s">
        <v>699</v>
      </c>
      <c r="D11" s="180" t="s">
        <v>700</v>
      </c>
      <c r="E11" s="1" t="s">
        <v>701</v>
      </c>
      <c r="F11" s="1" t="s">
        <v>702</v>
      </c>
      <c r="H11" s="2" t="s">
        <v>53</v>
      </c>
      <c r="I11" s="2" t="s">
        <v>308</v>
      </c>
    </row>
    <row r="12" spans="1:21" x14ac:dyDescent="0.3">
      <c r="A12" s="2">
        <v>9</v>
      </c>
      <c r="B12" s="1" t="s">
        <v>703</v>
      </c>
      <c r="C12" s="2" t="s">
        <v>706</v>
      </c>
      <c r="D12" s="180" t="s">
        <v>708</v>
      </c>
      <c r="E12" s="1" t="s">
        <v>707</v>
      </c>
      <c r="F12" s="1" t="s">
        <v>579</v>
      </c>
      <c r="H12" s="2" t="s">
        <v>53</v>
      </c>
      <c r="I12" s="2" t="s">
        <v>345</v>
      </c>
    </row>
    <row r="13" spans="1:21" x14ac:dyDescent="0.3">
      <c r="A13" s="2">
        <v>10</v>
      </c>
      <c r="B13" s="1" t="s">
        <v>704</v>
      </c>
      <c r="D13" s="180" t="s">
        <v>705</v>
      </c>
      <c r="H13" s="2" t="s">
        <v>53</v>
      </c>
      <c r="I13" s="2" t="s">
        <v>331</v>
      </c>
    </row>
    <row r="14" spans="1:21" x14ac:dyDescent="0.3">
      <c r="A14" s="2">
        <v>11</v>
      </c>
      <c r="B14" s="1" t="s">
        <v>710</v>
      </c>
      <c r="C14" s="75">
        <v>35373</v>
      </c>
      <c r="D14" s="180" t="s">
        <v>711</v>
      </c>
      <c r="E14" s="1" t="s">
        <v>713</v>
      </c>
      <c r="H14" s="2" t="s">
        <v>53</v>
      </c>
      <c r="I14" s="2" t="s">
        <v>712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33"/>
  <sheetViews>
    <sheetView workbookViewId="0">
      <selection activeCell="J12" sqref="J12"/>
    </sheetView>
  </sheetViews>
  <sheetFormatPr defaultRowHeight="15" x14ac:dyDescent="0.25"/>
  <cols>
    <col min="1" max="1" width="4" customWidth="1"/>
    <col min="2" max="2" width="33.85546875" customWidth="1"/>
    <col min="4" max="4" width="13.28515625" customWidth="1"/>
    <col min="5" max="5" width="7" bestFit="1" customWidth="1"/>
    <col min="6" max="6" width="15" customWidth="1"/>
    <col min="7" max="7" width="13.7109375" customWidth="1"/>
    <col min="8" max="8" width="13.7109375" style="59" customWidth="1"/>
    <col min="9" max="9" width="10.28515625" style="59" customWidth="1"/>
    <col min="10" max="10" width="14" style="59" customWidth="1"/>
    <col min="11" max="11" width="12" customWidth="1"/>
    <col min="12" max="12" width="13.7109375" customWidth="1"/>
    <col min="14" max="15" width="11.7109375" customWidth="1"/>
  </cols>
  <sheetData>
    <row r="1" spans="1:22" x14ac:dyDescent="0.25">
      <c r="A1" s="328"/>
      <c r="B1" s="329" t="s">
        <v>716</v>
      </c>
      <c r="C1" s="330"/>
      <c r="D1" s="390" t="s">
        <v>727</v>
      </c>
      <c r="E1" s="391" t="s">
        <v>728</v>
      </c>
      <c r="F1" s="391"/>
      <c r="G1" s="391"/>
      <c r="H1" s="391"/>
      <c r="I1" s="391"/>
      <c r="J1" s="391"/>
      <c r="K1" s="328"/>
      <c r="L1" s="328"/>
      <c r="M1" s="328"/>
      <c r="N1" s="328"/>
      <c r="O1" s="328"/>
      <c r="P1" s="328"/>
      <c r="Q1" s="328"/>
      <c r="R1" s="333"/>
      <c r="S1" s="333"/>
      <c r="T1" s="333"/>
      <c r="U1" s="333"/>
      <c r="V1" s="333"/>
    </row>
    <row r="2" spans="1:22" x14ac:dyDescent="0.25">
      <c r="A2" s="328"/>
      <c r="B2" s="329"/>
      <c r="C2" s="330"/>
      <c r="D2" s="390"/>
      <c r="E2" s="391"/>
      <c r="F2" s="391"/>
      <c r="G2" s="391"/>
      <c r="H2" s="391"/>
      <c r="I2" s="391"/>
      <c r="J2" s="391"/>
      <c r="K2" s="328"/>
      <c r="L2" s="328"/>
      <c r="M2" s="328"/>
      <c r="N2" s="328"/>
      <c r="O2" s="328"/>
      <c r="P2" s="328"/>
      <c r="Q2" s="328"/>
      <c r="R2" s="333"/>
      <c r="S2" s="333"/>
      <c r="T2" s="333"/>
      <c r="U2" s="333"/>
      <c r="V2" s="333"/>
    </row>
    <row r="3" spans="1:22" x14ac:dyDescent="0.25">
      <c r="A3" s="328"/>
      <c r="B3" s="329"/>
      <c r="C3" s="330"/>
      <c r="D3" s="331"/>
      <c r="E3" s="331"/>
      <c r="F3" s="332"/>
      <c r="G3" s="331"/>
      <c r="H3" s="331"/>
      <c r="I3" s="328"/>
      <c r="J3" s="328"/>
      <c r="K3" s="328"/>
      <c r="L3" s="328"/>
      <c r="M3" s="328"/>
      <c r="N3" s="328"/>
      <c r="O3" s="328"/>
      <c r="P3" s="328"/>
      <c r="Q3" s="328"/>
      <c r="R3" s="333"/>
      <c r="S3" s="333"/>
      <c r="T3" s="333"/>
      <c r="U3" s="333"/>
      <c r="V3" s="333"/>
    </row>
    <row r="4" spans="1:22" x14ac:dyDescent="0.25">
      <c r="A4" s="394" t="s">
        <v>6</v>
      </c>
      <c r="B4" s="394" t="s">
        <v>5</v>
      </c>
      <c r="C4" s="388" t="s">
        <v>4</v>
      </c>
      <c r="D4" s="388" t="s">
        <v>3</v>
      </c>
      <c r="E4" s="388" t="s">
        <v>117</v>
      </c>
      <c r="F4" s="388" t="s">
        <v>71</v>
      </c>
      <c r="G4" s="388" t="s">
        <v>106</v>
      </c>
      <c r="H4" s="388" t="s">
        <v>725</v>
      </c>
      <c r="I4" s="394" t="s">
        <v>2</v>
      </c>
      <c r="J4" s="394" t="s">
        <v>173</v>
      </c>
      <c r="K4" s="396" t="s">
        <v>7</v>
      </c>
      <c r="L4" s="396"/>
      <c r="M4" s="396"/>
      <c r="N4" s="396"/>
      <c r="O4" s="397" t="s">
        <v>8</v>
      </c>
      <c r="P4" s="397"/>
      <c r="Q4" s="397"/>
      <c r="R4" s="392" t="s">
        <v>322</v>
      </c>
      <c r="S4" s="392" t="s">
        <v>323</v>
      </c>
      <c r="T4" s="393" t="s">
        <v>11</v>
      </c>
      <c r="U4" s="393" t="s">
        <v>12</v>
      </c>
      <c r="V4" s="392" t="s">
        <v>324</v>
      </c>
    </row>
    <row r="5" spans="1:22" x14ac:dyDescent="0.25">
      <c r="A5" s="395"/>
      <c r="B5" s="395"/>
      <c r="C5" s="389"/>
      <c r="D5" s="389"/>
      <c r="E5" s="389"/>
      <c r="F5" s="389"/>
      <c r="G5" s="389"/>
      <c r="H5" s="389"/>
      <c r="I5" s="395"/>
      <c r="J5" s="395"/>
      <c r="K5" s="334" t="s">
        <v>14</v>
      </c>
      <c r="L5" s="335" t="s">
        <v>15</v>
      </c>
      <c r="M5" s="336" t="s">
        <v>16</v>
      </c>
      <c r="N5" s="337" t="s">
        <v>17</v>
      </c>
      <c r="O5" s="338" t="s">
        <v>18</v>
      </c>
      <c r="P5" s="339" t="s">
        <v>19</v>
      </c>
      <c r="Q5" s="340" t="s">
        <v>20</v>
      </c>
      <c r="R5" s="393"/>
      <c r="S5" s="393"/>
      <c r="T5" s="393"/>
      <c r="U5" s="393"/>
      <c r="V5" s="393"/>
    </row>
    <row r="6" spans="1:22" x14ac:dyDescent="0.25">
      <c r="A6" s="19">
        <v>1</v>
      </c>
      <c r="B6" s="22" t="s">
        <v>550</v>
      </c>
      <c r="C6" s="347">
        <v>35582</v>
      </c>
      <c r="D6" s="22">
        <v>989270424</v>
      </c>
      <c r="E6" s="22"/>
      <c r="F6" s="22"/>
      <c r="G6" s="22"/>
      <c r="H6" s="349"/>
      <c r="I6" s="344"/>
      <c r="J6" s="19" t="s">
        <v>599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2</v>
      </c>
      <c r="B7" s="22" t="s">
        <v>731</v>
      </c>
      <c r="C7" s="22"/>
      <c r="D7" s="22">
        <v>935749822</v>
      </c>
      <c r="E7" s="22"/>
      <c r="F7" s="22"/>
      <c r="G7" s="22"/>
      <c r="H7" s="349">
        <v>43334</v>
      </c>
      <c r="I7" s="344">
        <v>1491000</v>
      </c>
      <c r="J7" s="19" t="s">
        <v>345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19">
        <v>3</v>
      </c>
      <c r="B8" s="22" t="s">
        <v>730</v>
      </c>
      <c r="C8" s="22"/>
      <c r="D8" s="22">
        <v>965007118</v>
      </c>
      <c r="E8" s="22"/>
      <c r="F8" s="22"/>
      <c r="G8" s="22"/>
      <c r="H8" s="349">
        <v>43335</v>
      </c>
      <c r="I8" s="344">
        <v>1491000</v>
      </c>
      <c r="J8" s="19" t="s">
        <v>331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22" x14ac:dyDescent="0.25">
      <c r="A9" s="19">
        <v>4</v>
      </c>
      <c r="B9" s="22" t="s">
        <v>732</v>
      </c>
      <c r="C9" s="22"/>
      <c r="D9" s="22">
        <v>905455520</v>
      </c>
      <c r="E9" s="22"/>
      <c r="F9" s="22"/>
      <c r="G9" s="22"/>
      <c r="H9" s="349">
        <v>43336</v>
      </c>
      <c r="I9" s="344">
        <v>1281000</v>
      </c>
      <c r="J9" s="19" t="s">
        <v>331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22" x14ac:dyDescent="0.25">
      <c r="A10" s="19">
        <v>5</v>
      </c>
      <c r="B10" s="22" t="s">
        <v>733</v>
      </c>
      <c r="C10" s="22"/>
      <c r="D10" s="22">
        <v>935225872</v>
      </c>
      <c r="E10" s="22"/>
      <c r="F10" s="22"/>
      <c r="G10" s="22"/>
      <c r="H10" s="349">
        <v>43336</v>
      </c>
      <c r="I10" s="344">
        <v>1281000</v>
      </c>
      <c r="J10" s="19" t="s">
        <v>331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22" x14ac:dyDescent="0.25">
      <c r="A11" s="19">
        <v>6</v>
      </c>
      <c r="B11" s="22" t="s">
        <v>734</v>
      </c>
      <c r="C11" s="22"/>
      <c r="D11" s="22">
        <v>1213323142</v>
      </c>
      <c r="E11" s="22"/>
      <c r="F11" s="22"/>
      <c r="G11" s="22"/>
      <c r="H11" s="349">
        <v>43336</v>
      </c>
      <c r="I11" s="344">
        <v>1281000</v>
      </c>
      <c r="J11" s="19" t="s">
        <v>331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22" x14ac:dyDescent="0.25">
      <c r="A12" s="19">
        <v>7</v>
      </c>
      <c r="B12" s="22" t="s">
        <v>735</v>
      </c>
      <c r="C12" s="22"/>
      <c r="D12" s="22">
        <v>1668896024</v>
      </c>
      <c r="E12" s="22"/>
      <c r="F12" s="22"/>
      <c r="G12" s="22"/>
      <c r="H12" s="349">
        <v>43341</v>
      </c>
      <c r="I12" s="344">
        <v>1386000</v>
      </c>
      <c r="J12" s="19" t="s">
        <v>718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22" x14ac:dyDescent="0.25">
      <c r="A13" s="19">
        <v>8</v>
      </c>
      <c r="B13" s="22" t="s">
        <v>736</v>
      </c>
      <c r="C13" s="22"/>
      <c r="D13" s="22">
        <v>985298196</v>
      </c>
      <c r="E13" s="22"/>
      <c r="F13" s="22"/>
      <c r="G13" s="22"/>
      <c r="H13" s="349">
        <v>43341</v>
      </c>
      <c r="I13" s="344">
        <v>1386000</v>
      </c>
      <c r="J13" s="19" t="s">
        <v>718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22" x14ac:dyDescent="0.25">
      <c r="A14" s="19">
        <v>9</v>
      </c>
      <c r="B14" s="22"/>
      <c r="C14" s="22"/>
      <c r="D14" s="22"/>
      <c r="E14" s="22"/>
      <c r="F14" s="22"/>
      <c r="G14" s="22"/>
      <c r="H14" s="19"/>
      <c r="I14" s="344"/>
      <c r="J14" s="19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22" x14ac:dyDescent="0.25">
      <c r="A15" s="19">
        <v>10</v>
      </c>
      <c r="B15" s="22"/>
      <c r="C15" s="22"/>
      <c r="D15" s="22"/>
      <c r="E15" s="22"/>
      <c r="F15" s="22"/>
      <c r="G15" s="22"/>
      <c r="H15" s="19"/>
      <c r="I15" s="344"/>
      <c r="J15" s="19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22" x14ac:dyDescent="0.25">
      <c r="A16" s="19">
        <v>11</v>
      </c>
      <c r="B16" s="22"/>
      <c r="C16" s="22"/>
      <c r="D16" s="22"/>
      <c r="E16" s="22"/>
      <c r="F16" s="22"/>
      <c r="G16" s="22"/>
      <c r="H16" s="19"/>
      <c r="I16" s="344"/>
      <c r="J16" s="19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x14ac:dyDescent="0.25">
      <c r="A17" s="19">
        <v>12</v>
      </c>
      <c r="B17" s="22"/>
      <c r="C17" s="22"/>
      <c r="D17" s="22"/>
      <c r="E17" s="22"/>
      <c r="F17" s="22"/>
      <c r="G17" s="22"/>
      <c r="H17" s="19"/>
      <c r="I17" s="344"/>
      <c r="J17" s="19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x14ac:dyDescent="0.25">
      <c r="A18" s="19">
        <v>13</v>
      </c>
      <c r="B18" s="22"/>
      <c r="C18" s="22"/>
      <c r="D18" s="22"/>
      <c r="E18" s="22"/>
      <c r="F18" s="22"/>
      <c r="G18" s="22"/>
      <c r="H18" s="19"/>
      <c r="I18" s="344"/>
      <c r="J18" s="19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x14ac:dyDescent="0.25">
      <c r="A19" s="19">
        <v>14</v>
      </c>
      <c r="B19" s="22"/>
      <c r="C19" s="22"/>
      <c r="D19" s="22"/>
      <c r="E19" s="22"/>
      <c r="F19" s="22"/>
      <c r="G19" s="22"/>
      <c r="H19" s="19"/>
      <c r="I19" s="344"/>
      <c r="J19" s="19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x14ac:dyDescent="0.25">
      <c r="A20" s="19">
        <v>15</v>
      </c>
      <c r="B20" s="22"/>
      <c r="C20" s="22"/>
      <c r="D20" s="22"/>
      <c r="E20" s="22"/>
      <c r="F20" s="22"/>
      <c r="G20" s="22"/>
      <c r="H20" s="19"/>
      <c r="I20" s="344"/>
      <c r="J20" s="19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x14ac:dyDescent="0.25">
      <c r="A21" s="19">
        <v>16</v>
      </c>
      <c r="B21" s="22"/>
      <c r="C21" s="22"/>
      <c r="D21" s="22"/>
      <c r="E21" s="22"/>
      <c r="F21" s="22"/>
      <c r="G21" s="22"/>
      <c r="H21" s="19"/>
      <c r="I21" s="344"/>
      <c r="J21" s="19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x14ac:dyDescent="0.25">
      <c r="A22" s="19">
        <v>17</v>
      </c>
      <c r="B22" s="22"/>
      <c r="C22" s="22"/>
      <c r="D22" s="22"/>
      <c r="E22" s="22"/>
      <c r="F22" s="22"/>
      <c r="G22" s="22"/>
      <c r="H22" s="19"/>
      <c r="I22" s="344"/>
      <c r="J22" s="19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x14ac:dyDescent="0.25">
      <c r="A23" s="19">
        <v>18</v>
      </c>
      <c r="B23" s="22"/>
      <c r="C23" s="22"/>
      <c r="D23" s="22"/>
      <c r="E23" s="22"/>
      <c r="F23" s="22"/>
      <c r="G23" s="22"/>
      <c r="H23" s="19"/>
      <c r="I23" s="344"/>
      <c r="J23" s="19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x14ac:dyDescent="0.25">
      <c r="A24" s="19">
        <v>19</v>
      </c>
      <c r="B24" s="22"/>
      <c r="C24" s="22"/>
      <c r="D24" s="22"/>
      <c r="E24" s="22"/>
      <c r="F24" s="22"/>
      <c r="G24" s="22"/>
      <c r="H24" s="19"/>
      <c r="I24" s="344"/>
      <c r="J24" s="19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x14ac:dyDescent="0.25">
      <c r="A25" s="19">
        <v>20</v>
      </c>
      <c r="B25" s="22"/>
      <c r="C25" s="22"/>
      <c r="D25" s="22"/>
      <c r="E25" s="22"/>
      <c r="F25" s="22"/>
      <c r="G25" s="22"/>
      <c r="H25" s="19"/>
      <c r="I25" s="344"/>
      <c r="J25" s="19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7" spans="1:22" x14ac:dyDescent="0.25">
      <c r="F27" s="341" t="s">
        <v>722</v>
      </c>
      <c r="G27" s="341" t="s">
        <v>719</v>
      </c>
      <c r="H27" s="341" t="s">
        <v>720</v>
      </c>
      <c r="I27" s="341" t="s">
        <v>721</v>
      </c>
      <c r="J27" s="341" t="s">
        <v>723</v>
      </c>
      <c r="K27" s="341" t="s">
        <v>724</v>
      </c>
    </row>
    <row r="28" spans="1:22" x14ac:dyDescent="0.25">
      <c r="F28" s="22" t="s">
        <v>308</v>
      </c>
      <c r="G28" s="19">
        <f t="shared" ref="G28:G33" si="0">COUNTIF($J$6:$J$25,F28)</f>
        <v>0</v>
      </c>
      <c r="H28" s="344">
        <f>SUMIF($J$6:$J$25, F28, $I$6:$I$25)</f>
        <v>0</v>
      </c>
      <c r="I28" s="344">
        <f>H28*5%</f>
        <v>0</v>
      </c>
      <c r="J28" s="19"/>
      <c r="K28" s="342">
        <f>I28-J28</f>
        <v>0</v>
      </c>
    </row>
    <row r="29" spans="1:22" x14ac:dyDescent="0.25">
      <c r="F29" s="22" t="s">
        <v>345</v>
      </c>
      <c r="G29" s="19">
        <f t="shared" si="0"/>
        <v>1</v>
      </c>
      <c r="H29" s="344">
        <f>SUMIF($J$6:$J$25, F29, $I$6:$I$25)</f>
        <v>1491000</v>
      </c>
      <c r="I29" s="344">
        <f>H29*5%</f>
        <v>74550</v>
      </c>
      <c r="J29" s="19"/>
      <c r="K29" s="342">
        <f t="shared" ref="K29:K32" si="1">I29-J29</f>
        <v>74550</v>
      </c>
    </row>
    <row r="30" spans="1:22" x14ac:dyDescent="0.25">
      <c r="F30" s="22" t="s">
        <v>331</v>
      </c>
      <c r="G30" s="19">
        <f t="shared" si="0"/>
        <v>4</v>
      </c>
      <c r="H30" s="344">
        <f>SUMIF($J$6:$J$25, F30, $I$6:$I$25)</f>
        <v>5334000</v>
      </c>
      <c r="I30" s="344">
        <f>H30*5%</f>
        <v>266700</v>
      </c>
      <c r="J30" s="19"/>
      <c r="K30" s="342">
        <f t="shared" si="1"/>
        <v>266700</v>
      </c>
    </row>
    <row r="31" spans="1:22" x14ac:dyDescent="0.25">
      <c r="F31" s="22" t="s">
        <v>717</v>
      </c>
      <c r="G31" s="19">
        <f t="shared" si="0"/>
        <v>0</v>
      </c>
      <c r="H31" s="344">
        <f>SUMIF($J$6:$J$25, F31, $I$6:$I$25)</f>
        <v>0</v>
      </c>
      <c r="I31" s="344">
        <f>H31*5%</f>
        <v>0</v>
      </c>
      <c r="J31" s="19"/>
      <c r="K31" s="342">
        <f>I31-J31</f>
        <v>0</v>
      </c>
    </row>
    <row r="32" spans="1:22" x14ac:dyDescent="0.25">
      <c r="F32" s="343" t="s">
        <v>718</v>
      </c>
      <c r="G32" s="19">
        <f t="shared" si="0"/>
        <v>2</v>
      </c>
      <c r="H32" s="344">
        <f>SUMIF($J$6:$J$25, F32, $I$6:$I$25)</f>
        <v>2772000</v>
      </c>
      <c r="I32" s="344">
        <f>H32*5%</f>
        <v>138600</v>
      </c>
      <c r="J32" s="19"/>
      <c r="K32" s="342">
        <f t="shared" si="1"/>
        <v>138600</v>
      </c>
    </row>
    <row r="33" spans="6:11" x14ac:dyDescent="0.25">
      <c r="F33" s="22" t="s">
        <v>599</v>
      </c>
      <c r="G33" s="19">
        <f t="shared" si="0"/>
        <v>1</v>
      </c>
      <c r="H33" s="345"/>
      <c r="I33" s="345"/>
      <c r="J33" s="345"/>
      <c r="K33" s="346"/>
    </row>
  </sheetData>
  <mergeCells count="19">
    <mergeCell ref="S4:S5"/>
    <mergeCell ref="T4:T5"/>
    <mergeCell ref="U4:U5"/>
    <mergeCell ref="H4:H5"/>
    <mergeCell ref="D1:D2"/>
    <mergeCell ref="E1:J2"/>
    <mergeCell ref="V4:V5"/>
    <mergeCell ref="A4:A5"/>
    <mergeCell ref="B4:B5"/>
    <mergeCell ref="C4:C5"/>
    <mergeCell ref="D4:D5"/>
    <mergeCell ref="E4:E5"/>
    <mergeCell ref="F4:F5"/>
    <mergeCell ref="G4:G5"/>
    <mergeCell ref="I4:I5"/>
    <mergeCell ref="J4:J5"/>
    <mergeCell ref="K4:N4"/>
    <mergeCell ref="O4:Q4"/>
    <mergeCell ref="R4:R5"/>
  </mergeCells>
  <dataValidations count="1">
    <dataValidation type="list" allowBlank="1" showInputMessage="1" showErrorMessage="1" prompt="Chọn người tư vấn" sqref="J6:J25">
      <formula1>$F$28:$F$33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33"/>
  <sheetViews>
    <sheetView workbookViewId="0">
      <selection activeCell="J8" sqref="J8"/>
    </sheetView>
  </sheetViews>
  <sheetFormatPr defaultRowHeight="15" x14ac:dyDescent="0.25"/>
  <cols>
    <col min="1" max="1" width="4" customWidth="1"/>
    <col min="2" max="2" width="33.7109375" customWidth="1"/>
    <col min="4" max="4" width="11.42578125" customWidth="1"/>
    <col min="5" max="5" width="7" bestFit="1" customWidth="1"/>
    <col min="6" max="6" width="15" customWidth="1"/>
    <col min="7" max="7" width="13.7109375" customWidth="1"/>
    <col min="8" max="8" width="13.7109375" style="59" customWidth="1"/>
    <col min="9" max="9" width="10.28515625" style="59" customWidth="1"/>
    <col min="10" max="10" width="14" style="59" customWidth="1"/>
    <col min="11" max="11" width="12" customWidth="1"/>
    <col min="12" max="12" width="13.7109375" customWidth="1"/>
    <col min="14" max="15" width="11.7109375" customWidth="1"/>
  </cols>
  <sheetData>
    <row r="1" spans="1:22" ht="14.25" customHeight="1" x14ac:dyDescent="0.25">
      <c r="A1" s="328"/>
      <c r="B1" s="329" t="s">
        <v>726</v>
      </c>
      <c r="C1" s="330"/>
      <c r="D1" s="390" t="s">
        <v>727</v>
      </c>
      <c r="E1" s="398" t="s">
        <v>729</v>
      </c>
      <c r="F1" s="398"/>
      <c r="G1" s="398"/>
      <c r="H1" s="398"/>
      <c r="I1" s="398"/>
      <c r="J1" s="398"/>
      <c r="K1" s="328"/>
      <c r="L1" s="328"/>
      <c r="M1" s="328"/>
      <c r="N1" s="328"/>
      <c r="O1" s="328"/>
      <c r="P1" s="328"/>
      <c r="Q1" s="328"/>
      <c r="R1" s="333"/>
      <c r="S1" s="333"/>
      <c r="T1" s="333"/>
      <c r="U1" s="333"/>
      <c r="V1" s="333"/>
    </row>
    <row r="2" spans="1:22" ht="14.25" customHeight="1" x14ac:dyDescent="0.25">
      <c r="A2" s="328"/>
      <c r="B2" s="329"/>
      <c r="C2" s="330"/>
      <c r="D2" s="390"/>
      <c r="E2" s="398"/>
      <c r="F2" s="398"/>
      <c r="G2" s="398"/>
      <c r="H2" s="398"/>
      <c r="I2" s="398"/>
      <c r="J2" s="398"/>
      <c r="K2" s="328"/>
      <c r="L2" s="328"/>
      <c r="M2" s="328"/>
      <c r="N2" s="328"/>
      <c r="O2" s="328"/>
      <c r="P2" s="328"/>
      <c r="Q2" s="328"/>
      <c r="R2" s="333"/>
      <c r="S2" s="333"/>
      <c r="T2" s="333"/>
      <c r="U2" s="333"/>
      <c r="V2" s="333"/>
    </row>
    <row r="3" spans="1:22" x14ac:dyDescent="0.25">
      <c r="A3" s="328"/>
      <c r="B3" s="329"/>
      <c r="C3" s="330"/>
      <c r="D3" s="331"/>
      <c r="E3" s="331"/>
      <c r="F3" s="332"/>
      <c r="G3" s="331"/>
      <c r="H3" s="331"/>
      <c r="I3" s="328"/>
      <c r="J3" s="328"/>
      <c r="K3" s="328"/>
      <c r="L3" s="328"/>
      <c r="M3" s="328"/>
      <c r="N3" s="328"/>
      <c r="O3" s="328"/>
      <c r="P3" s="328"/>
      <c r="Q3" s="328"/>
      <c r="R3" s="333"/>
      <c r="S3" s="333"/>
      <c r="T3" s="333"/>
      <c r="U3" s="333"/>
      <c r="V3" s="333"/>
    </row>
    <row r="4" spans="1:22" x14ac:dyDescent="0.25">
      <c r="A4" s="394" t="s">
        <v>6</v>
      </c>
      <c r="B4" s="394" t="s">
        <v>5</v>
      </c>
      <c r="C4" s="388" t="s">
        <v>4</v>
      </c>
      <c r="D4" s="388" t="s">
        <v>3</v>
      </c>
      <c r="E4" s="388" t="s">
        <v>117</v>
      </c>
      <c r="F4" s="388" t="s">
        <v>71</v>
      </c>
      <c r="G4" s="388" t="s">
        <v>106</v>
      </c>
      <c r="H4" s="388" t="s">
        <v>725</v>
      </c>
      <c r="I4" s="394" t="s">
        <v>2</v>
      </c>
      <c r="J4" s="394" t="s">
        <v>173</v>
      </c>
      <c r="K4" s="396" t="s">
        <v>7</v>
      </c>
      <c r="L4" s="396"/>
      <c r="M4" s="396"/>
      <c r="N4" s="396"/>
      <c r="O4" s="397" t="s">
        <v>8</v>
      </c>
      <c r="P4" s="397"/>
      <c r="Q4" s="397"/>
      <c r="R4" s="392" t="s">
        <v>322</v>
      </c>
      <c r="S4" s="392" t="s">
        <v>323</v>
      </c>
      <c r="T4" s="393" t="s">
        <v>11</v>
      </c>
      <c r="U4" s="393" t="s">
        <v>12</v>
      </c>
      <c r="V4" s="392" t="s">
        <v>324</v>
      </c>
    </row>
    <row r="5" spans="1:22" x14ac:dyDescent="0.25">
      <c r="A5" s="395"/>
      <c r="B5" s="395"/>
      <c r="C5" s="389"/>
      <c r="D5" s="389"/>
      <c r="E5" s="389"/>
      <c r="F5" s="389"/>
      <c r="G5" s="389"/>
      <c r="H5" s="389"/>
      <c r="I5" s="395"/>
      <c r="J5" s="395"/>
      <c r="K5" s="334" t="s">
        <v>14</v>
      </c>
      <c r="L5" s="335" t="s">
        <v>15</v>
      </c>
      <c r="M5" s="336" t="s">
        <v>16</v>
      </c>
      <c r="N5" s="337" t="s">
        <v>17</v>
      </c>
      <c r="O5" s="338" t="s">
        <v>18</v>
      </c>
      <c r="P5" s="339" t="s">
        <v>19</v>
      </c>
      <c r="Q5" s="340" t="s">
        <v>20</v>
      </c>
      <c r="R5" s="393"/>
      <c r="S5" s="393"/>
      <c r="T5" s="393"/>
      <c r="U5" s="393"/>
      <c r="V5" s="393"/>
    </row>
    <row r="6" spans="1:22" x14ac:dyDescent="0.25">
      <c r="A6" s="19">
        <v>1</v>
      </c>
      <c r="B6" s="22" t="s">
        <v>519</v>
      </c>
      <c r="C6" s="22"/>
      <c r="D6" s="22"/>
      <c r="E6" s="22"/>
      <c r="F6" s="22"/>
      <c r="G6" s="22"/>
      <c r="H6" s="349">
        <v>43336</v>
      </c>
      <c r="I6" s="344"/>
      <c r="J6" s="19" t="s">
        <v>718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2</v>
      </c>
      <c r="B7" s="22" t="s">
        <v>737</v>
      </c>
      <c r="C7" s="22"/>
      <c r="D7" s="22"/>
      <c r="E7" s="22"/>
      <c r="F7" s="22"/>
      <c r="G7" s="22"/>
      <c r="H7" s="349">
        <v>43334</v>
      </c>
      <c r="I7" s="344">
        <v>1584000</v>
      </c>
      <c r="J7" s="19" t="s">
        <v>345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19">
        <v>3</v>
      </c>
      <c r="B8" s="22" t="s">
        <v>738</v>
      </c>
      <c r="C8" s="22"/>
      <c r="D8" s="22"/>
      <c r="E8" s="22"/>
      <c r="F8" s="22"/>
      <c r="G8" s="22"/>
      <c r="H8" s="349">
        <v>43334</v>
      </c>
      <c r="I8" s="344">
        <v>1584000</v>
      </c>
      <c r="J8" s="19" t="s">
        <v>345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22" x14ac:dyDescent="0.25">
      <c r="A9" s="19">
        <v>4</v>
      </c>
      <c r="B9" s="22"/>
      <c r="C9" s="22"/>
      <c r="D9" s="22"/>
      <c r="E9" s="22"/>
      <c r="F9" s="22"/>
      <c r="G9" s="22"/>
      <c r="H9" s="349"/>
      <c r="I9" s="344"/>
      <c r="J9" s="19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22" x14ac:dyDescent="0.25">
      <c r="A10" s="19">
        <v>5</v>
      </c>
      <c r="B10" s="22"/>
      <c r="C10" s="22"/>
      <c r="D10" s="22"/>
      <c r="E10" s="22"/>
      <c r="F10" s="22"/>
      <c r="G10" s="22"/>
      <c r="H10" s="349"/>
      <c r="I10" s="344"/>
      <c r="J10" s="19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22" x14ac:dyDescent="0.25">
      <c r="A11" s="19">
        <v>6</v>
      </c>
      <c r="B11" s="22"/>
      <c r="C11" s="22"/>
      <c r="D11" s="22"/>
      <c r="E11" s="22"/>
      <c r="F11" s="22"/>
      <c r="G11" s="22"/>
      <c r="H11" s="349"/>
      <c r="I11" s="344"/>
      <c r="J11" s="19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22" x14ac:dyDescent="0.25">
      <c r="A12" s="19">
        <v>7</v>
      </c>
      <c r="B12" s="22"/>
      <c r="C12" s="22"/>
      <c r="D12" s="22"/>
      <c r="E12" s="22"/>
      <c r="F12" s="22"/>
      <c r="G12" s="22"/>
      <c r="H12" s="349"/>
      <c r="I12" s="344"/>
      <c r="J12" s="19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22" x14ac:dyDescent="0.25">
      <c r="A13" s="19">
        <v>8</v>
      </c>
      <c r="B13" s="22"/>
      <c r="C13" s="22"/>
      <c r="D13" s="22"/>
      <c r="E13" s="22"/>
      <c r="F13" s="22"/>
      <c r="G13" s="22"/>
      <c r="H13" s="349"/>
      <c r="I13" s="344"/>
      <c r="J13" s="19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22" x14ac:dyDescent="0.25">
      <c r="A14" s="19">
        <v>9</v>
      </c>
      <c r="B14" s="22"/>
      <c r="C14" s="22"/>
      <c r="D14" s="22"/>
      <c r="E14" s="22"/>
      <c r="F14" s="22"/>
      <c r="G14" s="22"/>
      <c r="H14" s="19"/>
      <c r="I14" s="344"/>
      <c r="J14" s="19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22" x14ac:dyDescent="0.25">
      <c r="A15" s="19">
        <v>10</v>
      </c>
      <c r="B15" s="22"/>
      <c r="C15" s="22"/>
      <c r="D15" s="22"/>
      <c r="E15" s="22"/>
      <c r="F15" s="22"/>
      <c r="G15" s="22"/>
      <c r="H15" s="19"/>
      <c r="I15" s="344"/>
      <c r="J15" s="19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22" x14ac:dyDescent="0.25">
      <c r="A16" s="19">
        <v>11</v>
      </c>
      <c r="B16" s="22"/>
      <c r="C16" s="22"/>
      <c r="D16" s="22"/>
      <c r="E16" s="22"/>
      <c r="F16" s="22"/>
      <c r="G16" s="22"/>
      <c r="H16" s="19"/>
      <c r="I16" s="344"/>
      <c r="J16" s="19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x14ac:dyDescent="0.25">
      <c r="A17" s="19">
        <v>12</v>
      </c>
      <c r="B17" s="22"/>
      <c r="C17" s="22"/>
      <c r="D17" s="22"/>
      <c r="E17" s="22"/>
      <c r="F17" s="22"/>
      <c r="G17" s="22"/>
      <c r="H17" s="19"/>
      <c r="I17" s="344"/>
      <c r="J17" s="19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x14ac:dyDescent="0.25">
      <c r="A18" s="19">
        <v>13</v>
      </c>
      <c r="B18" s="22"/>
      <c r="C18" s="22"/>
      <c r="D18" s="22"/>
      <c r="E18" s="22"/>
      <c r="F18" s="22"/>
      <c r="G18" s="22"/>
      <c r="H18" s="19"/>
      <c r="I18" s="344"/>
      <c r="J18" s="19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x14ac:dyDescent="0.25">
      <c r="A19" s="19">
        <v>14</v>
      </c>
      <c r="B19" s="22"/>
      <c r="C19" s="22"/>
      <c r="D19" s="22"/>
      <c r="E19" s="22"/>
      <c r="F19" s="22"/>
      <c r="G19" s="22"/>
      <c r="H19" s="19"/>
      <c r="I19" s="344"/>
      <c r="J19" s="19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x14ac:dyDescent="0.25">
      <c r="A20" s="19">
        <v>15</v>
      </c>
      <c r="B20" s="22"/>
      <c r="C20" s="22"/>
      <c r="D20" s="22"/>
      <c r="E20" s="22"/>
      <c r="F20" s="22"/>
      <c r="G20" s="22"/>
      <c r="H20" s="19"/>
      <c r="I20" s="344"/>
      <c r="J20" s="19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x14ac:dyDescent="0.25">
      <c r="A21" s="19">
        <v>16</v>
      </c>
      <c r="B21" s="22"/>
      <c r="C21" s="22"/>
      <c r="D21" s="22"/>
      <c r="E21" s="22"/>
      <c r="F21" s="22"/>
      <c r="G21" s="22"/>
      <c r="H21" s="19"/>
      <c r="I21" s="344"/>
      <c r="J21" s="19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x14ac:dyDescent="0.25">
      <c r="A22" s="19">
        <v>17</v>
      </c>
      <c r="B22" s="22"/>
      <c r="C22" s="22"/>
      <c r="D22" s="22"/>
      <c r="E22" s="22"/>
      <c r="F22" s="22"/>
      <c r="G22" s="22"/>
      <c r="H22" s="19"/>
      <c r="I22" s="344"/>
      <c r="J22" s="19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x14ac:dyDescent="0.25">
      <c r="A23" s="19">
        <v>18</v>
      </c>
      <c r="B23" s="22"/>
      <c r="C23" s="22"/>
      <c r="D23" s="22"/>
      <c r="E23" s="22"/>
      <c r="F23" s="22"/>
      <c r="G23" s="22"/>
      <c r="H23" s="19"/>
      <c r="I23" s="344"/>
      <c r="J23" s="19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x14ac:dyDescent="0.25">
      <c r="A24" s="19">
        <v>19</v>
      </c>
      <c r="B24" s="22"/>
      <c r="C24" s="22"/>
      <c r="D24" s="22"/>
      <c r="E24" s="22"/>
      <c r="F24" s="22"/>
      <c r="G24" s="22"/>
      <c r="H24" s="19"/>
      <c r="I24" s="344"/>
      <c r="J24" s="19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x14ac:dyDescent="0.25">
      <c r="A25" s="19">
        <v>20</v>
      </c>
      <c r="B25" s="22"/>
      <c r="C25" s="22"/>
      <c r="D25" s="22"/>
      <c r="E25" s="22"/>
      <c r="F25" s="22"/>
      <c r="G25" s="22"/>
      <c r="H25" s="19"/>
      <c r="I25" s="344"/>
      <c r="J25" s="19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7" spans="1:22" x14ac:dyDescent="0.25">
      <c r="F27" s="341" t="s">
        <v>722</v>
      </c>
      <c r="G27" s="341" t="s">
        <v>719</v>
      </c>
      <c r="H27" s="341" t="s">
        <v>720</v>
      </c>
      <c r="I27" s="341" t="s">
        <v>721</v>
      </c>
      <c r="J27" s="341" t="s">
        <v>723</v>
      </c>
      <c r="K27" s="341" t="s">
        <v>724</v>
      </c>
    </row>
    <row r="28" spans="1:22" x14ac:dyDescent="0.25">
      <c r="F28" s="22" t="s">
        <v>308</v>
      </c>
      <c r="G28" s="19">
        <f t="shared" ref="G28:G33" si="0">COUNTIF($J$6:$J$25,F28)</f>
        <v>0</v>
      </c>
      <c r="H28" s="344">
        <f>SUMIF($J$6:$J$25, F28, $I$6:$I$25)</f>
        <v>0</v>
      </c>
      <c r="I28" s="344">
        <f>H28*5%</f>
        <v>0</v>
      </c>
      <c r="J28" s="19"/>
      <c r="K28" s="342">
        <f>I28-J28</f>
        <v>0</v>
      </c>
    </row>
    <row r="29" spans="1:22" x14ac:dyDescent="0.25">
      <c r="F29" s="22" t="s">
        <v>345</v>
      </c>
      <c r="G29" s="19">
        <f t="shared" si="0"/>
        <v>2</v>
      </c>
      <c r="H29" s="344">
        <f>SUMIF($J$6:$J$25, F29, $I$6:$I$25)</f>
        <v>3168000</v>
      </c>
      <c r="I29" s="344">
        <f>H29*5%</f>
        <v>158400</v>
      </c>
      <c r="J29" s="19"/>
      <c r="K29" s="342">
        <f t="shared" ref="K29:K32" si="1">I29-J29</f>
        <v>158400</v>
      </c>
    </row>
    <row r="30" spans="1:22" x14ac:dyDescent="0.25">
      <c r="F30" s="22" t="s">
        <v>331</v>
      </c>
      <c r="G30" s="19">
        <f t="shared" si="0"/>
        <v>0</v>
      </c>
      <c r="H30" s="344">
        <f>SUMIF($J$6:$J$25, F30, $I$6:$I$25)</f>
        <v>0</v>
      </c>
      <c r="I30" s="344">
        <f>H30*5%</f>
        <v>0</v>
      </c>
      <c r="J30" s="19"/>
      <c r="K30" s="342">
        <f t="shared" si="1"/>
        <v>0</v>
      </c>
    </row>
    <row r="31" spans="1:22" x14ac:dyDescent="0.25">
      <c r="F31" s="22" t="s">
        <v>717</v>
      </c>
      <c r="G31" s="19">
        <f t="shared" si="0"/>
        <v>0</v>
      </c>
      <c r="H31" s="344">
        <f>SUMIF($J$6:$J$25, F31, $I$6:$I$25)</f>
        <v>0</v>
      </c>
      <c r="I31" s="344">
        <f>H31*5%</f>
        <v>0</v>
      </c>
      <c r="J31" s="19"/>
      <c r="K31" s="342">
        <f>I31-J31</f>
        <v>0</v>
      </c>
    </row>
    <row r="32" spans="1:22" x14ac:dyDescent="0.25">
      <c r="F32" s="343" t="s">
        <v>718</v>
      </c>
      <c r="G32" s="19">
        <f t="shared" si="0"/>
        <v>1</v>
      </c>
      <c r="H32" s="344">
        <f>SUMIF($J$6:$J$25, F32, $I$6:$I$25)</f>
        <v>0</v>
      </c>
      <c r="I32" s="344">
        <f>H32*5%</f>
        <v>0</v>
      </c>
      <c r="J32" s="19"/>
      <c r="K32" s="342">
        <f t="shared" si="1"/>
        <v>0</v>
      </c>
    </row>
    <row r="33" spans="6:11" x14ac:dyDescent="0.25">
      <c r="F33" s="22" t="s">
        <v>599</v>
      </c>
      <c r="G33" s="19">
        <f t="shared" si="0"/>
        <v>0</v>
      </c>
      <c r="H33" s="345"/>
      <c r="I33" s="345"/>
      <c r="J33" s="345"/>
      <c r="K33" s="346"/>
    </row>
  </sheetData>
  <mergeCells count="19">
    <mergeCell ref="D1:D2"/>
    <mergeCell ref="E1:J2"/>
    <mergeCell ref="R4:R5"/>
    <mergeCell ref="S4:S5"/>
    <mergeCell ref="T4:T5"/>
    <mergeCell ref="F4:F5"/>
    <mergeCell ref="U4:U5"/>
    <mergeCell ref="V4:V5"/>
    <mergeCell ref="G4:G5"/>
    <mergeCell ref="H4:H5"/>
    <mergeCell ref="I4:I5"/>
    <mergeCell ref="J4:J5"/>
    <mergeCell ref="K4:N4"/>
    <mergeCell ref="O4:Q4"/>
    <mergeCell ref="A4:A5"/>
    <mergeCell ref="B4:B5"/>
    <mergeCell ref="C4:C5"/>
    <mergeCell ref="D4:D5"/>
    <mergeCell ref="E4:E5"/>
  </mergeCells>
  <dataValidations count="1">
    <dataValidation type="list" allowBlank="1" showInputMessage="1" showErrorMessage="1" prompt="Chọn người tư vấn" sqref="J6:J25">
      <formula1>$F$28:$F$33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  <vt:lpstr>AK12</vt:lpstr>
      <vt:lpstr>B10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2018-08-30T10:25:56Z</dcterms:modified>
</cp:coreProperties>
</file>