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<sst xmlns="http://schemas.openxmlformats.org/spreadsheetml/2006/main" count="1826" uniqueCount="301">
  <si>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</si>
  <si>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</si>
  <si>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</si>
  <si>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</si>
  <si>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</si>
  <si>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</si>
  <si>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</si>
  <si>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</si>
  <si>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</si>
  <si>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</si>
  <si>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</si>
  <si>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</si>
  <si>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</si>
  <si>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</si>
  <si>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</si>
  <si>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</si>
  <si>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</si>
  <si>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</si>
  <si>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</si>
  <si>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</si>
  <si>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</si>
  <si>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</si>
  <si>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</si>
  <si>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</si>
  <si>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</si>
  <si>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</si>
  <si>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</si>
  <si>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</si>
  <si>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</si>
  <si>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</si>
  <si>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</si>
  <si>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</si>
  <si>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</si>
  <si>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</si>
  <si>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</si>
  <si>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</si>
  <si>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</si>
  <si>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</si>
  <si>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</si>
  <si>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</si>
  <si>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</si>
  <si>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</si>
  <si>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</si>
  <si>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</si>
  <si>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</si>
  <si>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</si>
  <si>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</si>
  <si>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</si>
  <si>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</si>
  <si>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</si>
  <si>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</si>
  <si>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</si>
  <si>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</si>
  <si>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</si>
  <si>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</si>
  <si>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</si>
  <si>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</si>
  <si>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</si>
  <si>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</si>
  <si>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</si>
  <si>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</si>
  <si>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</si>
  <si>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</si>
  <si>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</si>
  <si>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</si>
  <si>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</si>
  <si>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</si>
  <si>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</si>
  <si>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</si>
  <si>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</si>
  <si>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</si>
  <si>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</si>
  <si>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</si>
  <si>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</si>
  <si>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</si>
  <si>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</si>
  <si>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</si>
  <si>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</si>
  <si>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</si>
  <si>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</si>
  <si>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</si>
  <si>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</si>
  <si>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</si>
  <si>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</si>
  <si>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</si>
  <si>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</si>
  <si>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</si>
  <si>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</si>
  <si>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</si>
  <si>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</si>
  <si>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</si>
  <si>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</si>
  <si>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</si>
  <si>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</si>
  <si>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</si>
  <si>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</si>
  <si>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</si>
  <si>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</si>
  <si>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</si>
  <si>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</si>
  <si>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</si>
  <si>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</si>
  <si>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</si>
  <si>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</si>
  <si>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</si>
  <si>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</si>
  <si>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</si>
  <si>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</si>
  <si>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</si>
  <si>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</si>
  <si>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</si>
  <si>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</si>
  <si>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</si>
  <si>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</si>
  <si>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</si>
  <si>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</si>
  <si>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</si>
  <si>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</si>
  <si>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</si>
  <si>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</si>
  <si>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</si>
  <si>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</si>
  <si>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</si>
  <si>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</si>
  <si>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</si>
  <si>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</si>
  <si>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</si>
  <si>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</si>
  <si>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</si>
  <si>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</si>
  <si>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</si>
  <si>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</si>
  <si>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</si>
  <si>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</si>
  <si>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</si>
  <si>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</si>
  <si>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</si>
  <si>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</si>
  <si>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</si>
  <si>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</si>
  <si>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</si>
  <si>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</si>
  <si>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</si>
  <si>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</si>
  <si>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</si>
  <si>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</si>
  <si>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</si>
  <si>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</si>
  <si>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</si>
  <si>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</si>
  <si>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</si>
  <si>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</si>
  <si>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</si>
  <si>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</si>
  <si>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</si>
  <si>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</si>
  <si>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</si>
  <si>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</si>
  <si>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</si>
  <si>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</si>
  <si>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</si>
  <si>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</si>
  <si>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</si>
  <si>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</si>
  <si>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</si>
  <si>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</si>
  <si>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</si>
  <si>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</si>
  <si>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</si>
  <si>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</si>
  <si>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</si>
  <si>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</si>
  <si>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</si>
  <si>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</si>
  <si>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</si>
  <si>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</si>
  <si>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</si>
  <si>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</si>
  <si>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</si>
  <si>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</si>
  <si>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</si>
  <si>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</si>
  <si>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</si>
  <si>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</si>
  <si>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</si>
  <si>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</si>
  <si>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</si>
  <si>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</si>
  <si>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</si>
  <si>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</si>
  <si>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</si>
  <si>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</si>
  <si>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</si>
  <si>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</si>
  <si>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</si>
  <si>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</si>
  <si>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</si>
  <si>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</si>
  <si>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</si>
  <si>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</si>
  <si>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</si>
  <si>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</si>
  <si>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</si>
  <si>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</si>
  <si>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</si>
  <si>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</si>
  <si>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</si>
  <si>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</si>
  <si>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</si>
  <si>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</si>
  <si>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</si>
  <si>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</si>
  <si>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</si>
  <si>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</si>
  <si>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</si>
  <si>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</si>
  <si>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</si>
  <si>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</si>
  <si>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</si>
  <si>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</si>
  <si>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</si>
  <si>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</si>
  <si>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</si>
  <si>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</si>
  <si>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</si>
  <si>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</si>
  <si>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</si>
  <si>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</si>
  <si>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</si>
  <si>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</si>
  <si>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</si>
  <si>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</si>
  <si>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</si>
  <si>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</si>
  <si>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</si>
  <si>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</si>
  <si>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</si>
  <si>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</si>
  <si>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</si>
  <si>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</si>
  <si>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</si>
  <si>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</si>
  <si>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</si>
  <si>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</si>
  <si>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</si>
  <si>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</si>
  <si>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</si>
  <si>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</si>
  <si>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</si>
  <si>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</si>
  <si>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</si>
  <si>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</si>
  <si>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</si>
  <si>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</si>
  <si>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</si>
  <si>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</si>
  <si>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</si>
  <si>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</si>
  <si>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</si>
  <si>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</si>
  <si>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</si>
  <si>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</si>
  <si>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</si>
  <si>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</si>
  <si>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</si>
  <si>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</si>
  <si>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</si>
  <si>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</si>
  <si>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</si>
  <si>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</si>
  <si>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</si>
  <si>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</si>
  <si>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</si>
  <si>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</si>
  <si>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</si>
  <si>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</si>
  <si>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</si>
  <si>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</si>
  <si>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</si>
  <si>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</si>
  <si>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</si>
  <si>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</si>
  <si>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</si>
  <si>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</si>
  <si>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</si>
  <si>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</si>
  <si>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</si>
  <si>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</si>
  <si>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</si>
  <si>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</si>
  <si>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</si>
  <si>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</si>
  <si>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</si>
  <si>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</si>
  <si>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</si>
  <si>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</si>
  <si>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</si>
  <si>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</si>
  <si>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</si>
  <si>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</si>
  <si>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TOEIC  500-700 k4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</si>
</sst>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7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49" fontId="9" fillId="13" borderId="1" xfId="0" applyNumberFormat="1" applyFont="1" applyFill="1" applyBorder="1"/>
    <xf numFmtId="49" fontId="9" fillId="13" borderId="1" xfId="0" applyNumberFormat="1" applyFont="1" applyFill="1" applyBorder="1" applyAlignment="1">
      <alignment horizontal="center"/>
    </xf>
    <xf numFmtId="0" fontId="1" fillId="13" borderId="0" xfId="0" applyFont="1" applyFill="1"/>
    <xf numFmtId="14" fontId="1" fillId="13" borderId="0" xfId="0" applyNumberFormat="1" applyFont="1" applyFill="1" applyAlignment="1">
      <alignment horizontal="center"/>
    </xf>
    <xf numFmtId="49" fontId="1" fillId="13" borderId="0" xfId="0" applyNumberFormat="1" applyFont="1" applyFill="1" applyAlignment="1"/>
    <xf numFmtId="49" fontId="1" fillId="13" borderId="0" xfId="0" applyNumberFormat="1" applyFont="1" applyFill="1" applyAlignment="1">
      <alignment horizontal="left"/>
    </xf>
    <xf numFmtId="49" fontId="1" fillId="13" borderId="0" xfId="0" applyNumberFormat="1" applyFont="1" applyFill="1" applyAlignment="1">
      <alignment horizontal="center"/>
    </xf>
    <xf numFmtId="49" fontId="0" fillId="13" borderId="0" xfId="0" applyNumberFormat="1" applyFill="1" applyAlignment="1">
      <alignment horizontal="center"/>
    </xf>
    <xf numFmtId="3" fontId="1" fillId="13" borderId="0" xfId="0" applyNumberFormat="1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5" fillId="15" borderId="0" xfId="0" applyFont="1" applyFill="1"/>
    <xf numFmtId="49" fontId="15" fillId="15" borderId="0" xfId="0" applyNumberFormat="1" applyFont="1" applyFill="1"/>
    <xf numFmtId="49" fontId="15" fillId="15" borderId="0" xfId="0" applyNumberFormat="1" applyFont="1" applyFill="1" applyBorder="1"/>
    <xf numFmtId="3" fontId="15" fillId="15" borderId="0" xfId="0" applyNumberFormat="1" applyFont="1" applyFill="1" applyAlignment="1">
      <alignment horizontal="center"/>
    </xf>
    <xf numFmtId="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0" fillId="0" borderId="1" xfId="0" applyNumberForma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6" sqref="C6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38" t="s">
        <v>158</v>
      </c>
    </row>
    <row r="3" spans="1:3" x14ac:dyDescent="0.25">
      <c r="A3">
        <v>2</v>
      </c>
      <c r="B3" t="s">
        <v>154</v>
      </c>
      <c r="C3" s="38" t="s">
        <v>159</v>
      </c>
    </row>
    <row r="4" spans="1:3" x14ac:dyDescent="0.25">
      <c r="A4">
        <v>3</v>
      </c>
      <c r="B4" t="s">
        <v>155</v>
      </c>
      <c r="C4" s="38" t="s">
        <v>160</v>
      </c>
    </row>
    <row r="5" spans="1:3" x14ac:dyDescent="0.25">
      <c r="A5">
        <v>4</v>
      </c>
      <c r="B5" t="s">
        <v>156</v>
      </c>
      <c r="C5" s="38" t="s">
        <v>161</v>
      </c>
    </row>
    <row r="6" spans="1:3" x14ac:dyDescent="0.25">
      <c r="A6">
        <v>5</v>
      </c>
      <c r="B6" t="s">
        <v>150</v>
      </c>
      <c r="C6" s="38" t="s">
        <v>162</v>
      </c>
    </row>
    <row r="7" spans="1:3" x14ac:dyDescent="0.25">
      <c r="A7">
        <v>6</v>
      </c>
      <c r="B7" t="s">
        <v>157</v>
      </c>
      <c r="C7" s="38" t="s">
        <v>163</v>
      </c>
    </row>
    <row r="8" spans="1:3" x14ac:dyDescent="0.25">
      <c r="A8">
        <v>7</v>
      </c>
      <c r="B8" t="s">
        <v>176</v>
      </c>
      <c r="C8" s="38" t="s">
        <v>180</v>
      </c>
    </row>
    <row r="9" spans="1:3" x14ac:dyDescent="0.25">
      <c r="A9">
        <v>8</v>
      </c>
      <c r="B9" t="s">
        <v>177</v>
      </c>
      <c r="C9" s="38" t="s">
        <v>181</v>
      </c>
    </row>
    <row r="10" spans="1:3" x14ac:dyDescent="0.25">
      <c r="A10">
        <v>9</v>
      </c>
      <c r="B10" t="s">
        <v>178</v>
      </c>
      <c r="C10" s="38" t="s">
        <v>182</v>
      </c>
    </row>
    <row r="11" spans="1:3" x14ac:dyDescent="0.25">
      <c r="A11">
        <v>10</v>
      </c>
      <c r="B11" t="s">
        <v>179</v>
      </c>
      <c r="C11" s="38" t="s">
        <v>183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"/>
  <sheetViews>
    <sheetView workbookViewId="0">
      <selection activeCell="E5" sqref="E5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style="64" customWidth="1"/>
    <col min="8" max="8" width="13.5703125" style="64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31" t="s">
        <v>2</v>
      </c>
      <c r="H1" s="131" t="s">
        <v>106</v>
      </c>
      <c r="I1" s="129" t="s">
        <v>147</v>
      </c>
      <c r="J1" s="129" t="s">
        <v>142</v>
      </c>
      <c r="K1" s="129" t="s">
        <v>144</v>
      </c>
      <c r="L1" s="129" t="s">
        <v>210</v>
      </c>
    </row>
    <row r="2" spans="1:12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28" t="s">
        <v>53</v>
      </c>
      <c r="H2" s="128" t="s">
        <v>53</v>
      </c>
      <c r="I2" s="18" t="s">
        <v>150</v>
      </c>
      <c r="J2" s="18" t="s">
        <v>143</v>
      </c>
      <c r="K2" s="18" t="s">
        <v>145</v>
      </c>
      <c r="L2" s="18"/>
    </row>
    <row r="3" spans="1:12" s="47" customFormat="1" ht="21" customHeight="1" x14ac:dyDescent="0.25">
      <c r="A3" s="44">
        <v>2</v>
      </c>
      <c r="B3" s="45" t="s">
        <v>63</v>
      </c>
      <c r="C3" s="132" t="s">
        <v>85</v>
      </c>
      <c r="D3" s="132" t="s">
        <v>86</v>
      </c>
      <c r="E3" s="132" t="s">
        <v>125</v>
      </c>
      <c r="F3" s="132" t="s">
        <v>89</v>
      </c>
      <c r="G3" s="133" t="s">
        <v>53</v>
      </c>
      <c r="H3" s="44" t="s">
        <v>53</v>
      </c>
      <c r="I3" s="132" t="s">
        <v>155</v>
      </c>
      <c r="J3" s="132" t="s">
        <v>173</v>
      </c>
      <c r="K3" s="132" t="s">
        <v>172</v>
      </c>
      <c r="L3" s="45" t="s">
        <v>211</v>
      </c>
    </row>
    <row r="4" spans="1:12" s="17" customFormat="1" ht="15.75" x14ac:dyDescent="0.25">
      <c r="A4" s="165">
        <v>3</v>
      </c>
      <c r="B4" s="166" t="s">
        <v>227</v>
      </c>
      <c r="C4" s="167">
        <v>35560</v>
      </c>
      <c r="D4" s="168" t="s">
        <v>266</v>
      </c>
      <c r="E4" s="169" t="s">
        <v>265</v>
      </c>
      <c r="F4" s="169" t="s">
        <v>69</v>
      </c>
      <c r="G4" s="165" t="s">
        <v>53</v>
      </c>
      <c r="H4" s="165" t="s">
        <v>53</v>
      </c>
      <c r="I4" s="170" t="s">
        <v>176</v>
      </c>
      <c r="J4" s="166" t="s">
        <v>297</v>
      </c>
      <c r="K4" s="166" t="s">
        <v>298</v>
      </c>
      <c r="L4" s="166"/>
    </row>
    <row r="5" spans="1:12" s="22" customFormat="1" x14ac:dyDescent="0.25">
      <c r="A5" s="19">
        <v>4</v>
      </c>
      <c r="B5" s="22" t="s">
        <v>197</v>
      </c>
      <c r="F5" s="22" t="s">
        <v>299</v>
      </c>
      <c r="G5" s="19" t="s">
        <v>53</v>
      </c>
      <c r="H5" s="19"/>
      <c r="I5" s="22" t="s">
        <v>300</v>
      </c>
      <c r="J5" s="171">
        <v>42801</v>
      </c>
      <c r="K5" s="171">
        <v>43160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43" t="s">
        <v>166</v>
      </c>
      <c r="B2" s="143"/>
      <c r="C2" s="143"/>
      <c r="D2" s="143"/>
      <c r="E2" s="143"/>
      <c r="F2" s="143"/>
      <c r="G2" s="39"/>
    </row>
    <row r="3" spans="1:8" x14ac:dyDescent="0.25">
      <c r="B3" s="73" t="s">
        <v>167</v>
      </c>
      <c r="C3" s="74">
        <f ca="1">MONTH(TODAY())</f>
        <v>9</v>
      </c>
      <c r="D3" s="84"/>
      <c r="E3" s="71" t="s">
        <v>168</v>
      </c>
      <c r="G3" t="s">
        <v>229</v>
      </c>
      <c r="H3" s="75">
        <f ca="1">TODAY()</f>
        <v>42985</v>
      </c>
    </row>
    <row r="5" spans="1:8" ht="17.25" x14ac:dyDescent="0.3">
      <c r="A5" s="86" t="s">
        <v>6</v>
      </c>
      <c r="B5" s="86" t="s">
        <v>5</v>
      </c>
      <c r="C5" s="86" t="s">
        <v>164</v>
      </c>
      <c r="D5" s="87" t="s">
        <v>139</v>
      </c>
      <c r="E5" s="88" t="s">
        <v>165</v>
      </c>
      <c r="F5" s="86" t="s">
        <v>169</v>
      </c>
    </row>
    <row r="6" spans="1:8" ht="17.25" x14ac:dyDescent="0.3">
      <c r="A6" s="40">
        <v>1</v>
      </c>
      <c r="B6" s="40" t="s">
        <v>52</v>
      </c>
      <c r="C6" s="40" t="s">
        <v>155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155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155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155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155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155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155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155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155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155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150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150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150</v>
      </c>
      <c r="D18" s="83">
        <v>35318</v>
      </c>
      <c r="E18" s="72">
        <f t="shared" ca="1" si="0"/>
        <v>42988</v>
      </c>
      <c r="F18" s="40" t="str">
        <f t="shared" ca="1" si="1"/>
        <v>Chuẩn bị tổ chức</v>
      </c>
    </row>
    <row r="19" spans="1:6" ht="17.25" x14ac:dyDescent="0.3">
      <c r="A19" s="40">
        <v>14</v>
      </c>
      <c r="B19" s="40" t="s">
        <v>21</v>
      </c>
      <c r="C19" s="40" t="s">
        <v>150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150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150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150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174</v>
      </c>
      <c r="C23" s="94" t="s">
        <v>176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187</v>
      </c>
      <c r="C24" s="82" t="s">
        <v>176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190</v>
      </c>
      <c r="C25" s="82" t="s">
        <v>176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192</v>
      </c>
      <c r="C26" s="82" t="s">
        <v>176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194</v>
      </c>
      <c r="C27" s="82" t="s">
        <v>176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200</v>
      </c>
      <c r="C28" s="82" t="s">
        <v>176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204</v>
      </c>
      <c r="C29" s="82" t="s">
        <v>176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205</v>
      </c>
      <c r="C30" s="82" t="s">
        <v>176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207</v>
      </c>
      <c r="C31" s="82" t="s">
        <v>176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208</v>
      </c>
      <c r="C32" s="82" t="s">
        <v>176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209</v>
      </c>
      <c r="C33" s="82" t="s">
        <v>176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176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212</v>
      </c>
      <c r="C35" s="82" t="s">
        <v>176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222</v>
      </c>
      <c r="C36" s="82" t="s">
        <v>176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224</v>
      </c>
      <c r="C37" s="82" t="s">
        <v>176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227</v>
      </c>
      <c r="C38" s="82" t="s">
        <v>176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228</v>
      </c>
      <c r="C39" s="82" t="s">
        <v>176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230</v>
      </c>
      <c r="C40" s="82" t="s">
        <v>176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251</v>
      </c>
      <c r="C41" s="96" t="s">
        <v>176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195</v>
      </c>
      <c r="C42" s="109" t="s">
        <v>178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197</v>
      </c>
      <c r="C43" s="106" t="s">
        <v>178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198</v>
      </c>
      <c r="C44" s="106" t="s">
        <v>178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202</v>
      </c>
      <c r="C45" s="106" t="s">
        <v>178</v>
      </c>
      <c r="D45" s="107">
        <v>35318</v>
      </c>
      <c r="E45" s="107">
        <f t="shared" ca="1" si="3"/>
        <v>42988</v>
      </c>
      <c r="F45" s="40" t="str">
        <f t="shared" ca="1" si="1"/>
        <v>Chuẩn bị tổ chức</v>
      </c>
    </row>
    <row r="46" spans="1:6" ht="17.25" x14ac:dyDescent="0.3">
      <c r="A46" s="103">
        <v>41</v>
      </c>
      <c r="B46" s="105" t="s">
        <v>231</v>
      </c>
      <c r="C46" s="106" t="s">
        <v>178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232</v>
      </c>
      <c r="C47" s="106" t="s">
        <v>178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233</v>
      </c>
      <c r="C48" s="106" t="s">
        <v>178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234</v>
      </c>
      <c r="C49" s="112" t="s">
        <v>178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5" t="s">
        <v>7</v>
      </c>
      <c r="K2" s="145"/>
      <c r="L2" s="145"/>
      <c r="M2" s="145"/>
      <c r="N2" s="146" t="s">
        <v>8</v>
      </c>
      <c r="O2" s="146"/>
      <c r="P2" s="146"/>
      <c r="Q2" s="144" t="s">
        <v>9</v>
      </c>
      <c r="R2" s="144" t="s">
        <v>10</v>
      </c>
      <c r="S2" s="144" t="s">
        <v>11</v>
      </c>
      <c r="T2" s="144" t="s">
        <v>12</v>
      </c>
      <c r="U2" s="14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4"/>
      <c r="R3" s="144"/>
      <c r="S3" s="144"/>
      <c r="T3" s="144"/>
      <c r="U3" s="14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0" t="s">
        <v>6</v>
      </c>
      <c r="B3" s="150" t="s">
        <v>5</v>
      </c>
      <c r="C3" s="24"/>
      <c r="D3" s="24"/>
      <c r="E3" s="24"/>
      <c r="F3" s="24"/>
      <c r="G3" s="152"/>
      <c r="H3" s="152"/>
      <c r="I3" s="152"/>
      <c r="J3" s="147"/>
      <c r="K3" s="148"/>
      <c r="L3" s="149"/>
      <c r="M3" s="147"/>
      <c r="N3" s="148"/>
      <c r="O3" s="149"/>
      <c r="P3" s="147"/>
      <c r="Q3" s="148"/>
      <c r="R3" s="149"/>
      <c r="S3" s="147"/>
      <c r="T3" s="148"/>
      <c r="U3" s="149"/>
      <c r="V3" s="147"/>
      <c r="W3" s="148"/>
      <c r="X3" s="149"/>
      <c r="Y3" s="147"/>
      <c r="Z3" s="148"/>
      <c r="AA3" s="149"/>
      <c r="AB3" s="147"/>
      <c r="AC3" s="148"/>
      <c r="AD3" s="149"/>
      <c r="AE3" s="147"/>
      <c r="AF3" s="148"/>
      <c r="AG3" s="149"/>
      <c r="AH3" s="147"/>
      <c r="AI3" s="148"/>
      <c r="AJ3" s="149"/>
      <c r="AK3" s="147"/>
      <c r="AL3" s="148"/>
      <c r="AM3" s="149"/>
      <c r="AN3" s="147"/>
      <c r="AO3" s="148"/>
      <c r="AP3" s="149"/>
      <c r="AQ3" s="147"/>
      <c r="AR3" s="148"/>
      <c r="AS3" s="149"/>
      <c r="AT3" s="147"/>
      <c r="AU3" s="148"/>
      <c r="AV3" s="149"/>
      <c r="AW3" s="147"/>
      <c r="AX3" s="148"/>
      <c r="AY3" s="149"/>
      <c r="AZ3" s="147"/>
      <c r="BA3" s="148"/>
      <c r="BB3" s="149"/>
      <c r="BC3" s="154" t="s">
        <v>116</v>
      </c>
      <c r="BD3" s="155"/>
      <c r="BE3" s="156"/>
      <c r="BF3" s="153">
        <v>42930</v>
      </c>
      <c r="BG3" s="148"/>
      <c r="BH3" s="149"/>
      <c r="BI3" s="147" t="s">
        <v>148</v>
      </c>
      <c r="BJ3" s="148"/>
      <c r="BK3" s="149"/>
      <c r="BL3" s="147" t="s">
        <v>149</v>
      </c>
      <c r="BM3" s="148"/>
      <c r="BN3" s="149"/>
      <c r="BO3" s="147" t="s">
        <v>171</v>
      </c>
      <c r="BP3" s="148"/>
      <c r="BQ3" s="149"/>
      <c r="BR3" s="153">
        <v>42940</v>
      </c>
      <c r="BS3" s="148"/>
      <c r="BT3" s="149"/>
      <c r="BU3" s="153">
        <v>42942</v>
      </c>
      <c r="BV3" s="148"/>
      <c r="BW3" s="149"/>
      <c r="BX3" s="153">
        <v>42944</v>
      </c>
      <c r="BY3" s="148"/>
      <c r="BZ3" s="149"/>
      <c r="CA3" s="153">
        <v>42947</v>
      </c>
      <c r="CB3" s="148"/>
      <c r="CC3" s="149"/>
      <c r="CD3" s="26"/>
    </row>
    <row r="4" spans="1:82" s="17" customFormat="1" ht="21" customHeight="1" x14ac:dyDescent="0.25">
      <c r="A4" s="151"/>
      <c r="B4" s="15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5" t="s">
        <v>7</v>
      </c>
      <c r="K2" s="145"/>
      <c r="L2" s="145"/>
      <c r="M2" s="145"/>
      <c r="N2" s="146" t="s">
        <v>8</v>
      </c>
      <c r="O2" s="146"/>
      <c r="P2" s="146"/>
      <c r="Q2" s="144" t="s">
        <v>9</v>
      </c>
      <c r="R2" s="144" t="s">
        <v>10</v>
      </c>
      <c r="S2" s="144" t="s">
        <v>11</v>
      </c>
      <c r="T2" s="144" t="s">
        <v>12</v>
      </c>
      <c r="U2" s="14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4"/>
      <c r="R3" s="144"/>
      <c r="S3" s="144"/>
      <c r="T3" s="144"/>
      <c r="U3" s="14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186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50" t="s">
        <v>6</v>
      </c>
      <c r="B3" s="15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52" t="s">
        <v>31</v>
      </c>
      <c r="H3" s="152"/>
      <c r="I3" s="152"/>
      <c r="J3" s="147" t="s">
        <v>32</v>
      </c>
      <c r="K3" s="148"/>
      <c r="L3" s="149"/>
      <c r="M3" s="147" t="s">
        <v>33</v>
      </c>
      <c r="N3" s="148"/>
      <c r="O3" s="149"/>
      <c r="P3" s="147" t="s">
        <v>34</v>
      </c>
      <c r="Q3" s="148"/>
      <c r="R3" s="149"/>
      <c r="S3" s="147" t="s">
        <v>35</v>
      </c>
      <c r="T3" s="148"/>
      <c r="U3" s="149"/>
      <c r="V3" s="147" t="s">
        <v>36</v>
      </c>
      <c r="W3" s="148"/>
      <c r="X3" s="149"/>
      <c r="Y3" s="147" t="s">
        <v>37</v>
      </c>
      <c r="Z3" s="148"/>
      <c r="AA3" s="149"/>
      <c r="AB3" s="147" t="s">
        <v>38</v>
      </c>
      <c r="AC3" s="148"/>
      <c r="AD3" s="149"/>
      <c r="AE3" s="147" t="s">
        <v>39</v>
      </c>
      <c r="AF3" s="148"/>
      <c r="AG3" s="149"/>
      <c r="AH3" s="147" t="s">
        <v>40</v>
      </c>
      <c r="AI3" s="148"/>
      <c r="AJ3" s="149"/>
      <c r="AK3" s="147" t="s">
        <v>41</v>
      </c>
      <c r="AL3" s="148"/>
      <c r="AM3" s="149"/>
      <c r="AN3" s="147" t="s">
        <v>42</v>
      </c>
      <c r="AO3" s="148"/>
      <c r="AP3" s="149"/>
      <c r="AQ3" s="147" t="s">
        <v>43</v>
      </c>
      <c r="AR3" s="148"/>
      <c r="AS3" s="149"/>
      <c r="AT3" s="147" t="s">
        <v>44</v>
      </c>
      <c r="AU3" s="148"/>
      <c r="AV3" s="149"/>
      <c r="AW3" s="147" t="s">
        <v>45</v>
      </c>
      <c r="AX3" s="148"/>
      <c r="AY3" s="149"/>
      <c r="AZ3" s="147" t="s">
        <v>46</v>
      </c>
      <c r="BA3" s="148"/>
      <c r="BB3" s="149"/>
      <c r="BC3" s="147" t="s">
        <v>47</v>
      </c>
      <c r="BD3" s="148"/>
      <c r="BE3" s="149"/>
      <c r="BF3" s="147" t="s">
        <v>48</v>
      </c>
      <c r="BG3" s="148"/>
      <c r="BH3" s="149"/>
      <c r="BI3" s="147" t="s">
        <v>49</v>
      </c>
      <c r="BJ3" s="148"/>
      <c r="BK3" s="149"/>
      <c r="BL3" s="147"/>
      <c r="BM3" s="148"/>
      <c r="BN3" s="149"/>
      <c r="BO3" s="147"/>
      <c r="BP3" s="148"/>
      <c r="BQ3" s="149"/>
      <c r="BR3" s="147"/>
      <c r="BS3" s="148"/>
      <c r="BT3" s="14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50"/>
      <c r="B4" s="15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L10" activePane="bottomRight" state="frozen"/>
      <selection activeCell="BA9" sqref="BA9"/>
      <selection pane="topRight" activeCell="BA9" sqref="BA9"/>
      <selection pane="bottomLeft" activeCell="BA9" sqref="BA9"/>
      <selection pane="bottomRight" activeCell="M3" sqref="M3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206</v>
      </c>
    </row>
    <row r="2" spans="1:26" x14ac:dyDescent="0.3">
      <c r="O2" s="145" t="s">
        <v>7</v>
      </c>
      <c r="P2" s="145"/>
      <c r="Q2" s="145"/>
      <c r="R2" s="145"/>
      <c r="S2" s="146" t="s">
        <v>8</v>
      </c>
      <c r="T2" s="146"/>
      <c r="U2" s="146"/>
      <c r="V2" s="144" t="s">
        <v>9</v>
      </c>
      <c r="W2" s="144" t="s">
        <v>10</v>
      </c>
      <c r="X2" s="144" t="s">
        <v>11</v>
      </c>
      <c r="Y2" s="144" t="s">
        <v>12</v>
      </c>
      <c r="Z2" s="144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213</v>
      </c>
      <c r="I3" s="15" t="s">
        <v>214</v>
      </c>
      <c r="J3" s="4" t="s">
        <v>215</v>
      </c>
      <c r="K3" s="4" t="s">
        <v>216</v>
      </c>
      <c r="L3" s="4" t="s">
        <v>185</v>
      </c>
      <c r="M3" s="4" t="s">
        <v>175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44"/>
      <c r="W3" s="144"/>
      <c r="X3" s="144"/>
      <c r="Y3" s="144"/>
      <c r="Z3" s="144"/>
    </row>
    <row r="4" spans="1:26" s="1" customFormat="1" ht="21" customHeight="1" x14ac:dyDescent="0.3">
      <c r="A4" s="1">
        <v>1</v>
      </c>
      <c r="B4" s="1" t="s">
        <v>174</v>
      </c>
      <c r="C4" s="80">
        <v>35257</v>
      </c>
      <c r="D4" s="3" t="s">
        <v>188</v>
      </c>
      <c r="E4" s="3" t="s">
        <v>273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184</v>
      </c>
    </row>
    <row r="5" spans="1:26" s="1" customFormat="1" ht="21" customHeight="1" x14ac:dyDescent="0.3">
      <c r="A5" s="1">
        <v>2</v>
      </c>
      <c r="B5" s="1" t="s">
        <v>187</v>
      </c>
      <c r="C5" s="80">
        <v>34516</v>
      </c>
      <c r="D5" s="3" t="s">
        <v>189</v>
      </c>
      <c r="E5" s="3" t="s">
        <v>258</v>
      </c>
      <c r="F5" s="2" t="s">
        <v>259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190</v>
      </c>
      <c r="C6" s="34" t="s">
        <v>260</v>
      </c>
      <c r="D6" s="57" t="s">
        <v>191</v>
      </c>
      <c r="E6" s="3" t="s">
        <v>261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192</v>
      </c>
      <c r="C7" s="34" t="s">
        <v>267</v>
      </c>
      <c r="D7" s="3" t="s">
        <v>193</v>
      </c>
      <c r="E7" s="3" t="s">
        <v>268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194</v>
      </c>
      <c r="C8" s="119">
        <v>35165</v>
      </c>
      <c r="D8" s="120" t="s">
        <v>277</v>
      </c>
      <c r="E8" s="120" t="s">
        <v>278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200</v>
      </c>
      <c r="C9" s="34" t="s">
        <v>269</v>
      </c>
      <c r="D9" s="57" t="s">
        <v>201</v>
      </c>
      <c r="E9" s="3" t="s">
        <v>270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204</v>
      </c>
      <c r="C10" s="80">
        <v>34705</v>
      </c>
      <c r="D10" s="78" t="s">
        <v>262</v>
      </c>
      <c r="E10" s="35" t="s">
        <v>263</v>
      </c>
      <c r="F10" s="34" t="s">
        <v>264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205</v>
      </c>
      <c r="C11" s="34" t="s">
        <v>285</v>
      </c>
      <c r="D11" s="78" t="s">
        <v>286</v>
      </c>
      <c r="E11" s="35" t="s">
        <v>287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207</v>
      </c>
      <c r="C12" s="34" t="s">
        <v>281</v>
      </c>
      <c r="D12" s="78" t="s">
        <v>282</v>
      </c>
      <c r="E12" s="35" t="s">
        <v>284</v>
      </c>
      <c r="F12" s="34" t="s">
        <v>255</v>
      </c>
      <c r="G12" s="3"/>
      <c r="H12" s="34" t="s">
        <v>217</v>
      </c>
      <c r="I12" s="34" t="s">
        <v>217</v>
      </c>
      <c r="J12" s="2">
        <v>0</v>
      </c>
      <c r="K12" s="2" t="s">
        <v>218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208</v>
      </c>
      <c r="C13" s="34" t="s">
        <v>288</v>
      </c>
      <c r="D13" s="78" t="s">
        <v>289</v>
      </c>
      <c r="E13" s="35" t="s">
        <v>290</v>
      </c>
      <c r="F13" s="2"/>
      <c r="G13" s="3"/>
      <c r="H13" s="34" t="s">
        <v>219</v>
      </c>
      <c r="I13" s="34" t="s">
        <v>220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209</v>
      </c>
      <c r="C14" s="2" t="s">
        <v>271</v>
      </c>
      <c r="D14" s="78" t="s">
        <v>283</v>
      </c>
      <c r="E14" s="81" t="s">
        <v>272</v>
      </c>
      <c r="F14" s="34" t="s">
        <v>98</v>
      </c>
      <c r="H14" s="34" t="s">
        <v>219</v>
      </c>
      <c r="I14" s="34" t="s">
        <v>220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217</v>
      </c>
      <c r="I15" s="60" t="s">
        <v>217</v>
      </c>
      <c r="J15" s="61">
        <v>0</v>
      </c>
      <c r="K15" s="61" t="s">
        <v>221</v>
      </c>
      <c r="L15" s="60"/>
      <c r="M15" s="60"/>
      <c r="N15" s="60"/>
    </row>
    <row r="16" spans="1:26" ht="21" customHeight="1" x14ac:dyDescent="0.3">
      <c r="A16" s="1">
        <v>13</v>
      </c>
      <c r="B16" s="1" t="s">
        <v>212</v>
      </c>
      <c r="C16" s="2" t="s">
        <v>292</v>
      </c>
      <c r="D16" s="78" t="s">
        <v>293</v>
      </c>
      <c r="E16" s="35" t="s">
        <v>294</v>
      </c>
      <c r="H16" s="34" t="s">
        <v>219</v>
      </c>
      <c r="I16" s="34" t="s">
        <v>220</v>
      </c>
      <c r="J16" s="66">
        <v>1470000</v>
      </c>
      <c r="K16" s="2"/>
    </row>
    <row r="17" spans="1:21" ht="21" customHeight="1" x14ac:dyDescent="0.3">
      <c r="A17" s="1">
        <v>14</v>
      </c>
      <c r="B17" s="1" t="s">
        <v>222</v>
      </c>
      <c r="C17" s="2" t="s">
        <v>253</v>
      </c>
      <c r="D17" s="78" t="s">
        <v>254</v>
      </c>
      <c r="E17" s="35"/>
      <c r="F17" s="34" t="s">
        <v>255</v>
      </c>
      <c r="G17" s="34"/>
      <c r="H17" s="34" t="s">
        <v>217</v>
      </c>
      <c r="I17" s="34" t="s">
        <v>217</v>
      </c>
      <c r="J17" s="2">
        <v>0</v>
      </c>
      <c r="K17" s="2" t="s">
        <v>223</v>
      </c>
    </row>
    <row r="18" spans="1:21" ht="21" customHeight="1" x14ac:dyDescent="0.3">
      <c r="A18" s="1">
        <v>15</v>
      </c>
      <c r="B18" s="1" t="s">
        <v>224</v>
      </c>
      <c r="C18" s="2" t="s">
        <v>256</v>
      </c>
      <c r="D18" s="78" t="s">
        <v>257</v>
      </c>
      <c r="E18" s="35"/>
      <c r="F18" s="34" t="s">
        <v>82</v>
      </c>
      <c r="H18" s="34" t="s">
        <v>217</v>
      </c>
      <c r="I18" s="34" t="s">
        <v>217</v>
      </c>
      <c r="J18" s="2">
        <v>0</v>
      </c>
      <c r="K18" s="2" t="s">
        <v>223</v>
      </c>
    </row>
    <row r="19" spans="1:21" s="142" customFormat="1" ht="21" customHeight="1" x14ac:dyDescent="0.3">
      <c r="A19" s="134">
        <v>16</v>
      </c>
      <c r="B19" s="134" t="s">
        <v>227</v>
      </c>
      <c r="C19" s="135">
        <v>35560</v>
      </c>
      <c r="D19" s="136" t="s">
        <v>266</v>
      </c>
      <c r="E19" s="137" t="s">
        <v>265</v>
      </c>
      <c r="F19" s="138" t="s">
        <v>69</v>
      </c>
      <c r="G19" s="139"/>
      <c r="H19" s="138" t="s">
        <v>219</v>
      </c>
      <c r="I19" s="138" t="s">
        <v>220</v>
      </c>
      <c r="J19" s="140">
        <v>1470000</v>
      </c>
      <c r="K19" s="141"/>
      <c r="O19" s="141"/>
      <c r="P19" s="141"/>
      <c r="Q19" s="141"/>
      <c r="R19" s="141"/>
      <c r="S19" s="141"/>
      <c r="T19" s="141"/>
      <c r="U19" s="141"/>
    </row>
    <row r="20" spans="1:21" x14ac:dyDescent="0.3">
      <c r="A20" s="1">
        <v>17</v>
      </c>
      <c r="B20" s="1" t="s">
        <v>228</v>
      </c>
      <c r="C20" s="2" t="s">
        <v>274</v>
      </c>
      <c r="D20" s="78" t="s">
        <v>275</v>
      </c>
      <c r="E20" s="35" t="s">
        <v>276</v>
      </c>
      <c r="F20" s="34" t="s">
        <v>89</v>
      </c>
      <c r="H20" s="34" t="s">
        <v>219</v>
      </c>
      <c r="I20" s="34" t="s">
        <v>220</v>
      </c>
      <c r="J20" s="66">
        <v>1470000</v>
      </c>
    </row>
    <row r="21" spans="1:21" x14ac:dyDescent="0.3">
      <c r="A21" s="1">
        <v>18</v>
      </c>
      <c r="B21" s="1" t="s">
        <v>230</v>
      </c>
      <c r="C21" s="80">
        <v>34433</v>
      </c>
      <c r="D21" s="78" t="s">
        <v>291</v>
      </c>
      <c r="E21" s="35" t="s">
        <v>268</v>
      </c>
      <c r="H21" s="34" t="s">
        <v>219</v>
      </c>
      <c r="I21" s="34" t="s">
        <v>220</v>
      </c>
      <c r="J21" s="66">
        <v>1470000</v>
      </c>
    </row>
    <row r="22" spans="1:21" x14ac:dyDescent="0.3">
      <c r="A22" s="1">
        <v>19</v>
      </c>
      <c r="B22" s="1" t="s">
        <v>251</v>
      </c>
      <c r="C22" s="80">
        <v>35076</v>
      </c>
      <c r="D22" s="78" t="s">
        <v>279</v>
      </c>
      <c r="E22" s="35" t="s">
        <v>280</v>
      </c>
      <c r="F22" s="34" t="s">
        <v>89</v>
      </c>
      <c r="H22" s="34" t="s">
        <v>219</v>
      </c>
      <c r="I22" s="34" t="s">
        <v>252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0" t="s">
        <v>6</v>
      </c>
      <c r="B3" s="150" t="s">
        <v>5</v>
      </c>
      <c r="C3" s="65"/>
      <c r="D3" s="65"/>
      <c r="E3" s="65"/>
      <c r="F3" s="65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  <c r="BB3" s="152"/>
      <c r="BC3" s="157"/>
      <c r="BD3" s="157"/>
      <c r="BE3" s="157"/>
      <c r="BF3" s="158">
        <v>42976</v>
      </c>
      <c r="BG3" s="152"/>
      <c r="BH3" s="152"/>
      <c r="BI3" s="152"/>
      <c r="BJ3" s="152"/>
      <c r="BK3" s="152"/>
      <c r="BL3" s="152"/>
      <c r="BM3" s="152"/>
      <c r="BN3" s="152"/>
      <c r="BO3" s="152"/>
      <c r="BP3" s="152"/>
      <c r="BQ3" s="152"/>
      <c r="BR3" s="158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52"/>
      <c r="CD3" s="26"/>
    </row>
    <row r="4" spans="1:82" s="17" customFormat="1" ht="21" customHeight="1" x14ac:dyDescent="0.25">
      <c r="A4" s="150"/>
      <c r="B4" s="150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187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190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192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194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200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204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205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207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208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209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212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224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230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251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8"/>
  <sheetViews>
    <sheetView tabSelected="1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A5" sqref="A5:XF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226</v>
      </c>
    </row>
    <row r="2" spans="1:25" ht="15.75" x14ac:dyDescent="0.25">
      <c r="N2" s="145" t="s">
        <v>7</v>
      </c>
      <c r="O2" s="145"/>
      <c r="P2" s="145"/>
      <c r="Q2" s="145"/>
      <c r="R2" s="146" t="s">
        <v>8</v>
      </c>
      <c r="S2" s="146"/>
      <c r="T2" s="146"/>
      <c r="U2" s="144" t="s">
        <v>9</v>
      </c>
      <c r="V2" s="144" t="s">
        <v>10</v>
      </c>
      <c r="W2" s="144" t="s">
        <v>11</v>
      </c>
      <c r="X2" s="144" t="s">
        <v>12</v>
      </c>
      <c r="Y2" s="144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213</v>
      </c>
      <c r="H3" s="15" t="s">
        <v>225</v>
      </c>
      <c r="I3" s="15" t="s">
        <v>215</v>
      </c>
      <c r="J3" s="4" t="s">
        <v>216</v>
      </c>
      <c r="K3" s="4" t="s">
        <v>23</v>
      </c>
      <c r="L3" s="4" t="s">
        <v>175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44"/>
      <c r="V3" s="144"/>
      <c r="W3" s="144"/>
      <c r="X3" s="144"/>
      <c r="Y3" s="144"/>
    </row>
    <row r="4" spans="1:25" s="1" customFormat="1" ht="21" customHeight="1" x14ac:dyDescent="0.3">
      <c r="A4" s="1">
        <v>1</v>
      </c>
      <c r="B4" s="1" t="s">
        <v>195</v>
      </c>
      <c r="C4" s="3"/>
      <c r="D4" s="57" t="s">
        <v>196</v>
      </c>
      <c r="E4" s="3"/>
      <c r="F4" s="1" t="s">
        <v>295</v>
      </c>
      <c r="G4" s="66">
        <v>2400000</v>
      </c>
      <c r="H4" s="67">
        <v>0.3</v>
      </c>
      <c r="I4" s="66">
        <v>1680000</v>
      </c>
      <c r="J4" s="2"/>
    </row>
    <row r="5" spans="1:25" s="159" customFormat="1" ht="21" customHeight="1" x14ac:dyDescent="0.3">
      <c r="A5" s="159">
        <v>2</v>
      </c>
      <c r="B5" s="159" t="s">
        <v>197</v>
      </c>
      <c r="C5" s="160"/>
      <c r="D5" s="161"/>
      <c r="E5" s="160"/>
      <c r="F5" s="159" t="s">
        <v>295</v>
      </c>
      <c r="G5" s="162">
        <v>2400000</v>
      </c>
      <c r="H5" s="163">
        <v>0.3</v>
      </c>
      <c r="I5" s="162">
        <v>1680000</v>
      </c>
      <c r="J5" s="164"/>
    </row>
    <row r="6" spans="1:25" s="1" customFormat="1" ht="21" customHeight="1" x14ac:dyDescent="0.3">
      <c r="A6" s="1">
        <v>3</v>
      </c>
      <c r="B6" s="1" t="s">
        <v>198</v>
      </c>
      <c r="C6" s="3" t="s">
        <v>243</v>
      </c>
      <c r="D6" s="57" t="s">
        <v>199</v>
      </c>
      <c r="E6" s="3" t="s">
        <v>244</v>
      </c>
      <c r="F6" s="1" t="s">
        <v>245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202</v>
      </c>
      <c r="C7" s="3" t="s">
        <v>72</v>
      </c>
      <c r="D7" s="57" t="s">
        <v>203</v>
      </c>
      <c r="E7" s="3" t="s">
        <v>250</v>
      </c>
      <c r="F7" s="1" t="s">
        <v>249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231</v>
      </c>
      <c r="C8" s="3" t="s">
        <v>246</v>
      </c>
      <c r="D8" s="3" t="s">
        <v>247</v>
      </c>
      <c r="E8" s="35" t="s">
        <v>248</v>
      </c>
      <c r="F8" s="1" t="s">
        <v>249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232</v>
      </c>
      <c r="C9" s="3" t="s">
        <v>235</v>
      </c>
      <c r="D9" s="3" t="s">
        <v>236</v>
      </c>
      <c r="E9" s="3" t="s">
        <v>237</v>
      </c>
      <c r="F9" s="1" t="s">
        <v>238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146</v>
      </c>
      <c r="B10" s="3" t="s">
        <v>233</v>
      </c>
      <c r="C10" s="3" t="s">
        <v>239</v>
      </c>
      <c r="D10" s="3" t="s">
        <v>240</v>
      </c>
      <c r="E10" s="3" t="s">
        <v>241</v>
      </c>
      <c r="F10" s="3" t="s">
        <v>242</v>
      </c>
      <c r="G10" s="66">
        <v>2400000</v>
      </c>
      <c r="H10" s="67">
        <v>0.3</v>
      </c>
      <c r="I10" s="66">
        <v>1680000</v>
      </c>
      <c r="J10" s="53"/>
      <c r="K10" s="33"/>
      <c r="L10" s="33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234</v>
      </c>
      <c r="D11"/>
      <c r="E11"/>
      <c r="F11" s="1" t="s">
        <v>238</v>
      </c>
      <c r="G11" s="66">
        <v>2400000</v>
      </c>
      <c r="H11" s="67">
        <v>0.3</v>
      </c>
      <c r="I11" s="66">
        <v>1680000</v>
      </c>
      <c r="N11"/>
      <c r="O11"/>
      <c r="P11"/>
      <c r="Q11"/>
      <c r="R11"/>
      <c r="S11"/>
      <c r="T11"/>
    </row>
    <row r="12" spans="1:25" ht="21" customHeight="1" x14ac:dyDescent="0.3">
      <c r="D12"/>
      <c r="E12"/>
      <c r="F12" s="1"/>
      <c r="G12" s="2"/>
      <c r="H12" s="2"/>
      <c r="I12" s="2"/>
      <c r="N12"/>
      <c r="O12"/>
      <c r="P12"/>
      <c r="Q12"/>
      <c r="R12"/>
      <c r="S12"/>
      <c r="T12"/>
    </row>
    <row r="13" spans="1:25" ht="21" customHeight="1" x14ac:dyDescent="0.3">
      <c r="D13"/>
      <c r="E13"/>
      <c r="F13" s="1"/>
      <c r="G13" s="2"/>
      <c r="H13" s="2"/>
      <c r="I13" s="2"/>
      <c r="N13"/>
      <c r="O13"/>
      <c r="P13"/>
      <c r="Q13"/>
      <c r="R13"/>
      <c r="S13"/>
      <c r="T13"/>
    </row>
    <row r="14" spans="1:25" ht="21" customHeight="1" x14ac:dyDescent="0.25"/>
    <row r="15" spans="1:25" ht="21" customHeight="1" x14ac:dyDescent="0.25"/>
    <row r="16" spans="1:25" ht="21" customHeight="1" x14ac:dyDescent="0.25"/>
    <row r="17" ht="21" customHeight="1" x14ac:dyDescent="0.25"/>
    <row r="18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296</v>
      </c>
      <c r="M1" s="50" t="s">
        <v>28</v>
      </c>
    </row>
    <row r="3" spans="1:84" s="17" customFormat="1" ht="21" customHeight="1" x14ac:dyDescent="0.25">
      <c r="A3" s="150" t="s">
        <v>6</v>
      </c>
      <c r="B3" s="150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52" t="s">
        <v>31</v>
      </c>
      <c r="H3" s="152"/>
      <c r="I3" s="152"/>
      <c r="J3" s="147" t="s">
        <v>32</v>
      </c>
      <c r="K3" s="148"/>
      <c r="L3" s="149"/>
      <c r="M3" s="147" t="s">
        <v>33</v>
      </c>
      <c r="N3" s="148"/>
      <c r="O3" s="149"/>
      <c r="P3" s="147" t="s">
        <v>34</v>
      </c>
      <c r="Q3" s="148"/>
      <c r="R3" s="149"/>
      <c r="S3" s="147" t="s">
        <v>35</v>
      </c>
      <c r="T3" s="148"/>
      <c r="U3" s="149"/>
      <c r="V3" s="147" t="s">
        <v>36</v>
      </c>
      <c r="W3" s="148"/>
      <c r="X3" s="149"/>
      <c r="Y3" s="147" t="s">
        <v>37</v>
      </c>
      <c r="Z3" s="148"/>
      <c r="AA3" s="149"/>
      <c r="AB3" s="147" t="s">
        <v>38</v>
      </c>
      <c r="AC3" s="148"/>
      <c r="AD3" s="149"/>
      <c r="AE3" s="147" t="s">
        <v>39</v>
      </c>
      <c r="AF3" s="148"/>
      <c r="AG3" s="149"/>
      <c r="AH3" s="147" t="s">
        <v>40</v>
      </c>
      <c r="AI3" s="148"/>
      <c r="AJ3" s="149"/>
      <c r="AK3" s="147" t="s">
        <v>41</v>
      </c>
      <c r="AL3" s="148"/>
      <c r="AM3" s="149"/>
      <c r="AN3" s="147" t="s">
        <v>42</v>
      </c>
      <c r="AO3" s="148"/>
      <c r="AP3" s="149"/>
      <c r="AQ3" s="147" t="s">
        <v>43</v>
      </c>
      <c r="AR3" s="148"/>
      <c r="AS3" s="149"/>
      <c r="AT3" s="147" t="s">
        <v>44</v>
      </c>
      <c r="AU3" s="148"/>
      <c r="AV3" s="149"/>
      <c r="AW3" s="147" t="s">
        <v>45</v>
      </c>
      <c r="AX3" s="148"/>
      <c r="AY3" s="149"/>
      <c r="AZ3" s="147" t="s">
        <v>46</v>
      </c>
      <c r="BA3" s="148"/>
      <c r="BB3" s="149"/>
      <c r="BC3" s="147" t="s">
        <v>47</v>
      </c>
      <c r="BD3" s="148"/>
      <c r="BE3" s="149"/>
      <c r="BF3" s="147" t="s">
        <v>48</v>
      </c>
      <c r="BG3" s="148"/>
      <c r="BH3" s="149"/>
      <c r="BI3" s="147" t="s">
        <v>49</v>
      </c>
      <c r="BJ3" s="148"/>
      <c r="BK3" s="149"/>
      <c r="BL3" s="153">
        <v>42970</v>
      </c>
      <c r="BM3" s="148"/>
      <c r="BN3" s="149"/>
      <c r="BO3" s="153">
        <v>42972</v>
      </c>
      <c r="BP3" s="148"/>
      <c r="BQ3" s="149"/>
      <c r="BR3" s="153">
        <v>42975</v>
      </c>
      <c r="BS3" s="148"/>
      <c r="BT3" s="149"/>
      <c r="BU3" s="153">
        <v>42977</v>
      </c>
      <c r="BV3" s="148"/>
      <c r="BW3" s="149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50"/>
      <c r="B4" s="150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195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197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198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202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231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232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146</v>
      </c>
      <c r="B11" s="3" t="s">
        <v>233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234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2017-09-07T03:52:13Z</dcterms:modified>
</cp:coreProperties>
</file>