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<sst xmlns="http://schemas.openxmlformats.org/spreadsheetml/2006/main" count="1947" uniqueCount="356">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</sst>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" fillId="0" borderId="0" xfId="0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7" t="s">
        <v>165</v>
      </c>
      <c r="B2" s="177"/>
      <c r="C2" s="177"/>
      <c r="D2" s="177"/>
      <c r="E2" s="177"/>
      <c r="F2" s="177"/>
      <c r="G2" s="39"/>
    </row>
    <row r="3" spans="1:8" x14ac:dyDescent="0.25">
      <c r="B3" s="73" t="s">
        <v>166</v>
      </c>
      <c r="C3" s="74">
        <f ca="1">MONTH(TODAY())</f>
        <v>10</v>
      </c>
      <c r="D3" s="84"/>
      <c r="E3" s="71" t="s">
        <v>167</v>
      </c>
      <c r="G3" t="s">
        <v>227</v>
      </c>
      <c r="H3" s="75">
        <f ca="1">TODAY()</f>
        <v>43011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Chuẩn bị tổ chức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>Trong tháng có SN</v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>Trong tháng có SN</v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Chuẩn bị tổ chức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H4" sqref="H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4" t="s">
        <v>6</v>
      </c>
      <c r="B3" s="184" t="s">
        <v>5</v>
      </c>
      <c r="C3" s="24"/>
      <c r="D3" s="24"/>
      <c r="E3" s="24"/>
      <c r="F3" s="24"/>
      <c r="G3" s="186"/>
      <c r="H3" s="186"/>
      <c r="I3" s="186"/>
      <c r="J3" s="181"/>
      <c r="K3" s="182"/>
      <c r="L3" s="183"/>
      <c r="M3" s="181"/>
      <c r="N3" s="182"/>
      <c r="O3" s="183"/>
      <c r="P3" s="181"/>
      <c r="Q3" s="182"/>
      <c r="R3" s="183"/>
      <c r="S3" s="181"/>
      <c r="T3" s="182"/>
      <c r="U3" s="183"/>
      <c r="V3" s="181"/>
      <c r="W3" s="182"/>
      <c r="X3" s="183"/>
      <c r="Y3" s="181"/>
      <c r="Z3" s="182"/>
      <c r="AA3" s="183"/>
      <c r="AB3" s="181"/>
      <c r="AC3" s="182"/>
      <c r="AD3" s="183"/>
      <c r="AE3" s="181"/>
      <c r="AF3" s="182"/>
      <c r="AG3" s="183"/>
      <c r="AH3" s="181"/>
      <c r="AI3" s="182"/>
      <c r="AJ3" s="183"/>
      <c r="AK3" s="181"/>
      <c r="AL3" s="182"/>
      <c r="AM3" s="183"/>
      <c r="AN3" s="181"/>
      <c r="AO3" s="182"/>
      <c r="AP3" s="183"/>
      <c r="AQ3" s="181"/>
      <c r="AR3" s="182"/>
      <c r="AS3" s="183"/>
      <c r="AT3" s="181"/>
      <c r="AU3" s="182"/>
      <c r="AV3" s="183"/>
      <c r="AW3" s="181"/>
      <c r="AX3" s="182"/>
      <c r="AY3" s="183"/>
      <c r="AZ3" s="181"/>
      <c r="BA3" s="182"/>
      <c r="BB3" s="183"/>
      <c r="BC3" s="188" t="s">
        <v>116</v>
      </c>
      <c r="BD3" s="189"/>
      <c r="BE3" s="190"/>
      <c r="BF3" s="187">
        <v>42930</v>
      </c>
      <c r="BG3" s="182"/>
      <c r="BH3" s="183"/>
      <c r="BI3" s="181" t="s">
        <v>147</v>
      </c>
      <c r="BJ3" s="182"/>
      <c r="BK3" s="183"/>
      <c r="BL3" s="181" t="s">
        <v>148</v>
      </c>
      <c r="BM3" s="182"/>
      <c r="BN3" s="183"/>
      <c r="BO3" s="181" t="s">
        <v>170</v>
      </c>
      <c r="BP3" s="182"/>
      <c r="BQ3" s="183"/>
      <c r="BR3" s="187">
        <v>42940</v>
      </c>
      <c r="BS3" s="182"/>
      <c r="BT3" s="183"/>
      <c r="BU3" s="187">
        <v>42942</v>
      </c>
      <c r="BV3" s="182"/>
      <c r="BW3" s="183"/>
      <c r="BX3" s="187">
        <v>42944</v>
      </c>
      <c r="BY3" s="182"/>
      <c r="BZ3" s="183"/>
      <c r="CA3" s="187">
        <v>42947</v>
      </c>
      <c r="CB3" s="182"/>
      <c r="CC3" s="183"/>
      <c r="CD3" s="26"/>
    </row>
    <row r="4" spans="1:82" s="17" customFormat="1" ht="21" customHeight="1" x14ac:dyDescent="0.25">
      <c r="A4" s="185"/>
      <c r="B4" s="18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4" t="s">
        <v>6</v>
      </c>
      <c r="B3" s="18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6" t="s">
        <v>31</v>
      </c>
      <c r="H3" s="186"/>
      <c r="I3" s="186"/>
      <c r="J3" s="181" t="s">
        <v>32</v>
      </c>
      <c r="K3" s="182"/>
      <c r="L3" s="183"/>
      <c r="M3" s="181" t="s">
        <v>33</v>
      </c>
      <c r="N3" s="182"/>
      <c r="O3" s="183"/>
      <c r="P3" s="181" t="s">
        <v>34</v>
      </c>
      <c r="Q3" s="182"/>
      <c r="R3" s="183"/>
      <c r="S3" s="181" t="s">
        <v>35</v>
      </c>
      <c r="T3" s="182"/>
      <c r="U3" s="183"/>
      <c r="V3" s="181" t="s">
        <v>36</v>
      </c>
      <c r="W3" s="182"/>
      <c r="X3" s="183"/>
      <c r="Y3" s="181" t="s">
        <v>37</v>
      </c>
      <c r="Z3" s="182"/>
      <c r="AA3" s="183"/>
      <c r="AB3" s="181" t="s">
        <v>38</v>
      </c>
      <c r="AC3" s="182"/>
      <c r="AD3" s="183"/>
      <c r="AE3" s="181" t="s">
        <v>39</v>
      </c>
      <c r="AF3" s="182"/>
      <c r="AG3" s="183"/>
      <c r="AH3" s="181" t="s">
        <v>40</v>
      </c>
      <c r="AI3" s="182"/>
      <c r="AJ3" s="183"/>
      <c r="AK3" s="181" t="s">
        <v>41</v>
      </c>
      <c r="AL3" s="182"/>
      <c r="AM3" s="183"/>
      <c r="AN3" s="181" t="s">
        <v>42</v>
      </c>
      <c r="AO3" s="182"/>
      <c r="AP3" s="183"/>
      <c r="AQ3" s="181" t="s">
        <v>43</v>
      </c>
      <c r="AR3" s="182"/>
      <c r="AS3" s="183"/>
      <c r="AT3" s="181" t="s">
        <v>44</v>
      </c>
      <c r="AU3" s="182"/>
      <c r="AV3" s="183"/>
      <c r="AW3" s="181" t="s">
        <v>45</v>
      </c>
      <c r="AX3" s="182"/>
      <c r="AY3" s="183"/>
      <c r="AZ3" s="181" t="s">
        <v>46</v>
      </c>
      <c r="BA3" s="182"/>
      <c r="BB3" s="183"/>
      <c r="BC3" s="181" t="s">
        <v>47</v>
      </c>
      <c r="BD3" s="182"/>
      <c r="BE3" s="183"/>
      <c r="BF3" s="181" t="s">
        <v>48</v>
      </c>
      <c r="BG3" s="182"/>
      <c r="BH3" s="183"/>
      <c r="BI3" s="181" t="s">
        <v>49</v>
      </c>
      <c r="BJ3" s="182"/>
      <c r="BK3" s="183"/>
      <c r="BL3" s="181"/>
      <c r="BM3" s="182"/>
      <c r="BN3" s="183"/>
      <c r="BO3" s="181"/>
      <c r="BP3" s="182"/>
      <c r="BQ3" s="183"/>
      <c r="BR3" s="181"/>
      <c r="BS3" s="182"/>
      <c r="BT3" s="18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4"/>
      <c r="B4" s="18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9" t="s">
        <v>7</v>
      </c>
      <c r="P2" s="179"/>
      <c r="Q2" s="179"/>
      <c r="R2" s="179"/>
      <c r="S2" s="180" t="s">
        <v>8</v>
      </c>
      <c r="T2" s="180"/>
      <c r="U2" s="180"/>
      <c r="V2" s="178" t="s">
        <v>9</v>
      </c>
      <c r="W2" s="178" t="s">
        <v>10</v>
      </c>
      <c r="X2" s="178" t="s">
        <v>11</v>
      </c>
      <c r="Y2" s="178" t="s">
        <v>12</v>
      </c>
      <c r="Z2" s="17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8"/>
      <c r="W3" s="178"/>
      <c r="X3" s="178"/>
      <c r="Y3" s="178"/>
      <c r="Z3" s="178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4" t="s">
        <v>6</v>
      </c>
      <c r="B3" s="184" t="s">
        <v>5</v>
      </c>
      <c r="C3" s="65"/>
      <c r="D3" s="65"/>
      <c r="E3" s="65"/>
      <c r="F3" s="65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91"/>
      <c r="BD3" s="191"/>
      <c r="BE3" s="191"/>
      <c r="BF3" s="192">
        <v>42976</v>
      </c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92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26"/>
    </row>
    <row r="4" spans="1:82" s="17" customFormat="1" ht="21" customHeight="1" x14ac:dyDescent="0.25">
      <c r="A4" s="184"/>
      <c r="B4" s="184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3" sqref="B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9" t="s">
        <v>7</v>
      </c>
      <c r="O2" s="179"/>
      <c r="P2" s="179"/>
      <c r="Q2" s="179"/>
      <c r="R2" s="180" t="s">
        <v>8</v>
      </c>
      <c r="S2" s="180"/>
      <c r="T2" s="180"/>
      <c r="U2" s="178" t="s">
        <v>9</v>
      </c>
      <c r="V2" s="178" t="s">
        <v>10</v>
      </c>
      <c r="W2" s="178" t="s">
        <v>11</v>
      </c>
      <c r="X2" s="178" t="s">
        <v>12</v>
      </c>
      <c r="Y2" s="178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8"/>
      <c r="V3" s="178"/>
      <c r="W3" s="178"/>
      <c r="X3" s="178"/>
      <c r="Y3" s="178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4" t="s">
        <v>6</v>
      </c>
      <c r="B3" s="184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6" t="s">
        <v>31</v>
      </c>
      <c r="H3" s="186"/>
      <c r="I3" s="186"/>
      <c r="J3" s="181" t="s">
        <v>32</v>
      </c>
      <c r="K3" s="182"/>
      <c r="L3" s="183"/>
      <c r="M3" s="181" t="s">
        <v>33</v>
      </c>
      <c r="N3" s="182"/>
      <c r="O3" s="183"/>
      <c r="P3" s="181" t="s">
        <v>34</v>
      </c>
      <c r="Q3" s="182"/>
      <c r="R3" s="183"/>
      <c r="S3" s="181" t="s">
        <v>35</v>
      </c>
      <c r="T3" s="182"/>
      <c r="U3" s="183"/>
      <c r="V3" s="181" t="s">
        <v>36</v>
      </c>
      <c r="W3" s="182"/>
      <c r="X3" s="183"/>
      <c r="Y3" s="181" t="s">
        <v>37</v>
      </c>
      <c r="Z3" s="182"/>
      <c r="AA3" s="183"/>
      <c r="AB3" s="181" t="s">
        <v>38</v>
      </c>
      <c r="AC3" s="182"/>
      <c r="AD3" s="183"/>
      <c r="AE3" s="181" t="s">
        <v>39</v>
      </c>
      <c r="AF3" s="182"/>
      <c r="AG3" s="183"/>
      <c r="AH3" s="181" t="s">
        <v>40</v>
      </c>
      <c r="AI3" s="182"/>
      <c r="AJ3" s="183"/>
      <c r="AK3" s="181" t="s">
        <v>41</v>
      </c>
      <c r="AL3" s="182"/>
      <c r="AM3" s="183"/>
      <c r="AN3" s="181" t="s">
        <v>42</v>
      </c>
      <c r="AO3" s="182"/>
      <c r="AP3" s="183"/>
      <c r="AQ3" s="181" t="s">
        <v>43</v>
      </c>
      <c r="AR3" s="182"/>
      <c r="AS3" s="183"/>
      <c r="AT3" s="181" t="s">
        <v>44</v>
      </c>
      <c r="AU3" s="182"/>
      <c r="AV3" s="183"/>
      <c r="AW3" s="181" t="s">
        <v>45</v>
      </c>
      <c r="AX3" s="182"/>
      <c r="AY3" s="183"/>
      <c r="AZ3" s="181" t="s">
        <v>46</v>
      </c>
      <c r="BA3" s="182"/>
      <c r="BB3" s="183"/>
      <c r="BC3" s="181" t="s">
        <v>47</v>
      </c>
      <c r="BD3" s="182"/>
      <c r="BE3" s="183"/>
      <c r="BF3" s="181" t="s">
        <v>48</v>
      </c>
      <c r="BG3" s="182"/>
      <c r="BH3" s="183"/>
      <c r="BI3" s="181" t="s">
        <v>49</v>
      </c>
      <c r="BJ3" s="182"/>
      <c r="BK3" s="183"/>
      <c r="BL3" s="187">
        <v>42970</v>
      </c>
      <c r="BM3" s="182"/>
      <c r="BN3" s="183"/>
      <c r="BO3" s="187">
        <v>42972</v>
      </c>
      <c r="BP3" s="182"/>
      <c r="BQ3" s="183"/>
      <c r="BR3" s="187">
        <v>42975</v>
      </c>
      <c r="BS3" s="182"/>
      <c r="BT3" s="183"/>
      <c r="BU3" s="187">
        <v>42977</v>
      </c>
      <c r="BV3" s="182"/>
      <c r="BW3" s="183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4"/>
      <c r="B4" s="184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2"/>
  <sheetViews>
    <sheetView tabSelected="1" workbookViewId="0">
      <selection activeCell="A13" sqref="A13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93" t="s">
        <v>328</v>
      </c>
      <c r="S2" s="193" t="s">
        <v>329</v>
      </c>
      <c r="T2" s="178" t="s">
        <v>11</v>
      </c>
      <c r="U2" s="178" t="s">
        <v>12</v>
      </c>
      <c r="V2" s="193" t="s">
        <v>330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327</v>
      </c>
      <c r="C6" s="3"/>
      <c r="D6" s="3" t="s">
        <v>325</v>
      </c>
      <c r="E6" s="3"/>
      <c r="F6" s="3"/>
      <c r="G6" s="34"/>
      <c r="H6" s="2" t="s">
        <v>53</v>
      </c>
      <c r="I6" s="2" t="s">
        <v>313</v>
      </c>
      <c r="J6" s="1"/>
      <c r="K6" s="1">
        <v>4</v>
      </c>
      <c r="L6" s="1">
        <v>12</v>
      </c>
      <c r="M6" s="1">
        <v>12</v>
      </c>
      <c r="N6" s="1">
        <v>11</v>
      </c>
      <c r="O6" s="1">
        <v>20</v>
      </c>
      <c r="P6" s="1">
        <v>2</v>
      </c>
      <c r="Q6" s="1">
        <v>16</v>
      </c>
      <c r="R6" s="1">
        <v>39</v>
      </c>
      <c r="S6" s="1">
        <v>38</v>
      </c>
      <c r="T6" s="1">
        <v>180</v>
      </c>
      <c r="U6" s="1">
        <v>140</v>
      </c>
      <c r="V6" s="1">
        <v>320</v>
      </c>
    </row>
    <row r="7" spans="1:22" ht="18.75" x14ac:dyDescent="0.3">
      <c r="A7" s="2">
        <v>4</v>
      </c>
      <c r="B7" s="1" t="s">
        <v>324</v>
      </c>
      <c r="C7" s="3"/>
      <c r="D7" s="3" t="s">
        <v>326</v>
      </c>
      <c r="E7" s="3" t="s">
        <v>121</v>
      </c>
      <c r="F7" s="3"/>
      <c r="G7" s="34"/>
      <c r="H7" s="2" t="s">
        <v>53</v>
      </c>
      <c r="I7" s="2" t="s">
        <v>313</v>
      </c>
      <c r="J7" s="1"/>
      <c r="K7" s="1">
        <v>0</v>
      </c>
      <c r="L7" s="1">
        <v>14</v>
      </c>
      <c r="M7" s="1">
        <v>8</v>
      </c>
      <c r="N7" s="1">
        <v>7</v>
      </c>
      <c r="O7" s="1">
        <v>15</v>
      </c>
      <c r="P7" s="1">
        <v>5</v>
      </c>
      <c r="Q7" s="1">
        <v>19</v>
      </c>
      <c r="R7" s="1">
        <v>29</v>
      </c>
      <c r="S7" s="1">
        <v>39</v>
      </c>
      <c r="T7" s="1">
        <v>125</v>
      </c>
      <c r="U7" s="1">
        <v>145</v>
      </c>
      <c r="V7" s="1">
        <v>270</v>
      </c>
    </row>
    <row r="8" spans="1:22" s="1" customFormat="1" ht="18.75" x14ac:dyDescent="0.3">
      <c r="A8" s="2">
        <v>5</v>
      </c>
      <c r="B8" s="1" t="s">
        <v>339</v>
      </c>
      <c r="C8" s="3"/>
      <c r="D8" s="3" t="s">
        <v>343</v>
      </c>
      <c r="E8" s="3" t="s">
        <v>340</v>
      </c>
      <c r="F8" s="3"/>
      <c r="G8" s="34"/>
      <c r="H8" s="2" t="s">
        <v>53</v>
      </c>
      <c r="I8" s="2" t="s">
        <v>338</v>
      </c>
      <c r="K8" s="1">
        <v>4</v>
      </c>
      <c r="L8" s="1">
        <v>9</v>
      </c>
      <c r="M8" s="1">
        <v>9</v>
      </c>
      <c r="N8" s="1">
        <v>7</v>
      </c>
      <c r="O8" s="1">
        <v>21</v>
      </c>
      <c r="P8" s="1">
        <v>4</v>
      </c>
      <c r="Q8" s="1">
        <v>5</v>
      </c>
      <c r="R8" s="1">
        <v>29</v>
      </c>
      <c r="S8" s="1">
        <v>30</v>
      </c>
      <c r="T8" s="1">
        <v>125</v>
      </c>
      <c r="U8" s="1">
        <v>90</v>
      </c>
      <c r="V8" s="1">
        <v>215</v>
      </c>
    </row>
    <row r="9" spans="1:22" ht="18.75" x14ac:dyDescent="0.3">
      <c r="A9" s="2">
        <v>6</v>
      </c>
      <c r="B9" s="1" t="s">
        <v>341</v>
      </c>
      <c r="C9" s="3"/>
      <c r="D9" s="3" t="s">
        <v>344</v>
      </c>
      <c r="E9" s="3" t="s">
        <v>342</v>
      </c>
      <c r="F9" s="3"/>
      <c r="G9" s="34"/>
      <c r="H9" s="2" t="s">
        <v>53</v>
      </c>
      <c r="I9" s="2" t="s">
        <v>338</v>
      </c>
      <c r="K9" s="1">
        <v>4</v>
      </c>
      <c r="L9" s="1">
        <v>9</v>
      </c>
      <c r="M9" s="1">
        <v>9</v>
      </c>
      <c r="N9" s="1">
        <v>8</v>
      </c>
      <c r="O9" s="1">
        <v>19</v>
      </c>
      <c r="P9" s="1">
        <v>1</v>
      </c>
      <c r="Q9" s="1">
        <v>15</v>
      </c>
      <c r="R9" s="1">
        <v>30</v>
      </c>
      <c r="S9" s="1">
        <v>35</v>
      </c>
      <c r="T9" s="1">
        <v>130</v>
      </c>
      <c r="U9" s="1">
        <v>120</v>
      </c>
      <c r="V9" s="1">
        <v>250</v>
      </c>
    </row>
    <row r="10" spans="1:22" ht="18.75" x14ac:dyDescent="0.3">
      <c r="A10" s="2">
        <v>7</v>
      </c>
      <c r="B10" s="1" t="s">
        <v>345</v>
      </c>
      <c r="C10" s="3"/>
      <c r="D10" s="3" t="s">
        <v>346</v>
      </c>
      <c r="E10" s="3" t="s">
        <v>347</v>
      </c>
      <c r="F10" s="3"/>
      <c r="G10" s="34"/>
      <c r="H10" s="2" t="s">
        <v>53</v>
      </c>
      <c r="I10" s="2" t="s">
        <v>338</v>
      </c>
    </row>
    <row r="11" spans="1:22" ht="18.75" x14ac:dyDescent="0.3">
      <c r="A11" s="2">
        <v>8</v>
      </c>
      <c r="B11" s="1" t="s">
        <v>348</v>
      </c>
      <c r="C11" s="3"/>
      <c r="D11" s="3" t="s">
        <v>349</v>
      </c>
      <c r="E11" s="3" t="s">
        <v>350</v>
      </c>
      <c r="F11" s="3"/>
      <c r="G11" s="34"/>
      <c r="H11" s="2" t="s">
        <v>53</v>
      </c>
      <c r="I11" s="2" t="s">
        <v>338</v>
      </c>
    </row>
    <row r="12" spans="1:22" ht="18.75" x14ac:dyDescent="0.3">
      <c r="A12" s="2">
        <v>9</v>
      </c>
      <c r="B12" s="1" t="s">
        <v>353</v>
      </c>
      <c r="C12" s="3"/>
      <c r="D12" s="3" t="s">
        <v>355</v>
      </c>
      <c r="E12" s="3"/>
      <c r="G12" s="34"/>
      <c r="H12" s="2" t="s">
        <v>53</v>
      </c>
      <c r="I12" s="2" t="s">
        <v>354</v>
      </c>
      <c r="K12" s="176">
        <v>4</v>
      </c>
      <c r="L12" s="176">
        <v>11</v>
      </c>
      <c r="M12" s="176">
        <v>5</v>
      </c>
      <c r="N12" s="176">
        <v>12</v>
      </c>
      <c r="O12" s="176">
        <v>17</v>
      </c>
      <c r="P12" s="176">
        <v>3</v>
      </c>
      <c r="Q12" s="176">
        <v>12</v>
      </c>
      <c r="R12" s="176">
        <v>32</v>
      </c>
      <c r="S12" s="176">
        <v>32</v>
      </c>
      <c r="T12" s="176">
        <v>140</v>
      </c>
      <c r="U12" s="176">
        <v>100</v>
      </c>
      <c r="V12" s="176">
        <v>240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7" sqref="B7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78" t="s">
        <v>9</v>
      </c>
      <c r="S2" s="178" t="s">
        <v>10</v>
      </c>
      <c r="T2" s="178" t="s">
        <v>11</v>
      </c>
      <c r="U2" s="178" t="s">
        <v>12</v>
      </c>
      <c r="V2" s="178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6" t="s">
        <v>332</v>
      </c>
      <c r="C5" s="1"/>
      <c r="D5" s="57" t="s">
        <v>333</v>
      </c>
      <c r="E5" s="3" t="s">
        <v>334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335</v>
      </c>
      <c r="C6" s="3"/>
      <c r="D6" s="3" t="s">
        <v>336</v>
      </c>
      <c r="E6" s="3" t="s">
        <v>337</v>
      </c>
      <c r="F6" s="3"/>
      <c r="G6" s="34"/>
      <c r="H6" s="2" t="s">
        <v>53</v>
      </c>
      <c r="I6" s="2" t="s">
        <v>338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351</v>
      </c>
      <c r="C7" s="3"/>
      <c r="D7" s="3" t="s">
        <v>352</v>
      </c>
      <c r="E7" s="3"/>
      <c r="F7" s="3"/>
      <c r="G7" s="34"/>
      <c r="H7" s="2" t="s">
        <v>53</v>
      </c>
      <c r="I7" s="2" t="s">
        <v>313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2017-10-03T10:25:02Z</dcterms:modified>
</cp:coreProperties>
</file>