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<sst xmlns="http://schemas.openxmlformats.org/spreadsheetml/2006/main" count="2280" uniqueCount="506">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</sst>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5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15" customFormat="1" x14ac:dyDescent="0.25">
      <c r="A4" s="208">
        <v>3</v>
      </c>
      <c r="B4" s="209" t="s">
        <v>225</v>
      </c>
      <c r="C4" s="210">
        <v>35560</v>
      </c>
      <c r="D4" s="211" t="s">
        <v>262</v>
      </c>
      <c r="E4" s="212" t="s">
        <v>261</v>
      </c>
      <c r="F4" s="212" t="s">
        <v>69</v>
      </c>
      <c r="G4" s="213" t="s">
        <v>174</v>
      </c>
      <c r="H4" s="214" t="s">
        <v>292</v>
      </c>
      <c r="I4" s="209" t="s">
        <v>293</v>
      </c>
      <c r="J4" s="209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4" customFormat="1" ht="15" x14ac:dyDescent="0.25">
      <c r="A7" s="223">
        <v>1</v>
      </c>
      <c r="B7" s="224" t="s">
        <v>188</v>
      </c>
      <c r="C7" s="225" t="s">
        <v>256</v>
      </c>
      <c r="D7" s="226" t="s">
        <v>189</v>
      </c>
      <c r="E7" s="226" t="s">
        <v>257</v>
      </c>
      <c r="F7" s="225" t="s">
        <v>89</v>
      </c>
      <c r="G7" s="224" t="s">
        <v>493</v>
      </c>
      <c r="H7" s="227" t="s">
        <v>494</v>
      </c>
      <c r="I7" s="224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30" t="s">
        <v>165</v>
      </c>
      <c r="B2" s="230"/>
      <c r="C2" s="230"/>
      <c r="D2" s="230"/>
      <c r="E2" s="230"/>
      <c r="F2" s="230"/>
      <c r="G2" s="38"/>
    </row>
    <row r="3" spans="1:8" x14ac:dyDescent="0.25">
      <c r="B3" s="69" t="s">
        <v>166</v>
      </c>
      <c r="C3" s="70">
        <f ca="1">MONTH(TODAY())</f>
        <v>1</v>
      </c>
      <c r="D3" s="80"/>
      <c r="E3" s="67" t="s">
        <v>167</v>
      </c>
      <c r="G3" t="s">
        <v>227</v>
      </c>
      <c r="H3" s="71">
        <f ca="1">TODAY()</f>
        <v>43120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/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/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/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Trong tháng có SN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/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Chuẩn bị tổ chức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32" t="s">
        <v>7</v>
      </c>
      <c r="K2" s="232"/>
      <c r="L2" s="232"/>
      <c r="M2" s="232"/>
      <c r="N2" s="233" t="s">
        <v>8</v>
      </c>
      <c r="O2" s="233"/>
      <c r="P2" s="233"/>
      <c r="Q2" s="234" t="s">
        <v>9</v>
      </c>
      <c r="R2" s="234" t="s">
        <v>10</v>
      </c>
      <c r="S2" s="234" t="s">
        <v>11</v>
      </c>
      <c r="T2" s="234" t="s">
        <v>12</v>
      </c>
      <c r="U2" s="2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4"/>
      <c r="R3" s="234"/>
      <c r="S3" s="234"/>
      <c r="T3" s="234"/>
      <c r="U3" s="23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8" t="s">
        <v>6</v>
      </c>
      <c r="B3" s="238" t="s">
        <v>5</v>
      </c>
      <c r="C3" s="24"/>
      <c r="D3" s="24"/>
      <c r="E3" s="24"/>
      <c r="F3" s="24"/>
      <c r="G3" s="240"/>
      <c r="H3" s="240"/>
      <c r="I3" s="240"/>
      <c r="J3" s="235"/>
      <c r="K3" s="236"/>
      <c r="L3" s="237"/>
      <c r="M3" s="235"/>
      <c r="N3" s="236"/>
      <c r="O3" s="237"/>
      <c r="P3" s="235"/>
      <c r="Q3" s="236"/>
      <c r="R3" s="237"/>
      <c r="S3" s="235"/>
      <c r="T3" s="236"/>
      <c r="U3" s="237"/>
      <c r="V3" s="235"/>
      <c r="W3" s="236"/>
      <c r="X3" s="237"/>
      <c r="Y3" s="235"/>
      <c r="Z3" s="236"/>
      <c r="AA3" s="237"/>
      <c r="AB3" s="235"/>
      <c r="AC3" s="236"/>
      <c r="AD3" s="237"/>
      <c r="AE3" s="235"/>
      <c r="AF3" s="236"/>
      <c r="AG3" s="237"/>
      <c r="AH3" s="235"/>
      <c r="AI3" s="236"/>
      <c r="AJ3" s="237"/>
      <c r="AK3" s="235"/>
      <c r="AL3" s="236"/>
      <c r="AM3" s="237"/>
      <c r="AN3" s="235"/>
      <c r="AO3" s="236"/>
      <c r="AP3" s="237"/>
      <c r="AQ3" s="235"/>
      <c r="AR3" s="236"/>
      <c r="AS3" s="237"/>
      <c r="AT3" s="235"/>
      <c r="AU3" s="236"/>
      <c r="AV3" s="237"/>
      <c r="AW3" s="235"/>
      <c r="AX3" s="236"/>
      <c r="AY3" s="237"/>
      <c r="AZ3" s="235"/>
      <c r="BA3" s="236"/>
      <c r="BB3" s="237"/>
      <c r="BC3" s="242" t="s">
        <v>116</v>
      </c>
      <c r="BD3" s="243"/>
      <c r="BE3" s="244"/>
      <c r="BF3" s="241">
        <v>42930</v>
      </c>
      <c r="BG3" s="236"/>
      <c r="BH3" s="237"/>
      <c r="BI3" s="235" t="s">
        <v>147</v>
      </c>
      <c r="BJ3" s="236"/>
      <c r="BK3" s="237"/>
      <c r="BL3" s="235" t="s">
        <v>148</v>
      </c>
      <c r="BM3" s="236"/>
      <c r="BN3" s="237"/>
      <c r="BO3" s="235" t="s">
        <v>170</v>
      </c>
      <c r="BP3" s="236"/>
      <c r="BQ3" s="237"/>
      <c r="BR3" s="241">
        <v>42940</v>
      </c>
      <c r="BS3" s="236"/>
      <c r="BT3" s="237"/>
      <c r="BU3" s="241">
        <v>42942</v>
      </c>
      <c r="BV3" s="236"/>
      <c r="BW3" s="237"/>
      <c r="BX3" s="241">
        <v>42944</v>
      </c>
      <c r="BY3" s="236"/>
      <c r="BZ3" s="237"/>
      <c r="CA3" s="241">
        <v>42947</v>
      </c>
      <c r="CB3" s="236"/>
      <c r="CC3" s="237"/>
      <c r="CD3" s="26"/>
    </row>
    <row r="4" spans="1:82" s="17" customFormat="1" ht="21" customHeight="1" x14ac:dyDescent="0.25">
      <c r="A4" s="239"/>
      <c r="B4" s="23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32" t="s">
        <v>7</v>
      </c>
      <c r="K2" s="232"/>
      <c r="L2" s="232"/>
      <c r="M2" s="232"/>
      <c r="N2" s="233" t="s">
        <v>8</v>
      </c>
      <c r="O2" s="233"/>
      <c r="P2" s="233"/>
      <c r="Q2" s="234" t="s">
        <v>9</v>
      </c>
      <c r="R2" s="234" t="s">
        <v>10</v>
      </c>
      <c r="S2" s="234" t="s">
        <v>11</v>
      </c>
      <c r="T2" s="234" t="s">
        <v>12</v>
      </c>
      <c r="U2" s="2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4"/>
      <c r="R3" s="234"/>
      <c r="S3" s="234"/>
      <c r="T3" s="234"/>
      <c r="U3" s="23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38" t="s">
        <v>6</v>
      </c>
      <c r="B3" s="23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0" t="s">
        <v>31</v>
      </c>
      <c r="H3" s="240"/>
      <c r="I3" s="240"/>
      <c r="J3" s="235" t="s">
        <v>32</v>
      </c>
      <c r="K3" s="236"/>
      <c r="L3" s="237"/>
      <c r="M3" s="235" t="s">
        <v>33</v>
      </c>
      <c r="N3" s="236"/>
      <c r="O3" s="237"/>
      <c r="P3" s="235" t="s">
        <v>34</v>
      </c>
      <c r="Q3" s="236"/>
      <c r="R3" s="237"/>
      <c r="S3" s="235" t="s">
        <v>35</v>
      </c>
      <c r="T3" s="236"/>
      <c r="U3" s="237"/>
      <c r="V3" s="235" t="s">
        <v>36</v>
      </c>
      <c r="W3" s="236"/>
      <c r="X3" s="237"/>
      <c r="Y3" s="235" t="s">
        <v>37</v>
      </c>
      <c r="Z3" s="236"/>
      <c r="AA3" s="237"/>
      <c r="AB3" s="235" t="s">
        <v>38</v>
      </c>
      <c r="AC3" s="236"/>
      <c r="AD3" s="237"/>
      <c r="AE3" s="235" t="s">
        <v>39</v>
      </c>
      <c r="AF3" s="236"/>
      <c r="AG3" s="237"/>
      <c r="AH3" s="235" t="s">
        <v>40</v>
      </c>
      <c r="AI3" s="236"/>
      <c r="AJ3" s="237"/>
      <c r="AK3" s="235" t="s">
        <v>41</v>
      </c>
      <c r="AL3" s="236"/>
      <c r="AM3" s="237"/>
      <c r="AN3" s="235" t="s">
        <v>42</v>
      </c>
      <c r="AO3" s="236"/>
      <c r="AP3" s="237"/>
      <c r="AQ3" s="235" t="s">
        <v>43</v>
      </c>
      <c r="AR3" s="236"/>
      <c r="AS3" s="237"/>
      <c r="AT3" s="235" t="s">
        <v>44</v>
      </c>
      <c r="AU3" s="236"/>
      <c r="AV3" s="237"/>
      <c r="AW3" s="235" t="s">
        <v>45</v>
      </c>
      <c r="AX3" s="236"/>
      <c r="AY3" s="237"/>
      <c r="AZ3" s="235" t="s">
        <v>46</v>
      </c>
      <c r="BA3" s="236"/>
      <c r="BB3" s="237"/>
      <c r="BC3" s="235" t="s">
        <v>47</v>
      </c>
      <c r="BD3" s="236"/>
      <c r="BE3" s="237"/>
      <c r="BF3" s="235" t="s">
        <v>48</v>
      </c>
      <c r="BG3" s="236"/>
      <c r="BH3" s="237"/>
      <c r="BI3" s="235" t="s">
        <v>49</v>
      </c>
      <c r="BJ3" s="236"/>
      <c r="BK3" s="237"/>
      <c r="BL3" s="235"/>
      <c r="BM3" s="236"/>
      <c r="BN3" s="237"/>
      <c r="BO3" s="235"/>
      <c r="BP3" s="236"/>
      <c r="BQ3" s="237"/>
      <c r="BR3" s="235"/>
      <c r="BS3" s="236"/>
      <c r="BT3" s="23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38"/>
      <c r="B4" s="23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46" t="s">
        <v>7</v>
      </c>
      <c r="P2" s="246"/>
      <c r="Q2" s="246"/>
      <c r="R2" s="246"/>
      <c r="S2" s="247" t="s">
        <v>8</v>
      </c>
      <c r="T2" s="247"/>
      <c r="U2" s="247"/>
      <c r="V2" s="248" t="s">
        <v>9</v>
      </c>
      <c r="W2" s="248" t="s">
        <v>10</v>
      </c>
      <c r="X2" s="248" t="s">
        <v>11</v>
      </c>
      <c r="Y2" s="248" t="s">
        <v>12</v>
      </c>
      <c r="Z2" s="245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48"/>
      <c r="W3" s="248"/>
      <c r="X3" s="248"/>
      <c r="Y3" s="248"/>
      <c r="Z3" s="245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8" t="s">
        <v>6</v>
      </c>
      <c r="B3" s="238" t="s">
        <v>5</v>
      </c>
      <c r="C3" s="61"/>
      <c r="D3" s="61"/>
      <c r="E3" s="61"/>
      <c r="F3" s="61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40"/>
      <c r="AJ3" s="240"/>
      <c r="AK3" s="240"/>
      <c r="AL3" s="240"/>
      <c r="AM3" s="240"/>
      <c r="AN3" s="240"/>
      <c r="AO3" s="240"/>
      <c r="AP3" s="240"/>
      <c r="AQ3" s="240"/>
      <c r="AR3" s="240"/>
      <c r="AS3" s="240"/>
      <c r="AT3" s="240"/>
      <c r="AU3" s="240"/>
      <c r="AV3" s="240"/>
      <c r="AW3" s="240"/>
      <c r="AX3" s="240"/>
      <c r="AY3" s="240"/>
      <c r="AZ3" s="240"/>
      <c r="BA3" s="240"/>
      <c r="BB3" s="240"/>
      <c r="BC3" s="249"/>
      <c r="BD3" s="249"/>
      <c r="BE3" s="249"/>
      <c r="BF3" s="250">
        <v>42976</v>
      </c>
      <c r="BG3" s="240"/>
      <c r="BH3" s="240"/>
      <c r="BI3" s="240"/>
      <c r="BJ3" s="240"/>
      <c r="BK3" s="240"/>
      <c r="BL3" s="240"/>
      <c r="BM3" s="240"/>
      <c r="BN3" s="240"/>
      <c r="BO3" s="240"/>
      <c r="BP3" s="240"/>
      <c r="BQ3" s="240"/>
      <c r="BR3" s="250"/>
      <c r="BS3" s="240"/>
      <c r="BT3" s="240"/>
      <c r="BU3" s="240"/>
      <c r="BV3" s="240"/>
      <c r="BW3" s="240"/>
      <c r="BX3" s="240"/>
      <c r="BY3" s="240"/>
      <c r="BZ3" s="240"/>
      <c r="CA3" s="240"/>
      <c r="CB3" s="240"/>
      <c r="CC3" s="240"/>
      <c r="CD3" s="26"/>
    </row>
    <row r="4" spans="1:82" s="17" customFormat="1" ht="21" customHeight="1" x14ac:dyDescent="0.25">
      <c r="A4" s="238"/>
      <c r="B4" s="238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51" t="s">
        <v>224</v>
      </c>
      <c r="C1" s="251"/>
      <c r="D1" s="251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32" t="s">
        <v>7</v>
      </c>
      <c r="O2" s="232"/>
      <c r="P2" s="232"/>
      <c r="Q2" s="232"/>
      <c r="R2" s="233" t="s">
        <v>8</v>
      </c>
      <c r="S2" s="233"/>
      <c r="T2" s="233"/>
      <c r="U2" s="234" t="s">
        <v>9</v>
      </c>
      <c r="V2" s="234" t="s">
        <v>10</v>
      </c>
      <c r="W2" s="234" t="s">
        <v>11</v>
      </c>
      <c r="X2" s="234" t="s">
        <v>12</v>
      </c>
      <c r="Y2" s="231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4"/>
      <c r="V3" s="234"/>
      <c r="W3" s="234"/>
      <c r="X3" s="234"/>
      <c r="Y3" s="231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38" t="s">
        <v>6</v>
      </c>
      <c r="B3" s="238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0" t="s">
        <v>31</v>
      </c>
      <c r="H3" s="240"/>
      <c r="I3" s="240"/>
      <c r="J3" s="235" t="s">
        <v>32</v>
      </c>
      <c r="K3" s="236"/>
      <c r="L3" s="237"/>
      <c r="M3" s="235" t="s">
        <v>33</v>
      </c>
      <c r="N3" s="236"/>
      <c r="O3" s="237"/>
      <c r="P3" s="235" t="s">
        <v>34</v>
      </c>
      <c r="Q3" s="236"/>
      <c r="R3" s="237"/>
      <c r="S3" s="235" t="s">
        <v>35</v>
      </c>
      <c r="T3" s="236"/>
      <c r="U3" s="237"/>
      <c r="V3" s="235" t="s">
        <v>36</v>
      </c>
      <c r="W3" s="236"/>
      <c r="X3" s="237"/>
      <c r="Y3" s="235" t="s">
        <v>37</v>
      </c>
      <c r="Z3" s="236"/>
      <c r="AA3" s="237"/>
      <c r="AB3" s="235" t="s">
        <v>38</v>
      </c>
      <c r="AC3" s="236"/>
      <c r="AD3" s="237"/>
      <c r="AE3" s="235" t="s">
        <v>39</v>
      </c>
      <c r="AF3" s="236"/>
      <c r="AG3" s="237"/>
      <c r="AH3" s="235" t="s">
        <v>40</v>
      </c>
      <c r="AI3" s="236"/>
      <c r="AJ3" s="237"/>
      <c r="AK3" s="235" t="s">
        <v>41</v>
      </c>
      <c r="AL3" s="236"/>
      <c r="AM3" s="237"/>
      <c r="AN3" s="235" t="s">
        <v>42</v>
      </c>
      <c r="AO3" s="236"/>
      <c r="AP3" s="237"/>
      <c r="AQ3" s="235" t="s">
        <v>43</v>
      </c>
      <c r="AR3" s="236"/>
      <c r="AS3" s="237"/>
      <c r="AT3" s="235" t="s">
        <v>44</v>
      </c>
      <c r="AU3" s="236"/>
      <c r="AV3" s="237"/>
      <c r="AW3" s="235" t="s">
        <v>45</v>
      </c>
      <c r="AX3" s="236"/>
      <c r="AY3" s="237"/>
      <c r="AZ3" s="235" t="s">
        <v>46</v>
      </c>
      <c r="BA3" s="236"/>
      <c r="BB3" s="237"/>
      <c r="BC3" s="235" t="s">
        <v>47</v>
      </c>
      <c r="BD3" s="236"/>
      <c r="BE3" s="237"/>
      <c r="BF3" s="235" t="s">
        <v>48</v>
      </c>
      <c r="BG3" s="236"/>
      <c r="BH3" s="237"/>
      <c r="BI3" s="235" t="s">
        <v>49</v>
      </c>
      <c r="BJ3" s="236"/>
      <c r="BK3" s="237"/>
      <c r="BL3" s="241">
        <v>42970</v>
      </c>
      <c r="BM3" s="236"/>
      <c r="BN3" s="237"/>
      <c r="BO3" s="241">
        <v>42972</v>
      </c>
      <c r="BP3" s="236"/>
      <c r="BQ3" s="237"/>
      <c r="BR3" s="241">
        <v>42975</v>
      </c>
      <c r="BS3" s="236"/>
      <c r="BT3" s="237"/>
      <c r="BU3" s="241">
        <v>42977</v>
      </c>
      <c r="BV3" s="236"/>
      <c r="BW3" s="237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38"/>
      <c r="B4" s="238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workbookViewId="0">
      <selection activeCell="K5" sqref="K5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52" t="s">
        <v>431</v>
      </c>
      <c r="C1" s="252"/>
      <c r="D1" s="252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46" t="s">
        <v>7</v>
      </c>
      <c r="L2" s="246"/>
      <c r="M2" s="246"/>
      <c r="N2" s="246"/>
      <c r="O2" s="247" t="s">
        <v>8</v>
      </c>
      <c r="P2" s="247"/>
      <c r="Q2" s="247"/>
      <c r="R2" s="253" t="s">
        <v>323</v>
      </c>
      <c r="S2" s="253" t="s">
        <v>324</v>
      </c>
      <c r="T2" s="248" t="s">
        <v>11</v>
      </c>
      <c r="U2" s="248" t="s">
        <v>12</v>
      </c>
      <c r="V2" s="253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8"/>
      <c r="S3" s="248"/>
      <c r="T3" s="248"/>
      <c r="U3" s="248"/>
      <c r="V3" s="248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5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46" t="s">
        <v>7</v>
      </c>
      <c r="L2" s="246"/>
      <c r="M2" s="246"/>
      <c r="N2" s="246"/>
      <c r="O2" s="247" t="s">
        <v>8</v>
      </c>
      <c r="P2" s="247"/>
      <c r="Q2" s="247"/>
      <c r="R2" s="248" t="s">
        <v>9</v>
      </c>
      <c r="S2" s="248" t="s">
        <v>10</v>
      </c>
      <c r="T2" s="248" t="s">
        <v>11</v>
      </c>
      <c r="U2" s="248" t="s">
        <v>12</v>
      </c>
      <c r="V2" s="248" t="s">
        <v>13</v>
      </c>
    </row>
    <row r="3" spans="1:22" s="2" customFormat="1" x14ac:dyDescent="0.3">
      <c r="A3" s="228" t="s">
        <v>6</v>
      </c>
      <c r="B3" s="22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8" t="s">
        <v>2</v>
      </c>
      <c r="I3" s="228" t="s">
        <v>173</v>
      </c>
      <c r="J3" s="228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8"/>
      <c r="S3" s="248"/>
      <c r="T3" s="248"/>
      <c r="U3" s="248"/>
      <c r="V3" s="248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9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9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9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V7" s="229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9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9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9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9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9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9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workbookViewId="0">
      <selection activeCell="C2" sqref="C2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6" t="s">
        <v>7</v>
      </c>
      <c r="L2" s="246"/>
      <c r="M2" s="246"/>
      <c r="N2" s="246"/>
      <c r="O2" s="247" t="s">
        <v>8</v>
      </c>
      <c r="P2" s="247"/>
      <c r="Q2" s="247"/>
      <c r="R2" s="253" t="s">
        <v>323</v>
      </c>
      <c r="S2" s="253" t="s">
        <v>324</v>
      </c>
      <c r="T2" s="248" t="s">
        <v>11</v>
      </c>
      <c r="U2" s="248" t="s">
        <v>12</v>
      </c>
      <c r="V2" s="253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8"/>
      <c r="S3" s="248"/>
      <c r="T3" s="248"/>
      <c r="U3" s="248"/>
      <c r="V3" s="248"/>
    </row>
    <row r="4" spans="1:22" ht="18.75" x14ac:dyDescent="0.3">
      <c r="A4" s="2">
        <v>1</v>
      </c>
      <c r="B4" s="1" t="s">
        <v>313</v>
      </c>
      <c r="C4" s="164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2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222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4">
        <v>35217</v>
      </c>
      <c r="D9" s="222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2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4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2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4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4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F12" sqref="F12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504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56" t="s">
        <v>7</v>
      </c>
      <c r="L2" s="256"/>
      <c r="M2" s="256"/>
      <c r="N2" s="256"/>
      <c r="O2" s="257" t="s">
        <v>8</v>
      </c>
      <c r="P2" s="257"/>
      <c r="Q2" s="257"/>
      <c r="R2" s="254" t="s">
        <v>323</v>
      </c>
      <c r="S2" s="254" t="s">
        <v>324</v>
      </c>
      <c r="T2" s="255" t="s">
        <v>11</v>
      </c>
      <c r="U2" s="255" t="s">
        <v>12</v>
      </c>
      <c r="V2" s="254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55"/>
      <c r="S3" s="255"/>
      <c r="T3" s="255"/>
      <c r="U3" s="255"/>
      <c r="V3" s="255"/>
    </row>
    <row r="4" spans="1:22" s="221" customFormat="1" ht="18.75" x14ac:dyDescent="0.3">
      <c r="A4" s="216">
        <v>1</v>
      </c>
      <c r="B4" s="217" t="s">
        <v>188</v>
      </c>
      <c r="C4" s="218" t="s">
        <v>256</v>
      </c>
      <c r="D4" s="219" t="s">
        <v>189</v>
      </c>
      <c r="E4" s="220" t="s">
        <v>257</v>
      </c>
      <c r="F4" s="218" t="s">
        <v>89</v>
      </c>
      <c r="G4" s="216"/>
      <c r="H4" s="216" t="s">
        <v>53</v>
      </c>
      <c r="I4" s="216" t="s">
        <v>451</v>
      </c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4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463</v>
      </c>
      <c r="C8" s="202" t="s">
        <v>473</v>
      </c>
      <c r="D8" s="202" t="s">
        <v>461</v>
      </c>
      <c r="E8" s="203" t="s">
        <v>462</v>
      </c>
      <c r="F8" s="202" t="s">
        <v>472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2018-01-20T11:30:04Z</dcterms:modified>
</cp:coreProperties>
</file>