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7" activeTab="22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300-500 K7" sheetId="27" r:id="rId11"/>
    <sheet name="TOEIC 500-700 K5" sheetId="28" r:id="rId12"/>
    <sheet name="TOEIC AK8" sheetId="30" r:id="rId13"/>
    <sheet name="TOEIC BK6" sheetId="31" r:id="rId14"/>
    <sheet name="TOEIC AK9" sheetId="32" r:id="rId15"/>
    <sheet name="TOEIC BK7" sheetId="33" r:id="rId16"/>
    <sheet name="TOEIC AK10" sheetId="34" r:id="rId17"/>
    <sheet name="TOEIC AK10-Vang+Btap" sheetId="26" r:id="rId18"/>
    <sheet name="TOEIC BK8" sheetId="35" r:id="rId19"/>
    <sheet name="TOEIC AK11" sheetId="37" r:id="rId20"/>
    <sheet name="TOEIC BK9" sheetId="36" r:id="rId21"/>
    <sheet name="AK12" sheetId="38" r:id="rId22"/>
    <sheet name="B10" sheetId="39" r:id="rId23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G33" i="39" l="1"/>
  <c r="H32" i="39"/>
  <c r="I32" i="39" s="1"/>
  <c r="K32" i="39" s="1"/>
  <c r="G32" i="39"/>
  <c r="H31" i="39"/>
  <c r="I31" i="39" s="1"/>
  <c r="K31" i="39" s="1"/>
  <c r="G31" i="39"/>
  <c r="H30" i="39"/>
  <c r="I30" i="39" s="1"/>
  <c r="K30" i="39" s="1"/>
  <c r="G30" i="39"/>
  <c r="H29" i="39"/>
  <c r="I29" i="39" s="1"/>
  <c r="K29" i="39" s="1"/>
  <c r="G29" i="39"/>
  <c r="H28" i="39"/>
  <c r="I28" i="39" s="1"/>
  <c r="K28" i="39" s="1"/>
  <c r="G28" i="39"/>
  <c r="G28" i="38"/>
  <c r="G29" i="38"/>
  <c r="G30" i="38"/>
  <c r="G31" i="38"/>
  <c r="G32" i="38"/>
  <c r="G33" i="38"/>
  <c r="H32" i="38"/>
  <c r="I32" i="38" s="1"/>
  <c r="K32" i="38" s="1"/>
  <c r="H29" i="38"/>
  <c r="I29" i="38" s="1"/>
  <c r="K29" i="38" s="1"/>
  <c r="H30" i="38"/>
  <c r="I30" i="38" s="1"/>
  <c r="K30" i="38" s="1"/>
  <c r="H31" i="38"/>
  <c r="I31" i="38" s="1"/>
  <c r="K31" i="38" s="1"/>
  <c r="H28" i="38"/>
  <c r="I28" i="38" s="1"/>
  <c r="K28" i="38" s="1"/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comments1.xml><?xml version="1.0" encoding="utf-8"?>
<comments xmlns="http://schemas.openxmlformats.org/spreadsheetml/2006/main">
  <authors>
    <author>Author</author>
  </authors>
  <commentList>
    <comment ref="J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Nếu ds đăng ký kéo dài &gt;=2 tháng: Copy giá trị từ cột Bonus bên cạnh vào ngày cuối mỗi tháng 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J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Nếu ds đăng ký kéo dài &gt;=2 tháng: Copy giá trị từ cột Bonus bên cạnh vào ngày cuối mỗi tháng </t>
        </r>
      </text>
    </comment>
  </commentList>
</comments>
</file>

<file path=xl/sharedStrings.xml><?xml version="1.0" encoding="utf-8"?>
<sst xmlns="http://schemas.openxmlformats.org/spreadsheetml/2006/main" count="2851" uniqueCount="730">
  <si>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</si>
  <si>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</si>
  <si>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</si>
  <si>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</si>
  <si>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</si>
  <si>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</si>
  <si>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</si>
  <si>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</si>
  <si>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</si>
  <si>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</si>
  <si>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</si>
  <si>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</si>
  <si>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</si>
  <si>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</si>
  <si>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</si>
  <si>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</si>
  <si>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</si>
  <si>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</si>
  <si>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</si>
  <si>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</si>
  <si>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</si>
  <si>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</si>
  <si>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</si>
  <si>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</si>
  <si>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</si>
  <si>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</si>
  <si>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</si>
  <si>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</si>
  <si>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</si>
  <si>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</si>
  <si>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</si>
  <si>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</si>
  <si>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</si>
  <si>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</si>
  <si>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</si>
  <si>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</si>
  <si>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</si>
  <si>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</si>
  <si>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</si>
  <si>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</si>
  <si>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</si>
  <si>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</si>
  <si>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</si>
  <si>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</si>
  <si>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</si>
  <si>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</si>
  <si>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</si>
  <si>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</si>
  <si>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</si>
  <si>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</si>
  <si>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</si>
  <si>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</si>
  <si>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</si>
  <si>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</si>
  <si>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</si>
  <si>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</si>
  <si>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</si>
  <si>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</si>
  <si>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</si>
  <si>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</si>
  <si>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</si>
  <si>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</si>
  <si>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</si>
  <si>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</si>
  <si>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</si>
  <si>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</si>
  <si>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</si>
  <si>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</si>
  <si>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</si>
  <si>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</si>
  <si>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</si>
  <si>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</si>
  <si>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</si>
  <si>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</si>
  <si>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</si>
  <si>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</si>
  <si>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</si>
  <si>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</si>
  <si>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</si>
  <si>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</si>
  <si>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</si>
  <si>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</si>
  <si>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</si>
  <si>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</si>
  <si>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</si>
  <si>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</si>
  <si>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</si>
  <si>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</si>
  <si>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</si>
  <si>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</si>
  <si>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</si>
  <si>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</si>
  <si>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</si>
  <si>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</si>
  <si>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</si>
  <si>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</si>
  <si>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</si>
  <si>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</si>
  <si>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</si>
  <si>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</si>
  <si>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</si>
  <si>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</si>
  <si>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</si>
  <si>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</si>
  <si>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</si>
  <si>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</si>
  <si>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</si>
  <si>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</si>
  <si>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</si>
  <si>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</si>
  <si>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</si>
  <si>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</si>
  <si>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</si>
  <si>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</si>
  <si>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</si>
  <si>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</si>
  <si>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</si>
  <si>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</si>
  <si>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</si>
  <si>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</si>
  <si>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</si>
  <si>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</si>
  <si>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</si>
  <si>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</si>
  <si>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</si>
  <si>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</si>
  <si>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</si>
  <si>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</si>
  <si>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</si>
  <si>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</si>
  <si>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</si>
  <si>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</si>
  <si>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</si>
  <si>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</si>
  <si>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</si>
  <si>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</si>
  <si>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</si>
  <si>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</si>
  <si>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</si>
  <si>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</si>
  <si>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</si>
  <si>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</si>
  <si>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</si>
  <si>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</si>
  <si>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</si>
  <si>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</si>
  <si>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</si>
  <si>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</si>
  <si>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</si>
  <si>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</si>
  <si>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</si>
  <si>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</si>
  <si>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</si>
  <si>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</si>
  <si>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</si>
  <si>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</si>
  <si>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</si>
  <si>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</si>
  <si>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</si>
  <si>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</si>
  <si>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</si>
  <si>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</si>
  <si>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</si>
  <si>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</si>
  <si>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</si>
  <si>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</si>
  <si>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</si>
  <si>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</si>
  <si>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</si>
  <si>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</si>
  <si>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</si>
  <si>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</si>
  <si>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</si>
  <si>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</si>
  <si>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</si>
  <si>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</si>
  <si>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</si>
  <si>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</si>
  <si>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</si>
  <si>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</si>
  <si>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</si>
  <si>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</si>
  <si>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</si>
  <si>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</si>
  <si>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</si>
  <si>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</si>
  <si>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</si>
  <si>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</si>
  <si>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</si>
  <si>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</si>
  <si>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</si>
  <si>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</si>
  <si>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</si>
  <si>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</si>
  <si>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</si>
  <si>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</si>
  <si>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</si>
  <si>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</si>
  <si>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</si>
  <si>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</si>
  <si>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</si>
  <si>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</si>
  <si>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</si>
  <si>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</si>
  <si>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</si>
  <si>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</si>
  <si>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</si>
  <si>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</si>
  <si>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</si>
  <si>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</si>
  <si>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</si>
  <si>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</si>
  <si>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</si>
  <si>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</si>
  <si>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</si>
  <si>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</si>
  <si>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</si>
  <si>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</si>
  <si>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</si>
  <si>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</si>
  <si>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</si>
  <si>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</si>
  <si>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</si>
  <si>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</si>
  <si>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</si>
  <si>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</si>
  <si>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</si>
  <si>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</si>
  <si>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</si>
  <si>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</si>
  <si>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</si>
  <si>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</si>
  <si>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</si>
  <si>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</si>
  <si>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</si>
  <si>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</si>
  <si>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</si>
  <si>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</si>
  <si>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</si>
  <si>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</si>
  <si>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</si>
  <si>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</si>
  <si>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</si>
  <si>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</si>
  <si>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</si>
  <si>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</si>
  <si>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</si>
  <si>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</si>
  <si>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</si>
  <si>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</si>
  <si>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</si>
  <si>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</si>
  <si>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</si>
  <si>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</si>
  <si>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</si>
  <si>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</si>
  <si>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</si>
  <si>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</si>
  <si>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</si>
  <si>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</si>
  <si>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</si>
  <si>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</si>
  <si>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</si>
  <si>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</si>
  <si>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</si>
  <si>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</si>
  <si>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</si>
  <si>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</si>
  <si>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</si>
  <si>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</si>
  <si>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</si>
  <si>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</si>
  <si>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</si>
  <si>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</si>
  <si>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</si>
  <si>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</si>
  <si>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</si>
  <si>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</si>
  <si>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</si>
  <si>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</si>
  <si>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</si>
  <si>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</si>
  <si>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</si>
  <si>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</si>
  <si>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</si>
  <si>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</si>
  <si>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</si>
  <si>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</si>
  <si>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</si>
  <si>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</si>
  <si>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</si>
  <si>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</si>
  <si>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</si>
  <si>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</si>
  <si>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</si>
  <si>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</si>
  <si>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</si>
  <si>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</si>
  <si>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</si>
  <si>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</si>
  <si>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</si>
  <si>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</si>
  <si>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</si>
  <si>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</si>
  <si>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</si>
  <si>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</si>
  <si>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</si>
  <si>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</si>
  <si>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</si>
  <si>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</si>
  <si>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</si>
  <si>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</si>
  <si>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</si>
  <si>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</si>
  <si>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</si>
  <si>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</si>
  <si>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</si>
  <si>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</si>
  <si>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</si>
  <si>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</si>
  <si>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</si>
  <si>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</si>
  <si>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</si>
  <si>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</si>
  <si>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</si>
  <si>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</si>
  <si>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</si>
  <si>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</si>
  <si>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</si>
  <si>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</si>
  <si>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</si>
  <si>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</si>
  <si>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</si>
  <si>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</si>
  <si>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</si>
  <si>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</si>
  <si>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</si>
  <si>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</si>
  <si>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</si>
  <si>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</si>
  <si>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</si>
  <si>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</si>
  <si>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</si>
  <si>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</si>
  <si>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</si>
  <si>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</si>
  <si>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</si>
  <si>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</si>
  <si>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</si>
  <si>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</si>
  <si>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</si>
  <si>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</si>
  <si>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</si>
  <si>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</si>
  <si>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</si>
  <si>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</si>
  <si>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</si>
  <si>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</si>
  <si>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</si>
  <si>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</si>
  <si>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</si>
  <si>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</si>
  <si>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</si>
  <si>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</si>
  <si>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</si>
  <si>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</si>
  <si>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</si>
  <si>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</si>
  <si>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</si>
  <si>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</si>
  <si>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</si>
  <si>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</si>
  <si>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</si>
  <si>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</si>
  <si>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</si>
  <si>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</si>
  <si>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</si>
  <si>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</si>
  <si>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</si>
  <si>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</si>
  <si>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</si>
  <si>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</si>
  <si>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</si>
  <si>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</si>
  <si>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</si>
  <si>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</si>
  <si>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</si>
  <si>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</si>
  <si>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</si>
  <si>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</si>
  <si>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</si>
  <si>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</si>
  <si>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</si>
  <si>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</si>
  <si>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</si>
  <si>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</si>
  <si>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</si>
  <si>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</si>
  <si>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</si>
  <si>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</si>
  <si>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</si>
  <si>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</si>
  <si>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</si>
  <si>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</si>
  <si>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</si>
  <si>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</si>
  <si>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</si>
  <si>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</si>
  <si>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</si>
  <si>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</si>
  <si>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</si>
  <si>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</si>
  <si>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</si>
  <si>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</si>
  <si>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</si>
  <si>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</si>
  <si>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</si>
  <si>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</si>
  <si>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</si>
  <si>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</si>
  <si>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</si>
  <si>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</si>
  <si>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</si>
  <si>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</si>
  <si>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</si>
  <si>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</si>
  <si>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</si>
  <si>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</si>
  <si>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</si>
  <si>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</si>
  <si>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</si>
  <si>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</si>
  <si>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</si>
  <si>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</si>
  <si>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</si>
  <si>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</si>
  <si>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</si>
  <si>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</si>
  <si>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</si>
  <si>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</si>
  <si>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</si>
  <si>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</si>
  <si>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</si>
  <si>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</si>
  <si>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</si>
  <si>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</si>
  <si>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</si>
  <si>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</si>
  <si>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</si>
  <si>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</si>
  <si>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</si>
  <si>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</si>
  <si>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</si>
  <si>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</si>
  <si>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</si>
  <si>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</si>
  <si>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</si>
  <si>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</si>
  <si>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</si>
  <si>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</si>
  <si>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</si>
  <si>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</si>
  <si>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</si>
  <si>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</si>
  <si>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</si>
  <si>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</si>
  <si>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</si>
  <si>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</si>
  <si>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</si>
  <si>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</si>
  <si>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</si>
  <si>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</si>
  <si>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</si>
  <si>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</si>
  <si>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</si>
  <si>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</si>
  <si>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</si>
  <si>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</si>
  <si>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</si>
  <si>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</si>
  <si>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</si>
  <si>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</si>
  <si>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</si>
  <si>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</si>
  <si>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</si>
  <si>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</si>
  <si>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</si>
  <si>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</si>
  <si>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</si>
  <si>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</si>
  <si>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</si>
  <si>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</si>
  <si>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</si>
  <si>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</si>
  <si>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</si>
  <si>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</si>
  <si>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</si>
  <si>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</si>
  <si>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</si>
  <si>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</si>
  <si>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</si>
  <si>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</si>
  <si>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</si>
  <si>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</si>
  <si>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</si>
  <si>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</si>
  <si>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</si>
  <si>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</si>
  <si>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</si>
  <si>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</si>
  <si>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</si>
  <si>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</si>
  <si>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</si>
  <si>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</si>
  <si>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</si>
  <si>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</si>
  <si>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</si>
  <si>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</si>
  <si>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</si>
  <si>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</si>
  <si>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</si>
  <si>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</si>
  <si>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</si>
  <si>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</si>
  <si>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</si>
  <si>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</si>
  <si>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</si>
  <si>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</si>
  <si>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</si>
  <si>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</si>
  <si>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</si>
  <si>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</si>
  <si>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</si>
  <si>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</si>
  <si>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</si>
  <si>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</si>
  <si>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</si>
  <si>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</si>
  <si>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</si>
  <si>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</si>
  <si>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</si>
  <si>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</si>
  <si>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</si>
  <si>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</si>
  <si>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</si>
  <si>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</si>
  <si>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</si>
  <si>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</si>
  <si>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</si>
  <si>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</si>
  <si>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</si>
  <si>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</si>
  <si>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Nguyễn Thị Thu Phương</t>
  </si>
  <si>
    <t>01216556117</t>
  </si>
  <si>
    <t>Bạn Hoàng Mai</t>
  </si>
  <si>
    <t>Vũ Lê Thành</t>
  </si>
  <si>
    <t>Nguyễn Thị Lam</t>
  </si>
  <si>
    <t>Lê Phan Thúy Giao</t>
  </si>
  <si>
    <t>01699772727</t>
  </si>
  <si>
    <t>01655017333</t>
  </si>
  <si>
    <t>01629424075</t>
  </si>
  <si>
    <t>01227961540</t>
  </si>
  <si>
    <t>Lớp Ngân Hàng</t>
  </si>
  <si>
    <t>Học bổng KT</t>
  </si>
  <si>
    <t>Số 10 kiệt 44 Bà Triệu - Tp Huế</t>
  </si>
  <si>
    <t>10/10/1997</t>
  </si>
  <si>
    <t>Đại học Kinh tế - Huế</t>
  </si>
  <si>
    <t>01679172761
0961901296</t>
  </si>
  <si>
    <t xml:space="preserve">Đặng Thị Ngọc Ánh
</t>
  </si>
  <si>
    <t xml:space="preserve">13/09/1997
</t>
  </si>
  <si>
    <t xml:space="preserve">Quảng Châu, Quảng Trạch, Quảng Bình
</t>
  </si>
  <si>
    <t xml:space="preserve">Đại học Kinh tế - Huế
</t>
  </si>
  <si>
    <t>22/03/1999</t>
  </si>
  <si>
    <t>164 Lê Duẩn, Phường Phú Nhuận, Tp Huế</t>
  </si>
  <si>
    <t>Khoa Du lịch</t>
  </si>
  <si>
    <t>06/08/1996</t>
  </si>
  <si>
    <t>Phú Mỹ, Phú Vang, Thừa Thiên Huế</t>
  </si>
  <si>
    <t>Đại học Khoa học - Huế</t>
  </si>
  <si>
    <t>Phường Quỳnh Phương, tx Hoàng Mai, tình Nghệ An</t>
  </si>
  <si>
    <t>Đại học Kinh tế Huế</t>
  </si>
  <si>
    <t>19/11/1997</t>
  </si>
  <si>
    <t>57 Tôn Thất Dương Kỵ, phường An Cựu, tp Huế</t>
  </si>
  <si>
    <t>TOEIC A K10</t>
  </si>
  <si>
    <t>15/05/2018</t>
  </si>
  <si>
    <t>15/11/2018</t>
  </si>
  <si>
    <t xml:space="preserve">42 Nguyễn Khánh Toàn - Huế  </t>
  </si>
  <si>
    <t>BK8 (Phương)</t>
  </si>
  <si>
    <t>22/05/2018</t>
  </si>
  <si>
    <t>22/11/2018</t>
  </si>
  <si>
    <t>AK10</t>
  </si>
  <si>
    <t>Nguyễn Thị Tố Uyên</t>
  </si>
  <si>
    <t>Khóa TOEIC AK10 (10/5/2018 - //2018)</t>
  </si>
  <si>
    <t>26/09/1997</t>
  </si>
  <si>
    <t>TOEIC B K8</t>
  </si>
  <si>
    <t>30/05/2018</t>
  </si>
  <si>
    <t>30/11/2018</t>
  </si>
  <si>
    <t>Trương Minh Nhật</t>
  </si>
  <si>
    <t>Hà Trương Khả Tú</t>
  </si>
  <si>
    <t>0906552514</t>
  </si>
  <si>
    <t>Bảo Lưu</t>
  </si>
  <si>
    <t>Võ Thanh Quang</t>
  </si>
  <si>
    <t>Nguyễn Thanh Hùng</t>
  </si>
  <si>
    <t>0943765450</t>
  </si>
  <si>
    <t>0916663859</t>
  </si>
  <si>
    <t>01263644544</t>
  </si>
  <si>
    <t>01658620129</t>
  </si>
  <si>
    <t>Trần Thị Lệ Quỳnh</t>
  </si>
  <si>
    <t>Trần Hồng Minh</t>
  </si>
  <si>
    <t>01667790323</t>
  </si>
  <si>
    <t>0935374742</t>
  </si>
  <si>
    <t>Nguyễn Thị Khánh Vân</t>
  </si>
  <si>
    <t>Nguyễn Đăng Phước</t>
  </si>
  <si>
    <t>01698589704</t>
  </si>
  <si>
    <t>0981434879</t>
  </si>
  <si>
    <t xml:space="preserve">Phong </t>
  </si>
  <si>
    <t>Nguyễn Thị Hồng Nhung</t>
  </si>
  <si>
    <t>01683730816</t>
  </si>
  <si>
    <t>Nguyễn Thị Nhật Nam</t>
  </si>
  <si>
    <t>01658833371</t>
  </si>
  <si>
    <t>Khóa TOEIC A K10 (9/7/2018 - 10/2018)</t>
  </si>
  <si>
    <t>Khóa TOEIC B K9 (10/7/2018 - 10/2018)</t>
  </si>
  <si>
    <t>Trần Khôi Nguyên</t>
  </si>
  <si>
    <t>0935175875</t>
  </si>
  <si>
    <t>Bạn Minh Châu</t>
  </si>
  <si>
    <t>Phan Thị Minh Trang</t>
  </si>
  <si>
    <t>01266571056</t>
  </si>
  <si>
    <t>Văn Thị Thúy Hằng</t>
  </si>
  <si>
    <t>01264464102</t>
  </si>
  <si>
    <t>Nguyễn Thị Ngọc Hân</t>
  </si>
  <si>
    <t>Châu Thị Ly Na</t>
  </si>
  <si>
    <t>01258393502</t>
  </si>
  <si>
    <t>0966475599</t>
  </si>
  <si>
    <t>Nguyễn Huyền Trang</t>
  </si>
  <si>
    <t>Huỳnh Thị Như Ý</t>
  </si>
  <si>
    <t>Trần Khánh Quỳnh Hương</t>
  </si>
  <si>
    <t>01292177179</t>
  </si>
  <si>
    <t>01626480257</t>
  </si>
  <si>
    <t>0906468111</t>
  </si>
  <si>
    <t>Trần Thị Trà Giang</t>
  </si>
  <si>
    <t>Nguyễn Thị Như Quỳnh</t>
  </si>
  <si>
    <t>01635177159</t>
  </si>
  <si>
    <t>0967227041</t>
  </si>
  <si>
    <t>Trần Ngọc Sung</t>
  </si>
  <si>
    <t>01226219802</t>
  </si>
  <si>
    <t>Đặng Văn Phi</t>
  </si>
  <si>
    <t>01674115097</t>
  </si>
  <si>
    <t>16/03/1996</t>
  </si>
  <si>
    <t>153 Tăng Bạt Hổ</t>
  </si>
  <si>
    <t>24/04/1996</t>
  </si>
  <si>
    <t>92 Đào Duy Anh, Phú Bình, Huế</t>
  </si>
  <si>
    <t>Khách sạn HueNiNo Hotel</t>
  </si>
  <si>
    <t>18/06/1997</t>
  </si>
  <si>
    <t>Cao đăng Công nghiệp Huế</t>
  </si>
  <si>
    <t>06 Lương Văn Can, p An Cựu, Huế</t>
  </si>
  <si>
    <t>15/75/245 Bùi Thị Xuân, tp Huế</t>
  </si>
  <si>
    <t>Ngân hàng Á Châu</t>
  </si>
  <si>
    <t>15/02/1996</t>
  </si>
  <si>
    <t>16/09/1996</t>
  </si>
  <si>
    <t>Phan Hoàng Kiều Oanh</t>
  </si>
  <si>
    <t>Phan Thị Đông Trúc</t>
  </si>
  <si>
    <t>Phú An, Phú Vang, Thừa Thiên Huế</t>
  </si>
  <si>
    <t>85 đướng 2 tháng 9, Phú Bài, Hương Thủy</t>
  </si>
  <si>
    <t>Đại học Sư phạm</t>
  </si>
  <si>
    <t>2/4/1987</t>
  </si>
  <si>
    <t>3 Phan Đình Phùng, tp Huế</t>
  </si>
  <si>
    <t>Chi cục Đăng kiểm số 13</t>
  </si>
  <si>
    <t>24 Đặng Trần Côn, tp Huế</t>
  </si>
  <si>
    <t>29/04/1998</t>
  </si>
  <si>
    <t>Huế</t>
  </si>
  <si>
    <t>Cao đẳng Y tế Huế</t>
  </si>
  <si>
    <t>21/03/1998</t>
  </si>
  <si>
    <t>Hương Thủy, Thừa Thiên Huế</t>
  </si>
  <si>
    <t>117 Trường Chinh, Huế</t>
  </si>
  <si>
    <t>Sinh viên</t>
  </si>
  <si>
    <t>15/09/1999</t>
  </si>
  <si>
    <t>Đại học Y Dược Huế</t>
  </si>
  <si>
    <t>17/08/1999</t>
  </si>
  <si>
    <t>49 Nguyễn Thiện Kế, p Vĩnh Ninh, Huế</t>
  </si>
  <si>
    <t>10/10/91 Hàn Mặc Tử</t>
  </si>
  <si>
    <t>Đại học Ngoại ngữ Huế</t>
  </si>
  <si>
    <t>28 Nguyễn Duy Luật, Phú Bài, Hương Thủy</t>
  </si>
  <si>
    <t>18/03/1997</t>
  </si>
  <si>
    <t>01 Phạm Văn Đồng, p Vĩ Dạ, Huế</t>
  </si>
  <si>
    <t>Đại học Sư Phạm Huế</t>
  </si>
  <si>
    <t>Phú Bài, Hương Thủy, Thừa Thiên Huế</t>
  </si>
  <si>
    <t>97 Trần Trung Lập, Hương Vân, Hương Trà, Thừa Thiên Huế</t>
  </si>
  <si>
    <t>22 Lê Thái Tông, Tứ Hạ, Hương Trà, Thừa Thiên Huế</t>
  </si>
  <si>
    <t>29/06/1996</t>
  </si>
  <si>
    <t>2/31/246 Hùng Vương, Huế</t>
  </si>
  <si>
    <t>215 Trần Phú, Huế</t>
  </si>
  <si>
    <t>18/01/1997</t>
  </si>
  <si>
    <t>215 A Trần Phú, Huế</t>
  </si>
  <si>
    <t>17/05/1997</t>
  </si>
  <si>
    <t>13 Trần Quang Khải</t>
  </si>
  <si>
    <t>Võ Thế Anh Nhi</t>
  </si>
  <si>
    <t>24/10/1995</t>
  </si>
  <si>
    <t>0935341487</t>
  </si>
  <si>
    <t>24/7 Phạm Thị Liên ,Huế</t>
  </si>
  <si>
    <t>Lê Thị Ngọc Bảo</t>
  </si>
  <si>
    <t>31/10/1983</t>
  </si>
  <si>
    <t>0914612626</t>
  </si>
  <si>
    <t>32 Phan Văn Trường, phường Vỹ Dạ, Huế</t>
  </si>
  <si>
    <t>Giảng viên ĐH Sư phạm huế</t>
  </si>
  <si>
    <t>Hoàng Trịnh Như</t>
  </si>
  <si>
    <t>Trần Thị Thanh Thủy</t>
  </si>
  <si>
    <t>0935434824</t>
  </si>
  <si>
    <t>27/03/1996</t>
  </si>
  <si>
    <t>40A Tăng Bạt Hổ, huế</t>
  </si>
  <si>
    <t>01222425175</t>
  </si>
  <si>
    <t>01202076504</t>
  </si>
  <si>
    <t>Trương Thị Thảo Uyên</t>
  </si>
  <si>
    <t>01222424708</t>
  </si>
  <si>
    <t>Bạn Khả Tú</t>
  </si>
  <si>
    <t>Lô B222 Khu đô thị Phú Mỹ Thượng, Phú Vang</t>
  </si>
  <si>
    <t>0903528152</t>
  </si>
  <si>
    <t>Ngân hàng Agribank</t>
  </si>
  <si>
    <t>Khóa TOEIC A K12 (9/5/2018 - 10/2018)</t>
  </si>
  <si>
    <t>Lập</t>
  </si>
  <si>
    <t>Khác</t>
  </si>
  <si>
    <t>Số Lượng</t>
  </si>
  <si>
    <t>Doanh Thu</t>
  </si>
  <si>
    <t>Bonus</t>
  </si>
  <si>
    <t>Tư Vấn</t>
  </si>
  <si>
    <t>Thanh Toán 1</t>
  </si>
  <si>
    <t>Thanh Toán 2</t>
  </si>
  <si>
    <t>Ngày đăng ký</t>
  </si>
  <si>
    <t>Khóa TOEIC B K10 (9/5/2018 - 10/2018)</t>
  </si>
  <si>
    <t>Lưu ý</t>
  </si>
  <si>
    <r>
      <t xml:space="preserve">Nếu danh sách đăng ký một lớp kéo dài 2 hoặc nhiều tháng, </t>
    </r>
    <r>
      <rPr>
        <b/>
        <sz val="11"/>
        <color theme="0"/>
        <rFont val="Calibri"/>
        <family val="2"/>
        <scheme val="minor"/>
      </rPr>
      <t>chốt bonus vào ngày cuối của tháng</t>
    </r>
    <r>
      <rPr>
        <sz val="11"/>
        <color theme="0"/>
        <rFont val="Calibri"/>
        <family val="2"/>
        <scheme val="minor"/>
      </rPr>
      <t xml:space="preserve"> ở bảng phụ phía dưới danh sách lớp</t>
    </r>
  </si>
  <si>
    <r>
      <t xml:space="preserve">Nếu danh sách đăng ký một lớp kéo dài 2 hoặc nhiều tháng, </t>
    </r>
    <r>
      <rPr>
        <b/>
        <sz val="11"/>
        <color theme="1"/>
        <rFont val="Calibri"/>
        <family val="2"/>
        <scheme val="minor"/>
      </rPr>
      <t>chốt bonus vào ngày cuối của mỗi tháng</t>
    </r>
    <r>
      <rPr>
        <sz val="11"/>
        <color theme="1"/>
        <rFont val="Calibri"/>
        <family val="2"/>
        <scheme val="minor"/>
      </rPr>
      <t xml:space="preserve"> ở bảng phụ phía dưới danh sách lớp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</si>
</sst>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010000]mm/dd/yyyy;@"/>
  </numFmts>
  <fonts count="2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9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4" fontId="0" fillId="0" borderId="0" xfId="0" applyNumberFormat="1" applyAlignment="1"/>
    <xf numFmtId="14" fontId="0" fillId="0" borderId="0" xfId="0" applyNumberFormat="1"/>
    <xf numFmtId="164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4" fontId="13" fillId="0" borderId="1" xfId="0" applyNumberFormat="1" applyFont="1" applyFill="1" applyBorder="1"/>
    <xf numFmtId="164" fontId="0" fillId="0" borderId="0" xfId="0" applyNumberFormat="1" applyAlignment="1"/>
    <xf numFmtId="164" fontId="0" fillId="0" borderId="0" xfId="0" applyNumberFormat="1"/>
    <xf numFmtId="0" fontId="14" fillId="4" borderId="1" xfId="3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4" fontId="14" fillId="4" borderId="1" xfId="3" applyNumberFormat="1" applyFont="1" applyBorder="1" applyAlignment="1">
      <alignment horizontal="center"/>
    </xf>
    <xf numFmtId="164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4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4" fontId="13" fillId="0" borderId="7" xfId="0" applyNumberFormat="1" applyFont="1" applyBorder="1"/>
    <xf numFmtId="0" fontId="13" fillId="0" borderId="7" xfId="0" applyFont="1" applyFill="1" applyBorder="1"/>
    <xf numFmtId="164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4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4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4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4" fontId="13" fillId="0" borderId="16" xfId="0" applyNumberFormat="1" applyFont="1" applyBorder="1"/>
    <xf numFmtId="164" fontId="13" fillId="0" borderId="9" xfId="0" applyNumberFormat="1" applyFont="1" applyBorder="1"/>
    <xf numFmtId="164" fontId="13" fillId="0" borderId="18" xfId="0" applyNumberFormat="1" applyFont="1" applyBorder="1"/>
    <xf numFmtId="164" fontId="13" fillId="0" borderId="17" xfId="0" applyNumberFormat="1" applyFont="1" applyBorder="1" applyAlignment="1">
      <alignment horizontal="right"/>
    </xf>
    <xf numFmtId="164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49" fontId="1" fillId="0" borderId="0" xfId="0" applyNumberFormat="1" applyFont="1" applyFill="1" applyAlignment="1">
      <alignment horizontal="left" wrapText="1"/>
    </xf>
    <xf numFmtId="0" fontId="1" fillId="0" borderId="0" xfId="0" applyFont="1" applyFill="1" applyBorder="1" applyAlignment="1">
      <alignment wrapText="1"/>
    </xf>
    <xf numFmtId="0" fontId="1" fillId="0" borderId="0" xfId="0" applyFont="1" applyAlignment="1">
      <alignment wrapText="1"/>
    </xf>
    <xf numFmtId="49" fontId="1" fillId="0" borderId="0" xfId="0" applyNumberFormat="1" applyFont="1" applyFill="1" applyBorder="1" applyAlignment="1">
      <alignment wrapText="1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Fill="1" applyAlignment="1">
      <alignment horizontal="left" vertical="center"/>
    </xf>
    <xf numFmtId="0" fontId="1" fillId="0" borderId="0" xfId="0" applyFont="1" applyAlignment="1">
      <alignment vertical="center" wrapText="1"/>
    </xf>
    <xf numFmtId="0" fontId="1" fillId="18" borderId="0" xfId="0" applyFont="1" applyFill="1" applyAlignment="1">
      <alignment horizontal="center"/>
    </xf>
    <xf numFmtId="0" fontId="1" fillId="18" borderId="0" xfId="0" applyFont="1" applyFill="1"/>
    <xf numFmtId="49" fontId="1" fillId="18" borderId="0" xfId="0" applyNumberFormat="1" applyFont="1" applyFill="1" applyAlignment="1">
      <alignment horizontal="left"/>
    </xf>
    <xf numFmtId="49" fontId="1" fillId="18" borderId="0" xfId="0" applyNumberFormat="1" applyFont="1" applyFill="1"/>
    <xf numFmtId="49" fontId="1" fillId="18" borderId="0" xfId="0" applyNumberFormat="1" applyFont="1" applyFill="1" applyAlignment="1">
      <alignment horizontal="center"/>
    </xf>
    <xf numFmtId="0" fontId="13" fillId="16" borderId="5" xfId="0" applyFont="1" applyFill="1" applyBorder="1" applyAlignment="1">
      <alignment horizontal="center"/>
    </xf>
    <xf numFmtId="49" fontId="13" fillId="16" borderId="5" xfId="0" applyNumberFormat="1" applyFont="1" applyFill="1" applyBorder="1"/>
    <xf numFmtId="14" fontId="13" fillId="16" borderId="5" xfId="0" applyNumberFormat="1" applyFont="1" applyFill="1" applyBorder="1" applyAlignment="1">
      <alignment horizontal="left"/>
    </xf>
    <xf numFmtId="0" fontId="1" fillId="19" borderId="1" xfId="0" applyFont="1" applyFill="1" applyBorder="1" applyAlignment="1">
      <alignment horizontal="center"/>
    </xf>
    <xf numFmtId="0" fontId="1" fillId="19" borderId="1" xfId="0" applyFont="1" applyFill="1" applyBorder="1"/>
    <xf numFmtId="49" fontId="1" fillId="19" borderId="1" xfId="0" applyNumberFormat="1" applyFont="1" applyFill="1" applyBorder="1" applyAlignment="1">
      <alignment horizontal="left"/>
    </xf>
    <xf numFmtId="49" fontId="1" fillId="19" borderId="1" xfId="0" applyNumberFormat="1" applyFont="1" applyFill="1" applyBorder="1"/>
    <xf numFmtId="0" fontId="13" fillId="16" borderId="5" xfId="0" applyFont="1" applyFill="1" applyBorder="1" applyAlignment="1">
      <alignment horizontal="left"/>
    </xf>
    <xf numFmtId="0" fontId="1" fillId="19" borderId="1" xfId="0" applyFont="1" applyFill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18" borderId="0" xfId="0" applyFont="1" applyFill="1" applyAlignment="1">
      <alignment horizontal="center" vertical="center"/>
    </xf>
    <xf numFmtId="0" fontId="1" fillId="18" borderId="0" xfId="0" applyFont="1" applyFill="1" applyAlignment="1">
      <alignment vertical="center"/>
    </xf>
    <xf numFmtId="14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horizontal="left" vertical="center"/>
    </xf>
    <xf numFmtId="49" fontId="1" fillId="18" borderId="0" xfId="0" applyNumberFormat="1" applyFont="1" applyFill="1" applyAlignment="1">
      <alignment vertical="center" wrapText="1"/>
    </xf>
    <xf numFmtId="49" fontId="1" fillId="18" borderId="0" xfId="0" applyNumberFormat="1" applyFont="1" applyFill="1" applyAlignment="1">
      <alignment horizontal="center" vertical="center"/>
    </xf>
    <xf numFmtId="0" fontId="13" fillId="19" borderId="1" xfId="0" applyFont="1" applyFill="1" applyBorder="1" applyAlignment="1">
      <alignment horizontal="center" vertical="center"/>
    </xf>
    <xf numFmtId="0" fontId="13" fillId="19" borderId="1" xfId="0" applyFont="1" applyFill="1" applyBorder="1" applyAlignment="1">
      <alignment vertical="center"/>
    </xf>
    <xf numFmtId="14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horizontal="left" vertical="center"/>
    </xf>
    <xf numFmtId="49" fontId="1" fillId="19" borderId="1" xfId="0" applyNumberFormat="1" applyFont="1" applyFill="1" applyBorder="1" applyAlignment="1">
      <alignment vertical="center" wrapText="1"/>
    </xf>
    <xf numFmtId="0" fontId="13" fillId="19" borderId="1" xfId="0" applyFont="1" applyFill="1" applyBorder="1"/>
    <xf numFmtId="49" fontId="1" fillId="19" borderId="1" xfId="0" applyNumberFormat="1" applyFont="1" applyFill="1" applyBorder="1" applyAlignment="1">
      <alignment vertical="center"/>
    </xf>
    <xf numFmtId="0" fontId="13" fillId="19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/>
    </xf>
    <xf numFmtId="14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Alignment="1">
      <alignment horizontal="center"/>
    </xf>
    <xf numFmtId="0" fontId="1" fillId="18" borderId="0" xfId="0" applyFont="1" applyFill="1" applyBorder="1" applyAlignment="1">
      <alignment horizontal="center"/>
    </xf>
    <xf numFmtId="0" fontId="1" fillId="18" borderId="0" xfId="0" applyFont="1" applyFill="1" applyBorder="1" applyAlignment="1">
      <alignment horizontal="left"/>
    </xf>
    <xf numFmtId="14" fontId="1" fillId="18" borderId="0" xfId="0" applyNumberFormat="1" applyFont="1" applyFill="1" applyBorder="1" applyAlignment="1">
      <alignment horizontal="left"/>
    </xf>
    <xf numFmtId="49" fontId="1" fillId="18" borderId="0" xfId="0" applyNumberFormat="1" applyFont="1" applyFill="1" applyBorder="1" applyAlignment="1"/>
    <xf numFmtId="0" fontId="1" fillId="18" borderId="0" xfId="0" applyFont="1" applyFill="1" applyBorder="1"/>
    <xf numFmtId="0" fontId="0" fillId="18" borderId="0" xfId="0" applyFill="1" applyBorder="1"/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14" fontId="1" fillId="0" borderId="0" xfId="0" applyNumberFormat="1" applyFont="1" applyFill="1" applyAlignment="1">
      <alignment horizontal="left" vertical="center"/>
    </xf>
    <xf numFmtId="49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horizontal="center" vertical="center"/>
    </xf>
    <xf numFmtId="0" fontId="9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center"/>
    </xf>
    <xf numFmtId="14" fontId="1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center" wrapText="1"/>
    </xf>
    <xf numFmtId="49" fontId="1" fillId="0" borderId="0" xfId="0" applyNumberFormat="1" applyFont="1" applyAlignment="1">
      <alignment horizontal="left" vertical="center"/>
    </xf>
    <xf numFmtId="49" fontId="23" fillId="0" borderId="0" xfId="0" applyNumberFormat="1" applyFont="1" applyAlignment="1">
      <alignment horizontal="left" vertical="center"/>
    </xf>
    <xf numFmtId="49" fontId="1" fillId="0" borderId="0" xfId="0" applyNumberFormat="1" applyFont="1" applyAlignment="1">
      <alignment vertical="center" wrapText="1"/>
    </xf>
    <xf numFmtId="49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2" fillId="17" borderId="1" xfId="0" applyFont="1" applyFill="1" applyBorder="1" applyAlignment="1">
      <alignment horizontal="center" vertical="center"/>
    </xf>
    <xf numFmtId="49" fontId="2" fillId="17" borderId="2" xfId="0" applyNumberFormat="1" applyFont="1" applyFill="1" applyBorder="1" applyAlignment="1">
      <alignment horizontal="left" vertical="center"/>
    </xf>
    <xf numFmtId="49" fontId="2" fillId="17" borderId="1" xfId="0" applyNumberFormat="1" applyFont="1" applyFill="1" applyBorder="1" applyAlignment="1">
      <alignment horizontal="center" vertical="center"/>
    </xf>
    <xf numFmtId="49" fontId="2" fillId="17" borderId="4" xfId="0" applyNumberFormat="1" applyFont="1" applyFill="1" applyBorder="1" applyAlignment="1">
      <alignment horizontal="center" vertical="center"/>
    </xf>
    <xf numFmtId="0" fontId="1" fillId="4" borderId="1" xfId="3" applyFont="1" applyBorder="1" applyAlignment="1">
      <alignment horizontal="center" vertical="center"/>
    </xf>
    <xf numFmtId="0" fontId="1" fillId="5" borderId="1" xfId="4" applyFont="1" applyBorder="1" applyAlignment="1">
      <alignment horizontal="center" vertical="center"/>
    </xf>
    <xf numFmtId="0" fontId="19" fillId="6" borderId="1" xfId="5" applyFont="1" applyBorder="1" applyAlignment="1">
      <alignment horizontal="center" vertical="center"/>
    </xf>
    <xf numFmtId="0" fontId="1" fillId="3" borderId="1" xfId="2" applyFont="1" applyBorder="1" applyAlignment="1">
      <alignment horizontal="center" vertical="center"/>
    </xf>
    <xf numFmtId="0" fontId="1" fillId="9" borderId="1" xfId="8" applyFont="1" applyBorder="1" applyAlignment="1">
      <alignment horizontal="center" vertical="center"/>
    </xf>
    <xf numFmtId="0" fontId="1" fillId="10" borderId="1" xfId="9" applyFont="1" applyBorder="1" applyAlignment="1">
      <alignment horizontal="center" vertical="center"/>
    </xf>
    <xf numFmtId="0" fontId="19" fillId="11" borderId="1" xfId="10" applyFont="1" applyBorder="1" applyAlignment="1">
      <alignment horizontal="center" vertical="center"/>
    </xf>
    <xf numFmtId="49" fontId="1" fillId="0" borderId="0" xfId="0" applyNumberFormat="1" applyFont="1" applyFill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49" fontId="1" fillId="0" borderId="0" xfId="0" applyNumberFormat="1" applyFont="1" applyFill="1" applyBorder="1" applyAlignment="1">
      <alignment vertical="center"/>
    </xf>
    <xf numFmtId="0" fontId="24" fillId="16" borderId="0" xfId="0" applyFont="1" applyFill="1"/>
    <xf numFmtId="0" fontId="24" fillId="0" borderId="0" xfId="0" applyFont="1" applyFill="1"/>
    <xf numFmtId="0" fontId="24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  <xf numFmtId="14" fontId="9" fillId="0" borderId="3" xfId="0" applyNumberFormat="1" applyFont="1" applyBorder="1" applyAlignment="1">
      <alignment horizontal="center"/>
    </xf>
    <xf numFmtId="14" fontId="9" fillId="0" borderId="4" xfId="0" applyNumberFormat="1" applyFont="1" applyBorder="1" applyAlignment="1">
      <alignment horizontal="center"/>
    </xf>
    <xf numFmtId="0" fontId="18" fillId="2" borderId="1" xfId="1" applyFont="1" applyBorder="1" applyAlignment="1">
      <alignment horizontal="center" vertical="center"/>
    </xf>
    <xf numFmtId="0" fontId="19" fillId="7" borderId="1" xfId="6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0" fillId="0" borderId="0" xfId="0" applyFont="1" applyAlignment="1">
      <alignment vertical="center"/>
    </xf>
    <xf numFmtId="0" fontId="5" fillId="2" borderId="1" xfId="1" applyFont="1" applyBorder="1" applyAlignment="1">
      <alignment horizontal="center" vertical="center"/>
    </xf>
    <xf numFmtId="0" fontId="6" fillId="7" borderId="1" xfId="6" applyFont="1" applyBorder="1" applyAlignment="1">
      <alignment horizontal="center" vertical="center"/>
    </xf>
    <xf numFmtId="0" fontId="6" fillId="8" borderId="1" xfId="7" applyFont="1" applyBorder="1" applyAlignment="1">
      <alignment horizontal="center" vertical="center" wrapText="1"/>
    </xf>
    <xf numFmtId="0" fontId="6" fillId="8" borderId="1" xfId="7" applyFont="1" applyBorder="1" applyAlignment="1">
      <alignment horizontal="center" vertical="center"/>
    </xf>
    <xf numFmtId="0" fontId="0" fillId="4" borderId="1" xfId="3" applyFont="1" applyBorder="1" applyAlignment="1">
      <alignment horizontal="center" vertical="center"/>
    </xf>
    <xf numFmtId="0" fontId="0" fillId="5" borderId="1" xfId="4" applyFont="1" applyBorder="1" applyAlignment="1">
      <alignment horizontal="center" vertical="center"/>
    </xf>
    <xf numFmtId="0" fontId="6" fillId="6" borderId="1" xfId="5" applyFont="1" applyBorder="1" applyAlignment="1">
      <alignment horizontal="center" vertical="center"/>
    </xf>
    <xf numFmtId="0" fontId="0" fillId="3" borderId="1" xfId="2" applyFont="1" applyBorder="1" applyAlignment="1">
      <alignment horizontal="center" vertical="center"/>
    </xf>
    <xf numFmtId="0" fontId="0" fillId="9" borderId="1" xfId="8" applyFont="1" applyBorder="1" applyAlignment="1">
      <alignment horizontal="center" vertical="center"/>
    </xf>
    <xf numFmtId="0" fontId="0" fillId="10" borderId="1" xfId="9" applyFont="1" applyBorder="1" applyAlignment="1">
      <alignment horizontal="center" vertical="center"/>
    </xf>
    <xf numFmtId="0" fontId="6" fillId="11" borderId="1" xfId="10" applyFont="1" applyBorder="1" applyAlignment="1">
      <alignment horizontal="center" vertical="center"/>
    </xf>
    <xf numFmtId="0" fontId="26" fillId="17" borderId="5" xfId="0" applyFont="1" applyFill="1" applyBorder="1" applyAlignment="1">
      <alignment horizontal="center" vertical="center"/>
    </xf>
    <xf numFmtId="0" fontId="26" fillId="17" borderId="7" xfId="0" applyFont="1" applyFill="1" applyBorder="1" applyAlignment="1">
      <alignment horizontal="center" vertical="center"/>
    </xf>
    <xf numFmtId="49" fontId="26" fillId="17" borderId="5" xfId="0" applyNumberFormat="1" applyFont="1" applyFill="1" applyBorder="1" applyAlignment="1">
      <alignment horizontal="center" vertical="center"/>
    </xf>
    <xf numFmtId="49" fontId="26" fillId="17" borderId="7" xfId="0" applyNumberFormat="1" applyFont="1" applyFill="1" applyBorder="1" applyAlignment="1">
      <alignment horizontal="center" vertical="center"/>
    </xf>
    <xf numFmtId="0" fontId="0" fillId="21" borderId="1" xfId="0" applyFill="1" applyBorder="1" applyAlignment="1">
      <alignment horizontal="center"/>
    </xf>
    <xf numFmtId="3" fontId="0" fillId="0" borderId="1" xfId="0" applyNumberFormat="1" applyBorder="1"/>
    <xf numFmtId="0" fontId="0" fillId="0" borderId="20" xfId="0" applyFill="1" applyBorder="1"/>
    <xf numFmtId="3" fontId="0" fillId="0" borderId="1" xfId="0" applyNumberFormat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0" fillId="15" borderId="1" xfId="0" applyFill="1" applyBorder="1"/>
    <xf numFmtId="3" fontId="0" fillId="15" borderId="1" xfId="0" applyNumberFormat="1" applyFill="1" applyBorder="1"/>
    <xf numFmtId="14" fontId="0" fillId="0" borderId="1" xfId="0" applyNumberFormat="1" applyBorder="1"/>
    <xf numFmtId="49" fontId="6" fillId="14" borderId="0" xfId="0" applyNumberFormat="1" applyFont="1" applyFill="1" applyAlignment="1">
      <alignment horizontal="center" vertical="center"/>
    </xf>
    <xf numFmtId="49" fontId="0" fillId="22" borderId="0" xfId="0" applyNumberFormat="1" applyFont="1" applyFill="1" applyAlignment="1">
      <alignment horizontal="left" vertical="center" wrapText="1"/>
    </xf>
    <xf numFmtId="49" fontId="6" fillId="20" borderId="0" xfId="0" applyNumberFormat="1" applyFont="1" applyFill="1" applyAlignment="1">
      <alignment horizontal="left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"/>
  <sheetViews>
    <sheetView workbookViewId="0">
      <selection activeCell="G10" sqref="G10"/>
    </sheetView>
  </sheetViews>
  <sheetFormatPr defaultRowHeight="17.25" x14ac:dyDescent="0.3"/>
  <cols>
    <col min="1" max="1" width="5.7109375" style="241" customWidth="1"/>
    <col min="2" max="2" width="24.140625" style="231" customWidth="1"/>
    <col min="3" max="3" width="16.7109375" style="231" customWidth="1"/>
    <col min="4" max="4" width="17.7109375" style="231" customWidth="1"/>
    <col min="5" max="5" width="41" style="231" customWidth="1"/>
    <col min="6" max="6" width="19.42578125" style="231" customWidth="1"/>
    <col min="7" max="7" width="30.5703125" style="231" customWidth="1"/>
    <col min="8" max="8" width="22.28515625" style="242" customWidth="1"/>
    <col min="9" max="9" width="22.5703125" style="231" customWidth="1"/>
    <col min="10" max="10" width="19.7109375" style="231" customWidth="1"/>
    <col min="11" max="16384" width="9.140625" style="231"/>
  </cols>
  <sheetData>
    <row r="1" spans="1:23" x14ac:dyDescent="0.3">
      <c r="A1" s="228" t="s">
        <v>6</v>
      </c>
      <c r="B1" s="229" t="s">
        <v>5</v>
      </c>
      <c r="C1" s="229" t="s">
        <v>139</v>
      </c>
      <c r="D1" s="229" t="s">
        <v>140</v>
      </c>
      <c r="E1" s="229" t="s">
        <v>117</v>
      </c>
      <c r="F1" s="229" t="s">
        <v>141</v>
      </c>
      <c r="G1" s="229" t="s">
        <v>146</v>
      </c>
      <c r="H1" s="230" t="s">
        <v>142</v>
      </c>
      <c r="I1" s="229" t="s">
        <v>144</v>
      </c>
      <c r="J1" s="229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6" customFormat="1" x14ac:dyDescent="0.3">
      <c r="A2" s="232">
        <v>1</v>
      </c>
      <c r="B2" s="233" t="s">
        <v>108</v>
      </c>
      <c r="C2" s="233" t="s">
        <v>109</v>
      </c>
      <c r="D2" s="233" t="s">
        <v>110</v>
      </c>
      <c r="E2" s="233" t="s">
        <v>120</v>
      </c>
      <c r="F2" s="234" t="s">
        <v>79</v>
      </c>
      <c r="G2" s="235" t="s">
        <v>149</v>
      </c>
      <c r="H2" s="235" t="s">
        <v>143</v>
      </c>
      <c r="I2" s="234" t="s">
        <v>296</v>
      </c>
      <c r="J2" s="234"/>
      <c r="K2" s="234"/>
      <c r="L2" s="234"/>
      <c r="M2" s="234"/>
      <c r="N2" s="234"/>
      <c r="O2" s="234"/>
      <c r="P2" s="234"/>
      <c r="Q2" s="234"/>
      <c r="R2" s="234"/>
      <c r="S2" s="234"/>
      <c r="T2" s="234"/>
      <c r="U2" s="234"/>
      <c r="V2" s="234"/>
    </row>
    <row r="3" spans="1:23" s="236" customFormat="1" ht="21" customHeight="1" x14ac:dyDescent="0.3">
      <c r="A3" s="232">
        <v>2</v>
      </c>
      <c r="B3" s="234" t="s">
        <v>63</v>
      </c>
      <c r="C3" s="233" t="s">
        <v>85</v>
      </c>
      <c r="D3" s="233" t="s">
        <v>86</v>
      </c>
      <c r="E3" s="233" t="s">
        <v>125</v>
      </c>
      <c r="F3" s="233" t="s">
        <v>89</v>
      </c>
      <c r="G3" s="237" t="s">
        <v>154</v>
      </c>
      <c r="H3" s="237" t="s">
        <v>171</v>
      </c>
      <c r="I3" s="233" t="s">
        <v>298</v>
      </c>
      <c r="J3" s="234" t="s">
        <v>209</v>
      </c>
      <c r="K3" s="234"/>
      <c r="L3" s="234"/>
      <c r="M3" s="234"/>
      <c r="N3" s="234"/>
      <c r="O3" s="234"/>
      <c r="P3" s="234"/>
      <c r="Q3" s="234"/>
      <c r="R3" s="234"/>
      <c r="S3" s="234"/>
      <c r="T3" s="234"/>
      <c r="U3" s="234"/>
      <c r="V3" s="234"/>
    </row>
    <row r="4" spans="1:23" s="236" customFormat="1" x14ac:dyDescent="0.3">
      <c r="A4" s="232">
        <v>3</v>
      </c>
      <c r="B4" s="234" t="s">
        <v>225</v>
      </c>
      <c r="C4" s="240">
        <v>35560</v>
      </c>
      <c r="D4" s="239" t="s">
        <v>262</v>
      </c>
      <c r="E4" s="237" t="s">
        <v>261</v>
      </c>
      <c r="F4" s="237" t="s">
        <v>69</v>
      </c>
      <c r="G4" s="237" t="s">
        <v>174</v>
      </c>
      <c r="H4" s="235" t="s">
        <v>291</v>
      </c>
      <c r="I4" s="234" t="s">
        <v>292</v>
      </c>
      <c r="J4" s="234" t="s">
        <v>495</v>
      </c>
      <c r="K4" s="234"/>
      <c r="L4" s="234"/>
      <c r="M4" s="234"/>
      <c r="N4" s="234"/>
      <c r="O4" s="234"/>
      <c r="P4" s="234"/>
      <c r="Q4" s="234"/>
      <c r="R4" s="234"/>
      <c r="S4" s="234"/>
      <c r="T4" s="234"/>
      <c r="U4" s="234"/>
      <c r="V4" s="234"/>
    </row>
    <row r="5" spans="1:23" s="238" customFormat="1" x14ac:dyDescent="0.3">
      <c r="A5" s="232">
        <v>4</v>
      </c>
      <c r="B5" s="234" t="s">
        <v>195</v>
      </c>
      <c r="C5" s="234"/>
      <c r="D5" s="234"/>
      <c r="E5" s="234"/>
      <c r="F5" s="234" t="s">
        <v>293</v>
      </c>
      <c r="G5" s="235" t="s">
        <v>176</v>
      </c>
      <c r="H5" s="240" t="s">
        <v>295</v>
      </c>
      <c r="I5" s="240" t="s">
        <v>294</v>
      </c>
      <c r="J5" s="234"/>
      <c r="K5" s="234"/>
      <c r="L5" s="234"/>
      <c r="M5" s="234"/>
      <c r="N5" s="234"/>
      <c r="O5" s="234"/>
      <c r="P5" s="234"/>
      <c r="Q5" s="234"/>
      <c r="R5" s="234"/>
      <c r="S5" s="234"/>
      <c r="T5" s="234"/>
      <c r="U5" s="234"/>
      <c r="V5" s="234"/>
      <c r="W5" s="243"/>
    </row>
    <row r="6" spans="1:23" s="234" customFormat="1" x14ac:dyDescent="0.3">
      <c r="A6" s="232">
        <v>5</v>
      </c>
      <c r="B6" s="234" t="s">
        <v>210</v>
      </c>
      <c r="C6" s="235" t="s">
        <v>287</v>
      </c>
      <c r="D6" s="239" t="s">
        <v>288</v>
      </c>
      <c r="E6" s="234" t="s">
        <v>289</v>
      </c>
      <c r="G6" s="235" t="s">
        <v>299</v>
      </c>
      <c r="H6" s="235" t="s">
        <v>291</v>
      </c>
      <c r="I6" s="234" t="s">
        <v>297</v>
      </c>
      <c r="W6" s="244"/>
    </row>
    <row r="7" spans="1:23" s="234" customFormat="1" x14ac:dyDescent="0.3">
      <c r="A7" s="232">
        <v>6</v>
      </c>
      <c r="B7" s="234" t="s">
        <v>188</v>
      </c>
      <c r="C7" s="237" t="s">
        <v>256</v>
      </c>
      <c r="D7" s="233" t="s">
        <v>189</v>
      </c>
      <c r="E7" s="233" t="s">
        <v>257</v>
      </c>
      <c r="F7" s="237" t="s">
        <v>89</v>
      </c>
      <c r="G7" s="235" t="s">
        <v>492</v>
      </c>
      <c r="H7" s="235" t="s">
        <v>493</v>
      </c>
      <c r="I7" s="234" t="s">
        <v>494</v>
      </c>
      <c r="J7" s="234" t="s">
        <v>586</v>
      </c>
      <c r="W7" s="244"/>
    </row>
    <row r="8" spans="1:23" s="236" customFormat="1" x14ac:dyDescent="0.3">
      <c r="A8" s="258">
        <v>7</v>
      </c>
      <c r="B8" s="238" t="s">
        <v>519</v>
      </c>
      <c r="C8" s="238"/>
      <c r="D8" s="259" t="s">
        <v>518</v>
      </c>
      <c r="E8" s="238"/>
      <c r="F8" s="238"/>
      <c r="G8" s="265" t="s">
        <v>520</v>
      </c>
      <c r="H8" s="260">
        <v>43437</v>
      </c>
      <c r="I8" s="260">
        <v>43443</v>
      </c>
      <c r="J8" s="238" t="s">
        <v>589</v>
      </c>
      <c r="K8" s="258">
        <v>4</v>
      </c>
      <c r="L8" s="258">
        <v>11</v>
      </c>
      <c r="M8" s="258">
        <v>4</v>
      </c>
      <c r="N8" s="258">
        <v>8</v>
      </c>
      <c r="O8" s="258">
        <v>15</v>
      </c>
      <c r="P8" s="258">
        <v>4</v>
      </c>
      <c r="Q8" s="258">
        <v>13</v>
      </c>
      <c r="R8" s="258">
        <f>SUM(K8:N8)</f>
        <v>27</v>
      </c>
      <c r="S8" s="258">
        <f>SUM(O8:Q8)</f>
        <v>32</v>
      </c>
      <c r="T8" s="258">
        <v>115</v>
      </c>
      <c r="U8" s="258">
        <v>100</v>
      </c>
      <c r="V8" s="258">
        <f>T8+U8</f>
        <v>215</v>
      </c>
    </row>
    <row r="9" spans="1:23" s="262" customFormat="1" ht="18.75" x14ac:dyDescent="0.3">
      <c r="A9" s="261">
        <v>8</v>
      </c>
      <c r="B9" s="262" t="s">
        <v>550</v>
      </c>
      <c r="C9" s="263" t="s">
        <v>389</v>
      </c>
      <c r="D9" s="263" t="s">
        <v>551</v>
      </c>
      <c r="E9" s="264"/>
      <c r="F9" s="263" t="s">
        <v>574</v>
      </c>
      <c r="G9" s="263" t="s">
        <v>582</v>
      </c>
      <c r="H9" s="266" t="s">
        <v>583</v>
      </c>
      <c r="I9" s="266" t="s">
        <v>584</v>
      </c>
    </row>
    <row r="10" spans="1:23" s="279" customFormat="1" ht="37.5" x14ac:dyDescent="0.3">
      <c r="A10" s="274">
        <v>9</v>
      </c>
      <c r="B10" s="275" t="s">
        <v>546</v>
      </c>
      <c r="C10" s="276" t="s">
        <v>580</v>
      </c>
      <c r="D10" s="277" t="s">
        <v>547</v>
      </c>
      <c r="E10" s="278" t="s">
        <v>581</v>
      </c>
      <c r="F10" s="277" t="s">
        <v>79</v>
      </c>
      <c r="G10" s="280" t="s">
        <v>582</v>
      </c>
      <c r="H10" s="281" t="s">
        <v>587</v>
      </c>
      <c r="I10" s="275" t="s">
        <v>588</v>
      </c>
    </row>
    <row r="11" spans="1:23" s="39" customFormat="1" x14ac:dyDescent="0.3">
      <c r="A11" s="291">
        <v>10</v>
      </c>
      <c r="B11" s="39" t="s">
        <v>549</v>
      </c>
      <c r="G11" s="292" t="s">
        <v>593</v>
      </c>
      <c r="H11" s="292" t="s">
        <v>594</v>
      </c>
      <c r="I11" s="39" t="s">
        <v>595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40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0" customWidth="1"/>
    <col min="5" max="5" width="22.28515625" style="66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79"/>
      <c r="E1" s="65"/>
      <c r="F1" s="38"/>
      <c r="G1" s="38"/>
    </row>
    <row r="2" spans="1:8" ht="18.75" x14ac:dyDescent="0.3">
      <c r="A2" s="328" t="s">
        <v>165</v>
      </c>
      <c r="B2" s="328"/>
      <c r="C2" s="328"/>
      <c r="D2" s="328"/>
      <c r="E2" s="328"/>
      <c r="F2" s="328"/>
      <c r="G2" s="38"/>
    </row>
    <row r="3" spans="1:8" x14ac:dyDescent="0.25">
      <c r="B3" s="68" t="s">
        <v>166</v>
      </c>
      <c r="C3" s="69">
        <f ca="1">MONTH(TODAY())</f>
        <v>8</v>
      </c>
      <c r="D3" s="79"/>
      <c r="E3" s="66" t="s">
        <v>167</v>
      </c>
      <c r="G3" t="s">
        <v>227</v>
      </c>
      <c r="H3" s="70">
        <f ca="1">TODAY()</f>
        <v>43332</v>
      </c>
    </row>
    <row r="5" spans="1:8" ht="17.25" x14ac:dyDescent="0.3">
      <c r="A5" s="81" t="s">
        <v>6</v>
      </c>
      <c r="B5" s="81" t="s">
        <v>5</v>
      </c>
      <c r="C5" s="81" t="s">
        <v>163</v>
      </c>
      <c r="D5" s="82" t="s">
        <v>139</v>
      </c>
      <c r="E5" s="83" t="s">
        <v>164</v>
      </c>
      <c r="F5" s="81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7">
        <v>34475</v>
      </c>
      <c r="E6" s="67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7">
        <v>34387</v>
      </c>
      <c r="E7" s="67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7">
        <v>34131</v>
      </c>
      <c r="E8" s="67">
        <f t="shared" ca="1" si="0"/>
        <v>43262</v>
      </c>
      <c r="F8" s="39" t="str">
        <f t="shared" ca="1" si="1"/>
        <v>Đã xong</v>
      </c>
    </row>
    <row r="9" spans="1:8" ht="17.25" x14ac:dyDescent="0.3">
      <c r="A9" s="77">
        <v>4</v>
      </c>
      <c r="B9" s="77" t="s">
        <v>59</v>
      </c>
      <c r="C9" s="77" t="s">
        <v>154</v>
      </c>
      <c r="D9" s="78">
        <v>34926</v>
      </c>
      <c r="E9" s="67">
        <f t="shared" ca="1" si="0"/>
        <v>43327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7">
        <v>35546</v>
      </c>
      <c r="E10" s="67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7">
        <v>32300</v>
      </c>
      <c r="E11" s="67">
        <f t="shared" ca="1" si="0"/>
        <v>43257</v>
      </c>
      <c r="F11" s="39" t="str">
        <f t="shared" ca="1" si="1"/>
        <v>Đã xong</v>
      </c>
      <c r="G11" s="71"/>
    </row>
    <row r="12" spans="1:8" ht="17.25" x14ac:dyDescent="0.3">
      <c r="A12" s="39">
        <v>7</v>
      </c>
      <c r="B12" s="39" t="s">
        <v>63</v>
      </c>
      <c r="C12" s="39" t="s">
        <v>154</v>
      </c>
      <c r="D12" s="67">
        <v>35748</v>
      </c>
      <c r="E12" s="67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7">
        <v>35756</v>
      </c>
      <c r="E13" s="67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7">
        <v>35443</v>
      </c>
      <c r="E14" s="67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2">
        <v>10</v>
      </c>
      <c r="B15" s="92" t="s">
        <v>135</v>
      </c>
      <c r="C15" s="92" t="s">
        <v>154</v>
      </c>
      <c r="D15" s="93">
        <v>35414</v>
      </c>
      <c r="E15" s="93">
        <f t="shared" ca="1" si="0"/>
        <v>43449</v>
      </c>
      <c r="F15" s="92" t="str">
        <f t="shared" ca="1" si="1"/>
        <v/>
      </c>
    </row>
    <row r="16" spans="1:8" ht="18" thickTop="1" x14ac:dyDescent="0.3">
      <c r="A16" s="87">
        <v>11</v>
      </c>
      <c r="B16" s="87" t="s">
        <v>111</v>
      </c>
      <c r="C16" s="87" t="s">
        <v>149</v>
      </c>
      <c r="D16" s="88">
        <v>35096</v>
      </c>
      <c r="E16" s="88">
        <f t="shared" ca="1" si="0"/>
        <v>43132</v>
      </c>
      <c r="F16" s="87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7">
        <v>34737</v>
      </c>
      <c r="E17" s="67">
        <f t="shared" ca="1" si="0"/>
        <v>43138</v>
      </c>
      <c r="F17" s="39" t="str">
        <f t="shared" ca="1" si="1"/>
        <v>Đã xong</v>
      </c>
    </row>
    <row r="18" spans="1:6" ht="17.25" x14ac:dyDescent="0.3">
      <c r="A18" s="77">
        <v>13</v>
      </c>
      <c r="B18" s="77" t="s">
        <v>58</v>
      </c>
      <c r="C18" s="77" t="s">
        <v>149</v>
      </c>
      <c r="D18" s="78">
        <v>35318</v>
      </c>
      <c r="E18" s="67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7">
        <v>34700</v>
      </c>
      <c r="E19" s="67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7">
        <v>35409</v>
      </c>
      <c r="E20" s="67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7">
        <v>35248</v>
      </c>
      <c r="E21" s="67">
        <f t="shared" ca="1" si="0"/>
        <v>43283</v>
      </c>
      <c r="F21" s="39" t="str">
        <f t="shared" ca="1" si="1"/>
        <v>Đã xong</v>
      </c>
    </row>
    <row r="22" spans="1:6" ht="18" thickBot="1" x14ac:dyDescent="0.35">
      <c r="A22" s="92">
        <v>17</v>
      </c>
      <c r="B22" s="94" t="s">
        <v>113</v>
      </c>
      <c r="C22" s="92" t="s">
        <v>149</v>
      </c>
      <c r="D22" s="93">
        <v>35166</v>
      </c>
      <c r="E22" s="93">
        <f ca="1">IF(D22="","",DATE(YEAR(TODAY()),MONTH(D22),DAY(D22)))</f>
        <v>43201</v>
      </c>
      <c r="F22" s="92" t="str">
        <f t="shared" ca="1" si="1"/>
        <v>Đã xong</v>
      </c>
    </row>
    <row r="23" spans="1:6" ht="18" thickTop="1" x14ac:dyDescent="0.3">
      <c r="A23" s="89">
        <v>18</v>
      </c>
      <c r="B23" s="87" t="s">
        <v>172</v>
      </c>
      <c r="C23" s="89" t="s">
        <v>174</v>
      </c>
      <c r="D23" s="90">
        <v>35376</v>
      </c>
      <c r="E23" s="88">
        <f t="shared" ref="E23:E24" ca="1" si="2">IF(D23="","",DATE(YEAR(TODAY()),MONTH(D23),DAY(D23)))</f>
        <v>43411</v>
      </c>
      <c r="F23" s="87" t="str">
        <f t="shared" ca="1" si="1"/>
        <v/>
      </c>
    </row>
    <row r="24" spans="1:6" ht="17.25" x14ac:dyDescent="0.3">
      <c r="A24" s="77">
        <v>19</v>
      </c>
      <c r="B24" s="39" t="s">
        <v>185</v>
      </c>
      <c r="C24" s="77" t="s">
        <v>174</v>
      </c>
      <c r="D24" s="84">
        <v>34341</v>
      </c>
      <c r="E24" s="67">
        <f t="shared" ca="1" si="2"/>
        <v>43107</v>
      </c>
      <c r="F24" s="39" t="str">
        <f t="shared" ca="1" si="1"/>
        <v>Đã xong</v>
      </c>
    </row>
    <row r="25" spans="1:6" ht="17.25" x14ac:dyDescent="0.3">
      <c r="A25" s="77">
        <v>20</v>
      </c>
      <c r="B25" s="39" t="s">
        <v>188</v>
      </c>
      <c r="C25" s="77" t="s">
        <v>174</v>
      </c>
      <c r="D25" s="84">
        <v>34728</v>
      </c>
      <c r="E25" s="67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7">
        <v>21</v>
      </c>
      <c r="B26" s="39" t="s">
        <v>190</v>
      </c>
      <c r="C26" s="77" t="s">
        <v>174</v>
      </c>
      <c r="D26" s="84">
        <v>35786</v>
      </c>
      <c r="E26" s="67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7">
        <v>22</v>
      </c>
      <c r="B27" s="39" t="s">
        <v>192</v>
      </c>
      <c r="C27" s="77" t="s">
        <v>174</v>
      </c>
      <c r="D27" s="84">
        <v>35342</v>
      </c>
      <c r="E27" s="67">
        <f t="shared" ca="1" si="3"/>
        <v>43377</v>
      </c>
      <c r="F27" s="39" t="str">
        <f t="shared" ca="1" si="1"/>
        <v/>
      </c>
    </row>
    <row r="28" spans="1:6" ht="17.25" x14ac:dyDescent="0.3">
      <c r="A28" s="77">
        <v>23</v>
      </c>
      <c r="B28" s="39" t="s">
        <v>198</v>
      </c>
      <c r="C28" s="77" t="s">
        <v>174</v>
      </c>
      <c r="D28" s="84">
        <v>35695</v>
      </c>
      <c r="E28" s="67">
        <f t="shared" ca="1" si="3"/>
        <v>43365</v>
      </c>
      <c r="F28" s="39" t="str">
        <f t="shared" ca="1" si="1"/>
        <v/>
      </c>
    </row>
    <row r="29" spans="1:6" ht="17.25" x14ac:dyDescent="0.3">
      <c r="A29" s="77">
        <v>24</v>
      </c>
      <c r="B29" s="39" t="s">
        <v>202</v>
      </c>
      <c r="C29" s="77" t="s">
        <v>174</v>
      </c>
      <c r="D29" s="84">
        <v>34851</v>
      </c>
      <c r="E29" s="67">
        <f t="shared" ca="1" si="3"/>
        <v>43252</v>
      </c>
      <c r="F29" s="39" t="str">
        <f t="shared" ca="1" si="1"/>
        <v>Đã xong</v>
      </c>
    </row>
    <row r="30" spans="1:6" ht="17.25" x14ac:dyDescent="0.3">
      <c r="A30" s="77">
        <v>25</v>
      </c>
      <c r="B30" s="39" t="s">
        <v>203</v>
      </c>
      <c r="C30" s="77" t="s">
        <v>174</v>
      </c>
      <c r="D30" s="84">
        <v>35353</v>
      </c>
      <c r="E30" s="67">
        <f t="shared" ca="1" si="3"/>
        <v>43388</v>
      </c>
      <c r="F30" s="39" t="str">
        <f t="shared" ca="1" si="1"/>
        <v/>
      </c>
    </row>
    <row r="31" spans="1:6" ht="17.25" x14ac:dyDescent="0.3">
      <c r="A31" s="77">
        <v>26</v>
      </c>
      <c r="B31" s="39" t="s">
        <v>205</v>
      </c>
      <c r="C31" s="77" t="s">
        <v>174</v>
      </c>
      <c r="D31" s="84">
        <v>35486</v>
      </c>
      <c r="E31" s="67">
        <f t="shared" ca="1" si="3"/>
        <v>43156</v>
      </c>
      <c r="F31" s="39" t="str">
        <f t="shared" ca="1" si="1"/>
        <v>Đã xong</v>
      </c>
    </row>
    <row r="32" spans="1:6" ht="17.25" x14ac:dyDescent="0.3">
      <c r="A32" s="77">
        <v>27</v>
      </c>
      <c r="B32" s="39" t="s">
        <v>206</v>
      </c>
      <c r="C32" s="77" t="s">
        <v>174</v>
      </c>
      <c r="D32" s="84">
        <v>36260</v>
      </c>
      <c r="E32" s="67">
        <f t="shared" ca="1" si="3"/>
        <v>43200</v>
      </c>
      <c r="F32" s="39" t="str">
        <f t="shared" ca="1" si="1"/>
        <v>Đã xong</v>
      </c>
    </row>
    <row r="33" spans="1:6" ht="17.25" x14ac:dyDescent="0.3">
      <c r="A33" s="77">
        <v>28</v>
      </c>
      <c r="B33" s="39" t="s">
        <v>207</v>
      </c>
      <c r="C33" s="77" t="s">
        <v>174</v>
      </c>
      <c r="D33" s="84">
        <v>35883</v>
      </c>
      <c r="E33" s="67">
        <f t="shared" ca="1" si="3"/>
        <v>43188</v>
      </c>
      <c r="F33" s="39" t="str">
        <f t="shared" ca="1" si="1"/>
        <v>Đã xong</v>
      </c>
    </row>
    <row r="34" spans="1:6" ht="17.25" x14ac:dyDescent="0.3">
      <c r="A34" s="77">
        <v>29</v>
      </c>
      <c r="B34" s="85" t="s">
        <v>63</v>
      </c>
      <c r="C34" s="77" t="s">
        <v>174</v>
      </c>
      <c r="D34" s="86">
        <v>35748</v>
      </c>
      <c r="E34" s="67">
        <f t="shared" ca="1" si="3"/>
        <v>43418</v>
      </c>
      <c r="F34" s="39" t="str">
        <f t="shared" ca="1" si="1"/>
        <v/>
      </c>
    </row>
    <row r="35" spans="1:6" ht="17.25" x14ac:dyDescent="0.3">
      <c r="A35" s="77">
        <v>30</v>
      </c>
      <c r="B35" s="39" t="s">
        <v>210</v>
      </c>
      <c r="C35" s="77" t="s">
        <v>174</v>
      </c>
      <c r="D35" s="84">
        <v>34359</v>
      </c>
      <c r="E35" s="67">
        <f t="shared" ca="1" si="3"/>
        <v>43125</v>
      </c>
      <c r="F35" s="39" t="str">
        <f t="shared" ca="1" si="1"/>
        <v>Đã xong</v>
      </c>
    </row>
    <row r="36" spans="1:6" ht="17.25" x14ac:dyDescent="0.3">
      <c r="A36" s="77">
        <v>31</v>
      </c>
      <c r="B36" s="39" t="s">
        <v>220</v>
      </c>
      <c r="C36" s="77" t="s">
        <v>174</v>
      </c>
      <c r="D36" s="84">
        <v>34989</v>
      </c>
      <c r="E36" s="67">
        <f t="shared" ca="1" si="3"/>
        <v>43390</v>
      </c>
      <c r="F36" s="39" t="str">
        <f t="shared" ca="1" si="1"/>
        <v/>
      </c>
    </row>
    <row r="37" spans="1:6" ht="17.25" x14ac:dyDescent="0.3">
      <c r="A37" s="77">
        <v>32</v>
      </c>
      <c r="B37" s="39" t="s">
        <v>222</v>
      </c>
      <c r="C37" s="77" t="s">
        <v>174</v>
      </c>
      <c r="D37" s="84">
        <v>36367</v>
      </c>
      <c r="E37" s="67">
        <f t="shared" ca="1" si="3"/>
        <v>43307</v>
      </c>
      <c r="F37" s="39" t="str">
        <f t="shared" ca="1" si="1"/>
        <v>Đã xong</v>
      </c>
    </row>
    <row r="38" spans="1:6" ht="17.25" x14ac:dyDescent="0.3">
      <c r="A38" s="77">
        <v>33</v>
      </c>
      <c r="B38" s="39" t="s">
        <v>225</v>
      </c>
      <c r="C38" s="77" t="s">
        <v>174</v>
      </c>
      <c r="D38" s="84">
        <v>35708</v>
      </c>
      <c r="E38" s="67">
        <f t="shared" ca="1" si="3"/>
        <v>43378</v>
      </c>
      <c r="F38" s="39" t="str">
        <f t="shared" ca="1" si="1"/>
        <v/>
      </c>
    </row>
    <row r="39" spans="1:6" ht="17.25" x14ac:dyDescent="0.3">
      <c r="A39" s="77">
        <v>34</v>
      </c>
      <c r="B39" s="39" t="s">
        <v>226</v>
      </c>
      <c r="C39" s="77" t="s">
        <v>174</v>
      </c>
      <c r="D39" s="84">
        <v>35386</v>
      </c>
      <c r="E39" s="67">
        <f t="shared" ca="1" si="3"/>
        <v>43421</v>
      </c>
      <c r="F39" s="39" t="str">
        <f t="shared" ca="1" si="1"/>
        <v/>
      </c>
    </row>
    <row r="40" spans="1:6" ht="17.25" x14ac:dyDescent="0.3">
      <c r="A40" s="77">
        <v>35</v>
      </c>
      <c r="B40" s="39" t="s">
        <v>228</v>
      </c>
      <c r="C40" s="77" t="s">
        <v>174</v>
      </c>
      <c r="D40" s="84">
        <v>34581</v>
      </c>
      <c r="E40" s="109">
        <f t="shared" ca="1" si="3"/>
        <v>43347</v>
      </c>
      <c r="F40" s="39" t="str">
        <f t="shared" ca="1" si="1"/>
        <v/>
      </c>
    </row>
    <row r="41" spans="1:6" ht="18" thickBot="1" x14ac:dyDescent="0.35">
      <c r="A41" s="91">
        <v>36</v>
      </c>
      <c r="B41" s="92" t="s">
        <v>247</v>
      </c>
      <c r="C41" s="91" t="s">
        <v>174</v>
      </c>
      <c r="D41" s="111">
        <v>35400</v>
      </c>
      <c r="E41" s="110">
        <f t="shared" ca="1" si="3"/>
        <v>43435</v>
      </c>
      <c r="F41" s="92" t="str">
        <f t="shared" ca="1" si="1"/>
        <v/>
      </c>
    </row>
    <row r="42" spans="1:6" ht="18" thickTop="1" x14ac:dyDescent="0.3">
      <c r="A42" s="96">
        <v>37</v>
      </c>
      <c r="B42" s="103" t="s">
        <v>193</v>
      </c>
      <c r="C42" s="104" t="s">
        <v>176</v>
      </c>
      <c r="D42" s="105"/>
      <c r="E42" s="112" t="str">
        <f t="shared" ca="1" si="3"/>
        <v/>
      </c>
      <c r="F42" s="87" t="str">
        <f t="shared" ca="1" si="1"/>
        <v/>
      </c>
    </row>
    <row r="43" spans="1:6" ht="17.25" x14ac:dyDescent="0.3">
      <c r="A43" s="96">
        <v>38</v>
      </c>
      <c r="B43" s="100" t="s">
        <v>195</v>
      </c>
      <c r="C43" s="101" t="s">
        <v>176</v>
      </c>
      <c r="D43" s="102"/>
      <c r="E43" s="102" t="str">
        <f t="shared" ca="1" si="3"/>
        <v/>
      </c>
      <c r="F43" s="39" t="str">
        <f t="shared" ca="1" si="1"/>
        <v/>
      </c>
    </row>
    <row r="44" spans="1:6" ht="17.25" x14ac:dyDescent="0.3">
      <c r="A44" s="97">
        <v>39</v>
      </c>
      <c r="B44" s="100" t="s">
        <v>196</v>
      </c>
      <c r="C44" s="101" t="s">
        <v>176</v>
      </c>
      <c r="D44" s="102">
        <v>34836</v>
      </c>
      <c r="E44" s="102">
        <f t="shared" ca="1" si="3"/>
        <v>43237</v>
      </c>
      <c r="F44" s="39" t="str">
        <f t="shared" ca="1" si="1"/>
        <v>Đã xong</v>
      </c>
    </row>
    <row r="45" spans="1:6" ht="17.25" x14ac:dyDescent="0.3">
      <c r="A45" s="95">
        <v>40</v>
      </c>
      <c r="B45" s="100" t="s">
        <v>200</v>
      </c>
      <c r="C45" s="101" t="s">
        <v>176</v>
      </c>
      <c r="D45" s="102">
        <v>35318</v>
      </c>
      <c r="E45" s="102">
        <f t="shared" ca="1" si="3"/>
        <v>43353</v>
      </c>
      <c r="F45" s="39" t="str">
        <f t="shared" ca="1" si="1"/>
        <v/>
      </c>
    </row>
    <row r="46" spans="1:6" ht="17.25" x14ac:dyDescent="0.3">
      <c r="A46" s="98">
        <v>41</v>
      </c>
      <c r="B46" s="100" t="s">
        <v>229</v>
      </c>
      <c r="C46" s="101" t="s">
        <v>176</v>
      </c>
      <c r="D46" s="102">
        <v>34841</v>
      </c>
      <c r="E46" s="102">
        <f t="shared" ca="1" si="3"/>
        <v>43242</v>
      </c>
      <c r="F46" s="39" t="str">
        <f t="shared" ca="1" si="1"/>
        <v>Đã xong</v>
      </c>
    </row>
    <row r="47" spans="1:6" ht="17.25" x14ac:dyDescent="0.3">
      <c r="A47" s="96">
        <v>42</v>
      </c>
      <c r="B47" s="100" t="s">
        <v>230</v>
      </c>
      <c r="C47" s="101" t="s">
        <v>176</v>
      </c>
      <c r="D47" s="102">
        <v>35146</v>
      </c>
      <c r="E47" s="102">
        <f t="shared" ca="1" si="3"/>
        <v>43181</v>
      </c>
      <c r="F47" s="39" t="str">
        <f t="shared" ca="1" si="1"/>
        <v>Đã xong</v>
      </c>
    </row>
    <row r="48" spans="1:6" ht="17.25" x14ac:dyDescent="0.3">
      <c r="A48" s="96">
        <v>43</v>
      </c>
      <c r="B48" s="101" t="s">
        <v>231</v>
      </c>
      <c r="C48" s="101" t="s">
        <v>176</v>
      </c>
      <c r="D48" s="102">
        <v>35694</v>
      </c>
      <c r="E48" s="102">
        <f t="shared" ca="1" si="3"/>
        <v>43364</v>
      </c>
      <c r="F48" s="39" t="str">
        <f t="shared" ca="1" si="1"/>
        <v/>
      </c>
    </row>
    <row r="49" spans="1:6" ht="18" thickBot="1" x14ac:dyDescent="0.35">
      <c r="A49" s="99">
        <v>44</v>
      </c>
      <c r="B49" s="106" t="s">
        <v>232</v>
      </c>
      <c r="C49" s="107" t="s">
        <v>176</v>
      </c>
      <c r="D49" s="108"/>
      <c r="E49" s="110" t="str">
        <f t="shared" ca="1" si="3"/>
        <v/>
      </c>
      <c r="F49" s="92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51</v>
      </c>
    </row>
    <row r="2" spans="1:21" ht="15.75" x14ac:dyDescent="0.25">
      <c r="J2" s="330" t="s">
        <v>7</v>
      </c>
      <c r="K2" s="330"/>
      <c r="L2" s="330"/>
      <c r="M2" s="330"/>
      <c r="N2" s="331" t="s">
        <v>8</v>
      </c>
      <c r="O2" s="331"/>
      <c r="P2" s="331"/>
      <c r="Q2" s="332" t="s">
        <v>9</v>
      </c>
      <c r="R2" s="332" t="s">
        <v>10</v>
      </c>
      <c r="S2" s="332" t="s">
        <v>11</v>
      </c>
      <c r="T2" s="332" t="s">
        <v>12</v>
      </c>
      <c r="U2" s="32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32"/>
      <c r="R3" s="332"/>
      <c r="S3" s="332"/>
      <c r="T3" s="332"/>
      <c r="U3" s="329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2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2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2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2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2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2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36" t="s">
        <v>6</v>
      </c>
      <c r="B3" s="336" t="s">
        <v>5</v>
      </c>
      <c r="C3" s="24"/>
      <c r="D3" s="24"/>
      <c r="E3" s="24"/>
      <c r="F3" s="24"/>
      <c r="G3" s="338"/>
      <c r="H3" s="338"/>
      <c r="I3" s="338"/>
      <c r="J3" s="333"/>
      <c r="K3" s="334"/>
      <c r="L3" s="335"/>
      <c r="M3" s="333"/>
      <c r="N3" s="334"/>
      <c r="O3" s="335"/>
      <c r="P3" s="333"/>
      <c r="Q3" s="334"/>
      <c r="R3" s="335"/>
      <c r="S3" s="333"/>
      <c r="T3" s="334"/>
      <c r="U3" s="335"/>
      <c r="V3" s="333"/>
      <c r="W3" s="334"/>
      <c r="X3" s="335"/>
      <c r="Y3" s="333"/>
      <c r="Z3" s="334"/>
      <c r="AA3" s="335"/>
      <c r="AB3" s="333"/>
      <c r="AC3" s="334"/>
      <c r="AD3" s="335"/>
      <c r="AE3" s="333"/>
      <c r="AF3" s="334"/>
      <c r="AG3" s="335"/>
      <c r="AH3" s="333"/>
      <c r="AI3" s="334"/>
      <c r="AJ3" s="335"/>
      <c r="AK3" s="333"/>
      <c r="AL3" s="334"/>
      <c r="AM3" s="335"/>
      <c r="AN3" s="333"/>
      <c r="AO3" s="334"/>
      <c r="AP3" s="335"/>
      <c r="AQ3" s="333"/>
      <c r="AR3" s="334"/>
      <c r="AS3" s="335"/>
      <c r="AT3" s="333"/>
      <c r="AU3" s="334"/>
      <c r="AV3" s="335"/>
      <c r="AW3" s="333"/>
      <c r="AX3" s="334"/>
      <c r="AY3" s="335"/>
      <c r="AZ3" s="333"/>
      <c r="BA3" s="334"/>
      <c r="BB3" s="335"/>
      <c r="BC3" s="340" t="s">
        <v>116</v>
      </c>
      <c r="BD3" s="341"/>
      <c r="BE3" s="342"/>
      <c r="BF3" s="339">
        <v>42930</v>
      </c>
      <c r="BG3" s="334"/>
      <c r="BH3" s="335"/>
      <c r="BI3" s="333" t="s">
        <v>147</v>
      </c>
      <c r="BJ3" s="334"/>
      <c r="BK3" s="335"/>
      <c r="BL3" s="333" t="s">
        <v>148</v>
      </c>
      <c r="BM3" s="334"/>
      <c r="BN3" s="335"/>
      <c r="BO3" s="333" t="s">
        <v>170</v>
      </c>
      <c r="BP3" s="334"/>
      <c r="BQ3" s="335"/>
      <c r="BR3" s="339">
        <v>42940</v>
      </c>
      <c r="BS3" s="334"/>
      <c r="BT3" s="335"/>
      <c r="BU3" s="339">
        <v>42942</v>
      </c>
      <c r="BV3" s="334"/>
      <c r="BW3" s="335"/>
      <c r="BX3" s="339">
        <v>42944</v>
      </c>
      <c r="BY3" s="334"/>
      <c r="BZ3" s="335"/>
      <c r="CA3" s="339">
        <v>42947</v>
      </c>
      <c r="CB3" s="334"/>
      <c r="CC3" s="335"/>
      <c r="CD3" s="26"/>
    </row>
    <row r="4" spans="1:82" s="17" customFormat="1" ht="21" customHeight="1" x14ac:dyDescent="0.25">
      <c r="A4" s="337"/>
      <c r="B4" s="337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2" t="s">
        <v>0</v>
      </c>
      <c r="CB5" s="52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2" t="s">
        <v>0</v>
      </c>
      <c r="CB6" s="52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2" t="s">
        <v>0</v>
      </c>
      <c r="CB7" s="52" t="s">
        <v>0</v>
      </c>
      <c r="CC7" s="52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2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2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2" t="s">
        <v>0</v>
      </c>
      <c r="CB10" s="52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2" t="s">
        <v>0</v>
      </c>
      <c r="CB12" s="52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2" t="s">
        <v>0</v>
      </c>
      <c r="CB13" s="52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2" t="s">
        <v>0</v>
      </c>
      <c r="CB14" s="52" t="s">
        <v>0</v>
      </c>
      <c r="CC14" s="52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1" customWidth="1"/>
  </cols>
  <sheetData>
    <row r="1" spans="1:21" ht="26.25" x14ac:dyDescent="0.4">
      <c r="B1" s="5" t="s">
        <v>325</v>
      </c>
    </row>
    <row r="2" spans="1:21" ht="15.75" x14ac:dyDescent="0.25">
      <c r="J2" s="330" t="s">
        <v>7</v>
      </c>
      <c r="K2" s="330"/>
      <c r="L2" s="330"/>
      <c r="M2" s="330"/>
      <c r="N2" s="331" t="s">
        <v>8</v>
      </c>
      <c r="O2" s="331"/>
      <c r="P2" s="331"/>
      <c r="Q2" s="332" t="s">
        <v>9</v>
      </c>
      <c r="R2" s="332" t="s">
        <v>10</v>
      </c>
      <c r="S2" s="332" t="s">
        <v>11</v>
      </c>
      <c r="T2" s="332" t="s">
        <v>12</v>
      </c>
      <c r="U2" s="32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332"/>
      <c r="R3" s="332"/>
      <c r="S3" s="332"/>
      <c r="T3" s="332"/>
      <c r="U3" s="329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2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2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2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2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2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2">
        <v>365</v>
      </c>
    </row>
    <row r="10" spans="1:21" ht="21" customHeight="1" x14ac:dyDescent="0.3">
      <c r="A10" s="72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2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336" t="s">
        <v>6</v>
      </c>
      <c r="B3" s="336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338" t="s">
        <v>31</v>
      </c>
      <c r="H3" s="338"/>
      <c r="I3" s="338"/>
      <c r="J3" s="333" t="s">
        <v>32</v>
      </c>
      <c r="K3" s="334"/>
      <c r="L3" s="335"/>
      <c r="M3" s="333" t="s">
        <v>33</v>
      </c>
      <c r="N3" s="334"/>
      <c r="O3" s="335"/>
      <c r="P3" s="333" t="s">
        <v>34</v>
      </c>
      <c r="Q3" s="334"/>
      <c r="R3" s="335"/>
      <c r="S3" s="333" t="s">
        <v>35</v>
      </c>
      <c r="T3" s="334"/>
      <c r="U3" s="335"/>
      <c r="V3" s="333" t="s">
        <v>36</v>
      </c>
      <c r="W3" s="334"/>
      <c r="X3" s="335"/>
      <c r="Y3" s="333" t="s">
        <v>37</v>
      </c>
      <c r="Z3" s="334"/>
      <c r="AA3" s="335"/>
      <c r="AB3" s="333" t="s">
        <v>38</v>
      </c>
      <c r="AC3" s="334"/>
      <c r="AD3" s="335"/>
      <c r="AE3" s="333" t="s">
        <v>39</v>
      </c>
      <c r="AF3" s="334"/>
      <c r="AG3" s="335"/>
      <c r="AH3" s="333" t="s">
        <v>40</v>
      </c>
      <c r="AI3" s="334"/>
      <c r="AJ3" s="335"/>
      <c r="AK3" s="333" t="s">
        <v>41</v>
      </c>
      <c r="AL3" s="334"/>
      <c r="AM3" s="335"/>
      <c r="AN3" s="333" t="s">
        <v>42</v>
      </c>
      <c r="AO3" s="334"/>
      <c r="AP3" s="335"/>
      <c r="AQ3" s="333" t="s">
        <v>43</v>
      </c>
      <c r="AR3" s="334"/>
      <c r="AS3" s="335"/>
      <c r="AT3" s="333" t="s">
        <v>44</v>
      </c>
      <c r="AU3" s="334"/>
      <c r="AV3" s="335"/>
      <c r="AW3" s="333" t="s">
        <v>45</v>
      </c>
      <c r="AX3" s="334"/>
      <c r="AY3" s="335"/>
      <c r="AZ3" s="333" t="s">
        <v>46</v>
      </c>
      <c r="BA3" s="334"/>
      <c r="BB3" s="335"/>
      <c r="BC3" s="333" t="s">
        <v>47</v>
      </c>
      <c r="BD3" s="334"/>
      <c r="BE3" s="335"/>
      <c r="BF3" s="333" t="s">
        <v>48</v>
      </c>
      <c r="BG3" s="334"/>
      <c r="BH3" s="335"/>
      <c r="BI3" s="333" t="s">
        <v>49</v>
      </c>
      <c r="BJ3" s="334"/>
      <c r="BK3" s="335"/>
      <c r="BL3" s="333"/>
      <c r="BM3" s="334"/>
      <c r="BN3" s="335"/>
      <c r="BO3" s="333"/>
      <c r="BP3" s="334"/>
      <c r="BQ3" s="335"/>
      <c r="BR3" s="333"/>
      <c r="BS3" s="334"/>
      <c r="BT3" s="33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336"/>
      <c r="B4" s="336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4" customWidth="1"/>
    <col min="27" max="16384" width="9.140625" style="1"/>
  </cols>
  <sheetData>
    <row r="1" spans="1:26" x14ac:dyDescent="0.3">
      <c r="B1" s="159" t="s">
        <v>204</v>
      </c>
    </row>
    <row r="2" spans="1:26" x14ac:dyDescent="0.3">
      <c r="O2" s="344" t="s">
        <v>7</v>
      </c>
      <c r="P2" s="344"/>
      <c r="Q2" s="344"/>
      <c r="R2" s="344"/>
      <c r="S2" s="345" t="s">
        <v>8</v>
      </c>
      <c r="T2" s="345"/>
      <c r="U2" s="345"/>
      <c r="V2" s="346" t="s">
        <v>9</v>
      </c>
      <c r="W2" s="346" t="s">
        <v>10</v>
      </c>
      <c r="X2" s="346" t="s">
        <v>11</v>
      </c>
      <c r="Y2" s="346" t="s">
        <v>12</v>
      </c>
      <c r="Z2" s="343" t="s">
        <v>13</v>
      </c>
    </row>
    <row r="3" spans="1:26" ht="21" customHeight="1" x14ac:dyDescent="0.3">
      <c r="A3" s="168" t="s">
        <v>6</v>
      </c>
      <c r="B3" s="168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68" t="s">
        <v>213</v>
      </c>
      <c r="K3" s="168" t="s">
        <v>214</v>
      </c>
      <c r="L3" s="168" t="s">
        <v>183</v>
      </c>
      <c r="M3" s="168" t="s">
        <v>173</v>
      </c>
      <c r="N3" s="168" t="s">
        <v>1</v>
      </c>
      <c r="O3" s="142" t="s">
        <v>14</v>
      </c>
      <c r="P3" s="143" t="s">
        <v>15</v>
      </c>
      <c r="Q3" s="144" t="s">
        <v>16</v>
      </c>
      <c r="R3" s="145" t="s">
        <v>17</v>
      </c>
      <c r="S3" s="146" t="s">
        <v>18</v>
      </c>
      <c r="T3" s="147" t="s">
        <v>19</v>
      </c>
      <c r="U3" s="148" t="s">
        <v>20</v>
      </c>
      <c r="V3" s="346"/>
      <c r="W3" s="346"/>
      <c r="X3" s="346"/>
      <c r="Y3" s="346"/>
      <c r="Z3" s="343"/>
    </row>
    <row r="4" spans="1:26" ht="21" customHeight="1" x14ac:dyDescent="0.3">
      <c r="A4" s="1">
        <v>1</v>
      </c>
      <c r="B4" s="1" t="s">
        <v>172</v>
      </c>
      <c r="C4" s="75">
        <v>35257</v>
      </c>
      <c r="D4" s="3" t="s">
        <v>186</v>
      </c>
      <c r="E4" s="3" t="s">
        <v>269</v>
      </c>
      <c r="F4" s="2" t="s">
        <v>89</v>
      </c>
      <c r="G4" s="1"/>
      <c r="H4" s="61">
        <v>2100000</v>
      </c>
      <c r="I4" s="62">
        <v>0.3</v>
      </c>
      <c r="J4" s="61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5">
        <v>34516</v>
      </c>
      <c r="D5" s="3" t="s">
        <v>187</v>
      </c>
      <c r="E5" s="3" t="s">
        <v>254</v>
      </c>
      <c r="F5" s="2" t="s">
        <v>255</v>
      </c>
      <c r="G5" s="1"/>
      <c r="H5" s="61">
        <v>2100000</v>
      </c>
      <c r="I5" s="62">
        <v>0.3</v>
      </c>
      <c r="J5" s="61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3" t="s">
        <v>189</v>
      </c>
      <c r="E6" s="3" t="s">
        <v>257</v>
      </c>
      <c r="F6" s="33" t="s">
        <v>89</v>
      </c>
      <c r="G6" s="3"/>
      <c r="H6" s="61">
        <v>2100000</v>
      </c>
      <c r="I6" s="62">
        <v>0.3</v>
      </c>
      <c r="J6" s="61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1">
        <v>2100000</v>
      </c>
      <c r="I7" s="62">
        <v>0.3</v>
      </c>
      <c r="J7" s="61">
        <v>1470000</v>
      </c>
      <c r="O7" s="1"/>
      <c r="P7" s="1"/>
      <c r="Q7" s="1"/>
      <c r="R7" s="1"/>
      <c r="S7" s="1"/>
      <c r="T7" s="1"/>
      <c r="U7" s="1"/>
    </row>
    <row r="8" spans="1:26" s="113" customFormat="1" ht="21" customHeight="1" x14ac:dyDescent="0.3">
      <c r="A8" s="113">
        <v>5</v>
      </c>
      <c r="B8" s="113" t="s">
        <v>192</v>
      </c>
      <c r="C8" s="114">
        <v>35165</v>
      </c>
      <c r="D8" s="115" t="s">
        <v>273</v>
      </c>
      <c r="E8" s="115" t="s">
        <v>274</v>
      </c>
      <c r="F8" s="116" t="s">
        <v>89</v>
      </c>
      <c r="G8" s="115"/>
      <c r="H8" s="117">
        <v>2100000</v>
      </c>
      <c r="I8" s="118">
        <v>0.3</v>
      </c>
      <c r="J8" s="117">
        <v>1470000</v>
      </c>
      <c r="K8" s="119"/>
      <c r="Z8" s="175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3" t="s">
        <v>199</v>
      </c>
      <c r="E9" s="3" t="s">
        <v>266</v>
      </c>
      <c r="F9" s="33" t="s">
        <v>69</v>
      </c>
      <c r="G9" s="3"/>
      <c r="H9" s="61">
        <v>2100000</v>
      </c>
      <c r="I9" s="62">
        <v>0.3</v>
      </c>
      <c r="J9" s="61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5">
        <v>34705</v>
      </c>
      <c r="D10" s="73" t="s">
        <v>258</v>
      </c>
      <c r="E10" s="34" t="s">
        <v>259</v>
      </c>
      <c r="F10" s="33" t="s">
        <v>260</v>
      </c>
      <c r="H10" s="61">
        <v>2100000</v>
      </c>
      <c r="I10" s="62">
        <v>0.3</v>
      </c>
      <c r="J10" s="61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4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3" t="s">
        <v>447</v>
      </c>
      <c r="E11" s="34" t="s">
        <v>282</v>
      </c>
      <c r="G11" s="3"/>
      <c r="H11" s="61">
        <v>2100000</v>
      </c>
      <c r="I11" s="62">
        <v>0.3</v>
      </c>
      <c r="J11" s="61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4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3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4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3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1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3" t="s">
        <v>279</v>
      </c>
      <c r="E14" s="76" t="s">
        <v>268</v>
      </c>
      <c r="F14" s="33" t="s">
        <v>98</v>
      </c>
      <c r="H14" s="33" t="s">
        <v>217</v>
      </c>
      <c r="I14" s="33" t="s">
        <v>218</v>
      </c>
      <c r="J14" s="61">
        <v>1470000</v>
      </c>
      <c r="O14" s="1"/>
      <c r="P14" s="1"/>
      <c r="Q14" s="1"/>
      <c r="R14" s="1"/>
      <c r="S14" s="1"/>
      <c r="T14" s="1"/>
      <c r="U14" s="1"/>
    </row>
    <row r="15" spans="1:26" s="173" customFormat="1" ht="21" customHeight="1" x14ac:dyDescent="0.25">
      <c r="A15" s="56">
        <v>12</v>
      </c>
      <c r="B15" s="57" t="s">
        <v>63</v>
      </c>
      <c r="C15" s="55" t="s">
        <v>85</v>
      </c>
      <c r="D15" s="74" t="s">
        <v>86</v>
      </c>
      <c r="E15" s="58" t="s">
        <v>125</v>
      </c>
      <c r="F15" s="55" t="s">
        <v>89</v>
      </c>
      <c r="G15" s="55" t="s">
        <v>53</v>
      </c>
      <c r="H15" s="55" t="s">
        <v>215</v>
      </c>
      <c r="I15" s="55" t="s">
        <v>215</v>
      </c>
      <c r="J15" s="56">
        <v>0</v>
      </c>
      <c r="K15" s="56" t="s">
        <v>219</v>
      </c>
      <c r="L15" s="55"/>
      <c r="M15" s="55"/>
      <c r="N15" s="55"/>
      <c r="O15" s="173">
        <v>6</v>
      </c>
      <c r="P15" s="173">
        <v>17</v>
      </c>
      <c r="Q15" s="173">
        <v>10</v>
      </c>
      <c r="R15" s="173">
        <v>12</v>
      </c>
      <c r="S15" s="173">
        <v>17</v>
      </c>
      <c r="T15" s="173">
        <v>8</v>
      </c>
      <c r="U15" s="173">
        <v>15</v>
      </c>
      <c r="V15" s="173">
        <v>45</v>
      </c>
      <c r="W15" s="173">
        <v>40</v>
      </c>
      <c r="X15" s="173">
        <v>215</v>
      </c>
      <c r="Y15" s="173">
        <v>150</v>
      </c>
      <c r="Z15" s="176">
        <v>365</v>
      </c>
    </row>
    <row r="16" spans="1:26" s="121" customFormat="1" ht="21" customHeight="1" x14ac:dyDescent="0.3">
      <c r="A16" s="121">
        <v>13</v>
      </c>
      <c r="B16" s="121" t="s">
        <v>210</v>
      </c>
      <c r="C16" s="122" t="s">
        <v>287</v>
      </c>
      <c r="D16" s="123" t="s">
        <v>288</v>
      </c>
      <c r="E16" s="124" t="s">
        <v>289</v>
      </c>
      <c r="F16" s="125"/>
      <c r="G16" s="125"/>
      <c r="H16" s="125" t="s">
        <v>217</v>
      </c>
      <c r="I16" s="125" t="s">
        <v>218</v>
      </c>
      <c r="J16" s="126">
        <v>1470000</v>
      </c>
      <c r="K16" s="122"/>
      <c r="O16" s="122"/>
      <c r="P16" s="122"/>
      <c r="Q16" s="122"/>
      <c r="R16" s="122"/>
      <c r="S16" s="122"/>
      <c r="T16" s="122"/>
      <c r="U16" s="122"/>
      <c r="Z16" s="177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3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4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3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4">
        <v>405</v>
      </c>
    </row>
    <row r="19" spans="1:26" s="121" customFormat="1" ht="21" customHeight="1" x14ac:dyDescent="0.3">
      <c r="A19" s="121">
        <v>16</v>
      </c>
      <c r="B19" s="121" t="s">
        <v>225</v>
      </c>
      <c r="C19" s="127">
        <v>35560</v>
      </c>
      <c r="D19" s="123" t="s">
        <v>262</v>
      </c>
      <c r="E19" s="124" t="s">
        <v>261</v>
      </c>
      <c r="F19" s="125" t="s">
        <v>69</v>
      </c>
      <c r="G19" s="125"/>
      <c r="H19" s="125" t="s">
        <v>217</v>
      </c>
      <c r="I19" s="125" t="s">
        <v>218</v>
      </c>
      <c r="J19" s="126">
        <v>1470000</v>
      </c>
      <c r="K19" s="122"/>
      <c r="O19" s="122"/>
      <c r="P19" s="122"/>
      <c r="Q19" s="122"/>
      <c r="R19" s="122"/>
      <c r="S19" s="122"/>
      <c r="T19" s="122"/>
      <c r="U19" s="122"/>
      <c r="Z19" s="177"/>
    </row>
    <row r="20" spans="1:26" x14ac:dyDescent="0.3">
      <c r="A20" s="1">
        <v>17</v>
      </c>
      <c r="B20" s="1" t="s">
        <v>226</v>
      </c>
      <c r="C20" s="2" t="s">
        <v>270</v>
      </c>
      <c r="D20" s="73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1">
        <v>1470000</v>
      </c>
    </row>
    <row r="21" spans="1:26" x14ac:dyDescent="0.3">
      <c r="A21" s="1">
        <v>18</v>
      </c>
      <c r="B21" s="1" t="s">
        <v>228</v>
      </c>
      <c r="C21" s="75">
        <v>34433</v>
      </c>
      <c r="D21" s="73" t="s">
        <v>286</v>
      </c>
      <c r="E21" s="34" t="s">
        <v>264</v>
      </c>
      <c r="H21" s="33" t="s">
        <v>217</v>
      </c>
      <c r="I21" s="33" t="s">
        <v>218</v>
      </c>
      <c r="J21" s="61">
        <v>1470000</v>
      </c>
    </row>
    <row r="22" spans="1:26" x14ac:dyDescent="0.3">
      <c r="A22" s="1">
        <v>19</v>
      </c>
      <c r="B22" s="1" t="s">
        <v>247</v>
      </c>
      <c r="C22" s="75">
        <v>35076</v>
      </c>
      <c r="D22" s="73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1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4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C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336" t="s">
        <v>6</v>
      </c>
      <c r="B3" s="336" t="s">
        <v>5</v>
      </c>
      <c r="C3" s="60"/>
      <c r="D3" s="60"/>
      <c r="E3" s="60"/>
      <c r="F3" s="60"/>
      <c r="G3" s="338"/>
      <c r="H3" s="338"/>
      <c r="I3" s="338"/>
      <c r="J3" s="338"/>
      <c r="K3" s="338"/>
      <c r="L3" s="338"/>
      <c r="M3" s="338"/>
      <c r="N3" s="338"/>
      <c r="O3" s="338"/>
      <c r="P3" s="338"/>
      <c r="Q3" s="338"/>
      <c r="R3" s="338"/>
      <c r="S3" s="338"/>
      <c r="T3" s="338"/>
      <c r="U3" s="338"/>
      <c r="V3" s="338"/>
      <c r="W3" s="338"/>
      <c r="X3" s="338"/>
      <c r="Y3" s="338"/>
      <c r="Z3" s="338"/>
      <c r="AA3" s="338"/>
      <c r="AB3" s="338"/>
      <c r="AC3" s="338"/>
      <c r="AD3" s="338"/>
      <c r="AE3" s="338"/>
      <c r="AF3" s="338"/>
      <c r="AG3" s="338"/>
      <c r="AH3" s="338"/>
      <c r="AI3" s="338"/>
      <c r="AJ3" s="338"/>
      <c r="AK3" s="338"/>
      <c r="AL3" s="338"/>
      <c r="AM3" s="338"/>
      <c r="AN3" s="338"/>
      <c r="AO3" s="338"/>
      <c r="AP3" s="338"/>
      <c r="AQ3" s="338"/>
      <c r="AR3" s="338"/>
      <c r="AS3" s="338"/>
      <c r="AT3" s="338"/>
      <c r="AU3" s="338"/>
      <c r="AV3" s="338"/>
      <c r="AW3" s="338"/>
      <c r="AX3" s="338"/>
      <c r="AY3" s="338"/>
      <c r="AZ3" s="338"/>
      <c r="BA3" s="338"/>
      <c r="BB3" s="338"/>
      <c r="BC3" s="347"/>
      <c r="BD3" s="347"/>
      <c r="BE3" s="347"/>
      <c r="BF3" s="348">
        <v>42976</v>
      </c>
      <c r="BG3" s="338"/>
      <c r="BH3" s="338"/>
      <c r="BI3" s="338"/>
      <c r="BJ3" s="338"/>
      <c r="BK3" s="338"/>
      <c r="BL3" s="338"/>
      <c r="BM3" s="338"/>
      <c r="BN3" s="338"/>
      <c r="BO3" s="338"/>
      <c r="BP3" s="338"/>
      <c r="BQ3" s="338"/>
      <c r="BR3" s="348"/>
      <c r="BS3" s="338"/>
      <c r="BT3" s="338"/>
      <c r="BU3" s="338"/>
      <c r="BV3" s="338"/>
      <c r="BW3" s="338"/>
      <c r="BX3" s="338"/>
      <c r="BY3" s="338"/>
      <c r="BZ3" s="338"/>
      <c r="CA3" s="338"/>
      <c r="CB3" s="338"/>
      <c r="CC3" s="338"/>
      <c r="CD3" s="26"/>
    </row>
    <row r="4" spans="1:82" s="17" customFormat="1" ht="21" customHeight="1" x14ac:dyDescent="0.25">
      <c r="A4" s="336"/>
      <c r="B4" s="336"/>
      <c r="C4" s="18"/>
      <c r="D4" s="18"/>
      <c r="E4" s="18"/>
      <c r="F4" s="18"/>
      <c r="G4" s="60" t="s">
        <v>23</v>
      </c>
      <c r="H4" s="60" t="s">
        <v>24</v>
      </c>
      <c r="I4" s="60" t="s">
        <v>22</v>
      </c>
      <c r="J4" s="60" t="s">
        <v>23</v>
      </c>
      <c r="K4" s="60" t="s">
        <v>24</v>
      </c>
      <c r="L4" s="60" t="s">
        <v>22</v>
      </c>
      <c r="M4" s="60" t="s">
        <v>23</v>
      </c>
      <c r="N4" s="60" t="s">
        <v>24</v>
      </c>
      <c r="O4" s="60" t="s">
        <v>22</v>
      </c>
      <c r="P4" s="60" t="s">
        <v>23</v>
      </c>
      <c r="Q4" s="60" t="s">
        <v>24</v>
      </c>
      <c r="R4" s="60" t="s">
        <v>22</v>
      </c>
      <c r="S4" s="60" t="s">
        <v>23</v>
      </c>
      <c r="T4" s="60" t="s">
        <v>24</v>
      </c>
      <c r="U4" s="60" t="s">
        <v>22</v>
      </c>
      <c r="V4" s="60" t="s">
        <v>23</v>
      </c>
      <c r="W4" s="60" t="s">
        <v>24</v>
      </c>
      <c r="X4" s="60" t="s">
        <v>22</v>
      </c>
      <c r="Y4" s="60" t="s">
        <v>23</v>
      </c>
      <c r="Z4" s="60" t="s">
        <v>24</v>
      </c>
      <c r="AA4" s="60" t="s">
        <v>22</v>
      </c>
      <c r="AB4" s="60" t="s">
        <v>23</v>
      </c>
      <c r="AC4" s="60" t="s">
        <v>24</v>
      </c>
      <c r="AD4" s="60" t="s">
        <v>22</v>
      </c>
      <c r="AE4" s="60" t="s">
        <v>23</v>
      </c>
      <c r="AF4" s="60" t="s">
        <v>24</v>
      </c>
      <c r="AG4" s="60" t="s">
        <v>22</v>
      </c>
      <c r="AH4" s="60" t="s">
        <v>23</v>
      </c>
      <c r="AI4" s="60" t="s">
        <v>24</v>
      </c>
      <c r="AJ4" s="60" t="s">
        <v>22</v>
      </c>
      <c r="AK4" s="60" t="s">
        <v>23</v>
      </c>
      <c r="AL4" s="60" t="s">
        <v>24</v>
      </c>
      <c r="AM4" s="60" t="s">
        <v>22</v>
      </c>
      <c r="AN4" s="60" t="s">
        <v>23</v>
      </c>
      <c r="AO4" s="60" t="s">
        <v>24</v>
      </c>
      <c r="AP4" s="60" t="s">
        <v>22</v>
      </c>
      <c r="AQ4" s="60" t="s">
        <v>23</v>
      </c>
      <c r="AR4" s="60" t="s">
        <v>24</v>
      </c>
      <c r="AS4" s="60" t="s">
        <v>22</v>
      </c>
      <c r="AT4" s="60" t="s">
        <v>23</v>
      </c>
      <c r="AU4" s="60" t="s">
        <v>24</v>
      </c>
      <c r="AV4" s="60" t="s">
        <v>22</v>
      </c>
      <c r="AW4" s="60" t="s">
        <v>23</v>
      </c>
      <c r="AX4" s="60" t="s">
        <v>24</v>
      </c>
      <c r="AY4" s="60" t="s">
        <v>22</v>
      </c>
      <c r="AZ4" s="60" t="s">
        <v>23</v>
      </c>
      <c r="BA4" s="60" t="s">
        <v>24</v>
      </c>
      <c r="BB4" s="60" t="s">
        <v>22</v>
      </c>
      <c r="BC4" s="60" t="s">
        <v>23</v>
      </c>
      <c r="BD4" s="60" t="s">
        <v>24</v>
      </c>
      <c r="BE4" s="60" t="s">
        <v>22</v>
      </c>
      <c r="BF4" s="60" t="s">
        <v>23</v>
      </c>
      <c r="BG4" s="60" t="s">
        <v>24</v>
      </c>
      <c r="BH4" s="60" t="s">
        <v>22</v>
      </c>
      <c r="BI4" s="60" t="s">
        <v>23</v>
      </c>
      <c r="BJ4" s="60" t="s">
        <v>24</v>
      </c>
      <c r="BK4" s="60" t="s">
        <v>22</v>
      </c>
      <c r="BL4" s="60" t="s">
        <v>23</v>
      </c>
      <c r="BM4" s="60" t="s">
        <v>30</v>
      </c>
      <c r="BN4" s="60" t="s">
        <v>22</v>
      </c>
      <c r="BO4" s="60" t="s">
        <v>23</v>
      </c>
      <c r="BP4" s="60" t="s">
        <v>24</v>
      </c>
      <c r="BQ4" s="60" t="s">
        <v>22</v>
      </c>
      <c r="BR4" s="60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18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18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18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18"/>
      <c r="AZ6" s="60"/>
      <c r="BA6" s="60"/>
      <c r="BB6" s="60"/>
      <c r="BC6" s="60"/>
      <c r="BD6" s="60"/>
      <c r="BE6" s="60"/>
      <c r="BF6" s="60"/>
      <c r="BG6" s="60"/>
      <c r="BH6" s="60" t="s">
        <v>0</v>
      </c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18"/>
      <c r="AF7" s="18"/>
      <c r="AG7" s="18"/>
      <c r="AH7" s="18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18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0"/>
      <c r="Z8" s="60"/>
      <c r="AA8" s="60"/>
      <c r="AB8" s="60"/>
      <c r="AC8" s="60"/>
      <c r="AD8" s="60"/>
      <c r="AE8" s="60"/>
      <c r="AF8" s="60"/>
      <c r="AG8" s="18"/>
      <c r="AH8" s="18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18"/>
      <c r="AZ8" s="60"/>
      <c r="BA8" s="60"/>
      <c r="BB8" s="60"/>
      <c r="BC8" s="60"/>
      <c r="BD8" s="60"/>
      <c r="BE8" s="60"/>
      <c r="BF8" s="60"/>
      <c r="BG8" s="60"/>
      <c r="BH8" s="60"/>
      <c r="BI8" s="60"/>
      <c r="BJ8" s="60"/>
      <c r="BK8" s="60"/>
      <c r="BL8" s="60"/>
      <c r="BM8" s="60"/>
      <c r="BN8" s="60"/>
      <c r="BO8" s="60"/>
      <c r="BP8" s="60"/>
      <c r="BQ8" s="60"/>
      <c r="BR8" s="60"/>
      <c r="BS8" s="60"/>
      <c r="BT8" s="60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  <c r="AE9" s="60"/>
      <c r="AF9" s="60"/>
      <c r="AG9" s="18"/>
      <c r="AH9" s="60"/>
      <c r="AI9" s="60"/>
      <c r="AJ9" s="60"/>
      <c r="AK9" s="60"/>
      <c r="AL9" s="60"/>
      <c r="AM9" s="60"/>
      <c r="AN9" s="60"/>
      <c r="AO9" s="60"/>
      <c r="AP9" s="60"/>
      <c r="AQ9" s="60"/>
      <c r="AR9" s="60"/>
      <c r="AS9" s="60"/>
      <c r="AT9" s="60"/>
      <c r="AU9" s="60"/>
      <c r="AV9" s="60"/>
      <c r="AW9" s="60"/>
      <c r="AX9" s="60"/>
      <c r="AY9" s="18"/>
      <c r="AZ9" s="60"/>
      <c r="BA9" s="60"/>
      <c r="BB9" s="60"/>
      <c r="BC9" s="60"/>
      <c r="BD9" s="60"/>
      <c r="BE9" s="60"/>
      <c r="BF9" s="60"/>
      <c r="BG9" s="60"/>
      <c r="BH9" s="60"/>
      <c r="BI9" s="60"/>
      <c r="BJ9" s="60"/>
      <c r="BK9" s="60"/>
      <c r="BL9" s="60"/>
      <c r="BM9" s="60"/>
      <c r="BN9" s="60"/>
      <c r="BO9" s="60"/>
      <c r="BP9" s="60"/>
      <c r="BQ9" s="60"/>
      <c r="BR9" s="60"/>
      <c r="BS9" s="60"/>
      <c r="BT9" s="60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18"/>
      <c r="AH10" s="18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18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60"/>
      <c r="AA12" s="60"/>
      <c r="AB12" s="60"/>
      <c r="AC12" s="60"/>
      <c r="AD12" s="60"/>
      <c r="AE12" s="60"/>
      <c r="AF12" s="60"/>
      <c r="AG12" s="18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  <c r="AZ12" s="60"/>
      <c r="BA12" s="60"/>
      <c r="BB12" s="60"/>
      <c r="BC12" s="60"/>
      <c r="BD12" s="60"/>
      <c r="BE12" s="60"/>
      <c r="BF12" s="60"/>
      <c r="BG12" s="60"/>
      <c r="BH12" s="60" t="s">
        <v>0</v>
      </c>
      <c r="BI12" s="60"/>
      <c r="BJ12" s="60"/>
      <c r="BK12" s="60"/>
      <c r="BL12" s="60"/>
      <c r="BM12" s="60"/>
      <c r="BN12" s="60"/>
      <c r="BO12" s="60"/>
      <c r="BP12" s="60"/>
      <c r="BQ12" s="60"/>
      <c r="BR12" s="60"/>
      <c r="BS12" s="60"/>
      <c r="BT12" s="60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3">
        <v>12</v>
      </c>
      <c r="B16" s="64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5" customWidth="1"/>
    <col min="5" max="5" width="49" style="50" customWidth="1"/>
    <col min="6" max="7" width="23.28515625" style="50" customWidth="1"/>
    <col min="8" max="8" width="14.42578125" style="50" customWidth="1"/>
    <col min="9" max="9" width="23.28515625" style="50" customWidth="1"/>
    <col min="10" max="10" width="9.7109375" style="54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1" customWidth="1"/>
  </cols>
  <sheetData>
    <row r="1" spans="1:25" ht="21" x14ac:dyDescent="0.35">
      <c r="A1" s="17"/>
      <c r="B1" s="349" t="s">
        <v>224</v>
      </c>
      <c r="C1" s="349"/>
      <c r="D1" s="349"/>
      <c r="E1" s="128"/>
      <c r="F1" s="128"/>
      <c r="G1" s="128"/>
      <c r="H1" s="128"/>
      <c r="I1" s="128"/>
      <c r="J1" s="51"/>
      <c r="K1" s="17"/>
      <c r="L1" s="17"/>
      <c r="M1" s="17"/>
      <c r="N1" s="51"/>
      <c r="O1" s="51"/>
      <c r="P1" s="51"/>
      <c r="Q1" s="51"/>
      <c r="R1" s="51"/>
      <c r="S1" s="51"/>
      <c r="T1" s="51"/>
      <c r="U1" s="17"/>
      <c r="V1" s="17"/>
      <c r="W1" s="17"/>
      <c r="X1" s="17"/>
      <c r="Y1" s="169"/>
    </row>
    <row r="2" spans="1:25" ht="15.75" x14ac:dyDescent="0.25">
      <c r="A2" s="17"/>
      <c r="B2" s="17"/>
      <c r="C2" s="17"/>
      <c r="D2" s="128"/>
      <c r="E2" s="128"/>
      <c r="F2" s="128"/>
      <c r="G2" s="128"/>
      <c r="H2" s="128"/>
      <c r="I2" s="128"/>
      <c r="J2" s="51"/>
      <c r="K2" s="17"/>
      <c r="L2" s="17"/>
      <c r="M2" s="17"/>
      <c r="N2" s="330" t="s">
        <v>7</v>
      </c>
      <c r="O2" s="330"/>
      <c r="P2" s="330"/>
      <c r="Q2" s="330"/>
      <c r="R2" s="331" t="s">
        <v>8</v>
      </c>
      <c r="S2" s="331"/>
      <c r="T2" s="331"/>
      <c r="U2" s="332" t="s">
        <v>9</v>
      </c>
      <c r="V2" s="332" t="s">
        <v>10</v>
      </c>
      <c r="W2" s="332" t="s">
        <v>11</v>
      </c>
      <c r="X2" s="332" t="s">
        <v>12</v>
      </c>
      <c r="Y2" s="329" t="s">
        <v>13</v>
      </c>
    </row>
    <row r="3" spans="1:25" s="1" customFormat="1" ht="21" customHeight="1" x14ac:dyDescent="0.3">
      <c r="A3" s="129" t="s">
        <v>6</v>
      </c>
      <c r="B3" s="129" t="s">
        <v>5</v>
      </c>
      <c r="C3" s="129" t="s">
        <v>4</v>
      </c>
      <c r="D3" s="130" t="s">
        <v>3</v>
      </c>
      <c r="E3" s="130" t="s">
        <v>117</v>
      </c>
      <c r="F3" s="130" t="s">
        <v>71</v>
      </c>
      <c r="G3" s="130" t="s">
        <v>211</v>
      </c>
      <c r="H3" s="130" t="s">
        <v>223</v>
      </c>
      <c r="I3" s="130" t="s">
        <v>213</v>
      </c>
      <c r="J3" s="129" t="s">
        <v>214</v>
      </c>
      <c r="K3" s="129" t="s">
        <v>23</v>
      </c>
      <c r="L3" s="129" t="s">
        <v>173</v>
      </c>
      <c r="M3" s="12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332"/>
      <c r="V3" s="332"/>
      <c r="W3" s="332"/>
      <c r="X3" s="332"/>
      <c r="Y3" s="329"/>
    </row>
    <row r="4" spans="1:25" s="1" customFormat="1" ht="21" customHeight="1" x14ac:dyDescent="0.3">
      <c r="A4" s="17">
        <v>1</v>
      </c>
      <c r="B4" s="17" t="s">
        <v>193</v>
      </c>
      <c r="C4" s="131"/>
      <c r="D4" s="152" t="s">
        <v>194</v>
      </c>
      <c r="E4" s="131"/>
      <c r="F4" s="17" t="s">
        <v>290</v>
      </c>
      <c r="G4" s="132">
        <v>2400000</v>
      </c>
      <c r="H4" s="133">
        <v>0.3</v>
      </c>
      <c r="I4" s="132">
        <v>1680000</v>
      </c>
      <c r="J4" s="51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69"/>
    </row>
    <row r="5" spans="1:25" s="120" customFormat="1" ht="21" customHeight="1" x14ac:dyDescent="0.3">
      <c r="A5" s="134">
        <v>2</v>
      </c>
      <c r="B5" s="134" t="s">
        <v>195</v>
      </c>
      <c r="C5" s="135"/>
      <c r="D5" s="153"/>
      <c r="E5" s="135"/>
      <c r="F5" s="134" t="s">
        <v>290</v>
      </c>
      <c r="G5" s="136">
        <v>2400000</v>
      </c>
      <c r="H5" s="137">
        <v>0.3</v>
      </c>
      <c r="I5" s="136">
        <v>1680000</v>
      </c>
      <c r="J5" s="138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70"/>
    </row>
    <row r="6" spans="1:25" s="1" customFormat="1" ht="21" customHeight="1" x14ac:dyDescent="0.3">
      <c r="A6" s="17">
        <v>3</v>
      </c>
      <c r="B6" s="17" t="s">
        <v>196</v>
      </c>
      <c r="C6" s="131" t="s">
        <v>240</v>
      </c>
      <c r="D6" s="152" t="s">
        <v>197</v>
      </c>
      <c r="E6" s="131" t="s">
        <v>241</v>
      </c>
      <c r="F6" s="17" t="s">
        <v>242</v>
      </c>
      <c r="G6" s="132">
        <v>2400000</v>
      </c>
      <c r="H6" s="133">
        <v>0.3</v>
      </c>
      <c r="I6" s="132">
        <v>1680000</v>
      </c>
      <c r="J6" s="51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69">
        <v>495</v>
      </c>
    </row>
    <row r="7" spans="1:25" s="1" customFormat="1" ht="21" customHeight="1" x14ac:dyDescent="0.3">
      <c r="A7" s="17">
        <v>4</v>
      </c>
      <c r="B7" s="17" t="s">
        <v>200</v>
      </c>
      <c r="C7" s="131" t="s">
        <v>72</v>
      </c>
      <c r="D7" s="152" t="s">
        <v>201</v>
      </c>
      <c r="E7" s="131" t="s">
        <v>432</v>
      </c>
      <c r="F7" s="17" t="s">
        <v>246</v>
      </c>
      <c r="G7" s="132">
        <v>2400000</v>
      </c>
      <c r="H7" s="133">
        <v>0.3</v>
      </c>
      <c r="I7" s="132">
        <v>1680000</v>
      </c>
      <c r="J7" s="51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69"/>
    </row>
    <row r="8" spans="1:25" ht="21" customHeight="1" x14ac:dyDescent="0.25">
      <c r="A8" s="17">
        <v>5</v>
      </c>
      <c r="B8" s="17" t="s">
        <v>229</v>
      </c>
      <c r="C8" s="131" t="s">
        <v>243</v>
      </c>
      <c r="D8" s="139" t="s">
        <v>244</v>
      </c>
      <c r="E8" s="139" t="s">
        <v>245</v>
      </c>
      <c r="F8" s="17" t="s">
        <v>246</v>
      </c>
      <c r="G8" s="132">
        <v>2400000</v>
      </c>
      <c r="H8" s="133">
        <v>0.3</v>
      </c>
      <c r="I8" s="132">
        <v>1680000</v>
      </c>
      <c r="J8" s="51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69"/>
    </row>
    <row r="9" spans="1:25" ht="21" customHeight="1" x14ac:dyDescent="0.25">
      <c r="A9" s="17">
        <v>6</v>
      </c>
      <c r="B9" s="17" t="s">
        <v>230</v>
      </c>
      <c r="C9" s="131" t="s">
        <v>233</v>
      </c>
      <c r="D9" s="139" t="s">
        <v>347</v>
      </c>
      <c r="E9" s="131" t="s">
        <v>234</v>
      </c>
      <c r="F9" s="17" t="s">
        <v>235</v>
      </c>
      <c r="G9" s="132">
        <v>2400000</v>
      </c>
      <c r="H9" s="133">
        <v>0.3</v>
      </c>
      <c r="I9" s="132">
        <v>1680000</v>
      </c>
      <c r="J9" s="51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69">
        <v>225</v>
      </c>
    </row>
    <row r="10" spans="1:25" ht="21" customHeight="1" x14ac:dyDescent="0.25">
      <c r="A10" s="140" t="s">
        <v>145</v>
      </c>
      <c r="B10" s="131" t="s">
        <v>231</v>
      </c>
      <c r="C10" s="131" t="s">
        <v>236</v>
      </c>
      <c r="D10" s="139" t="s">
        <v>237</v>
      </c>
      <c r="E10" s="131" t="s">
        <v>238</v>
      </c>
      <c r="F10" s="131" t="s">
        <v>239</v>
      </c>
      <c r="G10" s="132">
        <v>2400000</v>
      </c>
      <c r="H10" s="133">
        <v>0.3</v>
      </c>
      <c r="I10" s="132">
        <v>1680000</v>
      </c>
      <c r="J10" s="51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69">
        <v>455</v>
      </c>
    </row>
    <row r="11" spans="1:25" ht="21" customHeight="1" x14ac:dyDescent="0.25">
      <c r="A11" s="17">
        <v>8</v>
      </c>
      <c r="B11" s="17" t="s">
        <v>232</v>
      </c>
      <c r="C11" s="131"/>
      <c r="D11" s="139" t="s">
        <v>309</v>
      </c>
      <c r="E11" s="131"/>
      <c r="F11" s="17" t="s">
        <v>235</v>
      </c>
      <c r="G11" s="132">
        <v>2400000</v>
      </c>
      <c r="H11" s="133">
        <v>0.3</v>
      </c>
      <c r="I11" s="132">
        <v>1680000</v>
      </c>
      <c r="J11" s="51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69"/>
    </row>
    <row r="12" spans="1:25" ht="21" customHeight="1" x14ac:dyDescent="0.25">
      <c r="A12" s="140" t="s">
        <v>303</v>
      </c>
      <c r="B12" s="131" t="s">
        <v>304</v>
      </c>
      <c r="C12" s="131" t="s">
        <v>305</v>
      </c>
      <c r="D12" s="139" t="s">
        <v>306</v>
      </c>
      <c r="E12" s="131" t="s">
        <v>307</v>
      </c>
      <c r="F12" s="131" t="s">
        <v>239</v>
      </c>
      <c r="G12" s="132">
        <v>2400000</v>
      </c>
      <c r="H12" s="133">
        <v>0.3</v>
      </c>
      <c r="I12" s="132">
        <v>1680000</v>
      </c>
      <c r="J12" s="128"/>
      <c r="K12" s="131"/>
      <c r="L12" s="131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69">
        <v>310</v>
      </c>
    </row>
    <row r="13" spans="1:25" ht="21" customHeight="1" x14ac:dyDescent="0.25">
      <c r="A13" s="17">
        <v>10</v>
      </c>
      <c r="B13" s="17" t="s">
        <v>310</v>
      </c>
      <c r="C13" s="17"/>
      <c r="D13" s="139" t="s">
        <v>311</v>
      </c>
      <c r="E13" s="17"/>
      <c r="F13" s="17"/>
      <c r="G13" s="128"/>
      <c r="H13" s="128"/>
      <c r="I13" s="128"/>
      <c r="J13" s="51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69">
        <v>395</v>
      </c>
    </row>
    <row r="14" spans="1:25" ht="21" customHeight="1" x14ac:dyDescent="0.3">
      <c r="D14" s="154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4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4"/>
    </row>
    <row r="17" spans="4:4" ht="21" customHeight="1" x14ac:dyDescent="0.25">
      <c r="D17" s="154"/>
    </row>
    <row r="18" spans="4:4" ht="21" customHeight="1" x14ac:dyDescent="0.25">
      <c r="D18" s="154"/>
    </row>
    <row r="19" spans="4:4" ht="21" customHeight="1" x14ac:dyDescent="0.25">
      <c r="D19" s="154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4" workbookViewId="0">
      <selection activeCell="D12" sqref="D12"/>
    </sheetView>
  </sheetViews>
  <sheetFormatPr defaultRowHeight="15" x14ac:dyDescent="0.25"/>
  <cols>
    <col min="1" max="1" width="16.85546875" style="59" bestFit="1" customWidth="1"/>
    <col min="2" max="2" width="29.7109375" customWidth="1"/>
    <col min="3" max="3" width="19.28515625" customWidth="1"/>
    <col min="4" max="4" width="19.85546875" style="151" customWidth="1"/>
    <col min="5" max="5" width="43.85546875" customWidth="1"/>
    <col min="6" max="6" width="28" customWidth="1"/>
    <col min="7" max="7" width="14.85546875" style="59" customWidth="1"/>
    <col min="8" max="8" width="13.85546875" style="59" customWidth="1"/>
    <col min="9" max="9" width="22" style="59" customWidth="1"/>
    <col min="10" max="10" width="21.140625" style="59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353" t="s">
        <v>430</v>
      </c>
      <c r="B1" s="354"/>
      <c r="C1" s="354"/>
      <c r="D1" s="354"/>
      <c r="E1" s="354"/>
      <c r="F1" s="196"/>
      <c r="G1" s="196"/>
      <c r="H1" s="49"/>
      <c r="I1" s="49"/>
      <c r="J1" s="204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505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354"/>
      <c r="B2" s="354"/>
      <c r="C2" s="354"/>
      <c r="D2" s="354"/>
      <c r="E2" s="354"/>
      <c r="F2" s="196"/>
      <c r="G2" s="196"/>
      <c r="H2" s="49"/>
      <c r="I2" s="49"/>
      <c r="J2" s="204"/>
      <c r="K2" s="355" t="s">
        <v>7</v>
      </c>
      <c r="L2" s="355"/>
      <c r="M2" s="355"/>
      <c r="N2" s="355"/>
      <c r="O2" s="356" t="s">
        <v>8</v>
      </c>
      <c r="P2" s="356"/>
      <c r="Q2" s="356"/>
      <c r="R2" s="351" t="s">
        <v>322</v>
      </c>
      <c r="S2" s="351" t="s">
        <v>323</v>
      </c>
      <c r="T2" s="350" t="s">
        <v>11</v>
      </c>
      <c r="U2" s="350" t="s">
        <v>12</v>
      </c>
      <c r="V2" s="351" t="s">
        <v>324</v>
      </c>
      <c r="W2" s="194"/>
      <c r="X2" s="355" t="s">
        <v>7</v>
      </c>
      <c r="Y2" s="355"/>
      <c r="Z2" s="355"/>
      <c r="AA2" s="355"/>
      <c r="AB2" s="356" t="s">
        <v>8</v>
      </c>
      <c r="AC2" s="356"/>
      <c r="AD2" s="356"/>
      <c r="AE2" s="351" t="s">
        <v>322</v>
      </c>
      <c r="AF2" s="351" t="s">
        <v>323</v>
      </c>
      <c r="AG2" s="350" t="s">
        <v>11</v>
      </c>
      <c r="AH2" s="350" t="s">
        <v>12</v>
      </c>
      <c r="AI2" s="351" t="s">
        <v>324</v>
      </c>
    </row>
    <row r="3" spans="1:35" s="59" customFormat="1" ht="18.75" x14ac:dyDescent="0.3">
      <c r="A3" s="197" t="s">
        <v>6</v>
      </c>
      <c r="B3" s="197" t="s">
        <v>5</v>
      </c>
      <c r="C3" s="198" t="s">
        <v>4</v>
      </c>
      <c r="D3" s="198" t="s">
        <v>3</v>
      </c>
      <c r="E3" s="198" t="s">
        <v>117</v>
      </c>
      <c r="F3" s="198" t="s">
        <v>71</v>
      </c>
      <c r="G3" s="198" t="s">
        <v>106</v>
      </c>
      <c r="H3" s="197" t="s">
        <v>2</v>
      </c>
      <c r="I3" s="197" t="s">
        <v>173</v>
      </c>
      <c r="J3" s="19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50"/>
      <c r="S3" s="350"/>
      <c r="T3" s="350"/>
      <c r="U3" s="350"/>
      <c r="V3" s="350"/>
      <c r="W3" s="195"/>
      <c r="X3" s="160" t="s">
        <v>14</v>
      </c>
      <c r="Y3" s="161" t="s">
        <v>15</v>
      </c>
      <c r="Z3" s="162" t="s">
        <v>16</v>
      </c>
      <c r="AA3" s="163" t="s">
        <v>17</v>
      </c>
      <c r="AB3" s="164" t="s">
        <v>18</v>
      </c>
      <c r="AC3" s="165" t="s">
        <v>19</v>
      </c>
      <c r="AD3" s="166" t="s">
        <v>20</v>
      </c>
      <c r="AE3" s="350"/>
      <c r="AF3" s="350"/>
      <c r="AG3" s="350"/>
      <c r="AH3" s="350"/>
      <c r="AI3" s="350"/>
    </row>
    <row r="4" spans="1:35" ht="18.75" x14ac:dyDescent="0.3">
      <c r="A4" s="49">
        <v>1</v>
      </c>
      <c r="B4" s="21" t="s">
        <v>300</v>
      </c>
      <c r="C4" s="199">
        <v>34005</v>
      </c>
      <c r="D4" s="200" t="s">
        <v>301</v>
      </c>
      <c r="E4" s="201" t="s">
        <v>302</v>
      </c>
      <c r="F4" s="21" t="s">
        <v>371</v>
      </c>
      <c r="G4" s="49"/>
      <c r="H4" s="49" t="s">
        <v>53</v>
      </c>
      <c r="I4" s="49" t="s">
        <v>308</v>
      </c>
      <c r="J4" s="204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352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321</v>
      </c>
      <c r="C5" s="201" t="s">
        <v>399</v>
      </c>
      <c r="D5" s="200" t="s">
        <v>319</v>
      </c>
      <c r="E5" s="201" t="s">
        <v>121</v>
      </c>
      <c r="F5" s="201" t="s">
        <v>398</v>
      </c>
      <c r="G5" s="196"/>
      <c r="H5" s="49" t="s">
        <v>53</v>
      </c>
      <c r="I5" s="49" t="s">
        <v>308</v>
      </c>
      <c r="J5" s="204"/>
      <c r="K5" s="202">
        <v>4</v>
      </c>
      <c r="L5" s="202">
        <v>12</v>
      </c>
      <c r="M5" s="202">
        <v>12</v>
      </c>
      <c r="N5" s="202">
        <v>11</v>
      </c>
      <c r="O5" s="202">
        <v>20</v>
      </c>
      <c r="P5" s="202">
        <v>2</v>
      </c>
      <c r="Q5" s="202">
        <v>16</v>
      </c>
      <c r="R5" s="202">
        <v>39</v>
      </c>
      <c r="S5" s="202">
        <v>38</v>
      </c>
      <c r="T5" s="202">
        <v>180</v>
      </c>
      <c r="U5" s="202">
        <v>140</v>
      </c>
      <c r="V5" s="202">
        <v>320</v>
      </c>
      <c r="W5" s="352"/>
      <c r="X5" s="203">
        <v>3</v>
      </c>
      <c r="Y5" s="203">
        <v>21</v>
      </c>
      <c r="Z5" s="203">
        <v>11</v>
      </c>
      <c r="AA5" s="203">
        <v>12</v>
      </c>
      <c r="AB5" s="203">
        <v>19</v>
      </c>
      <c r="AC5" s="203">
        <v>4</v>
      </c>
      <c r="AD5" s="203">
        <v>20</v>
      </c>
      <c r="AE5" s="203">
        <v>47</v>
      </c>
      <c r="AF5" s="203">
        <v>43</v>
      </c>
      <c r="AG5" s="203">
        <v>230</v>
      </c>
      <c r="AH5" s="203">
        <v>170</v>
      </c>
      <c r="AI5" s="203">
        <v>400</v>
      </c>
    </row>
    <row r="6" spans="1:35" ht="18.75" x14ac:dyDescent="0.3">
      <c r="A6" s="49">
        <v>3</v>
      </c>
      <c r="B6" s="21" t="s">
        <v>318</v>
      </c>
      <c r="C6" s="201" t="s">
        <v>397</v>
      </c>
      <c r="D6" s="200" t="s">
        <v>320</v>
      </c>
      <c r="E6" s="201" t="s">
        <v>121</v>
      </c>
      <c r="F6" s="201" t="s">
        <v>398</v>
      </c>
      <c r="G6" s="196"/>
      <c r="H6" s="49" t="s">
        <v>53</v>
      </c>
      <c r="I6" s="49" t="s">
        <v>308</v>
      </c>
      <c r="J6" s="204"/>
      <c r="K6" s="202">
        <v>0</v>
      </c>
      <c r="L6" s="202">
        <v>14</v>
      </c>
      <c r="M6" s="202">
        <v>8</v>
      </c>
      <c r="N6" s="202">
        <v>7</v>
      </c>
      <c r="O6" s="202">
        <v>15</v>
      </c>
      <c r="P6" s="202">
        <v>5</v>
      </c>
      <c r="Q6" s="202">
        <v>19</v>
      </c>
      <c r="R6" s="202">
        <v>29</v>
      </c>
      <c r="S6" s="202">
        <v>39</v>
      </c>
      <c r="T6" s="202">
        <v>125</v>
      </c>
      <c r="U6" s="202">
        <v>145</v>
      </c>
      <c r="V6" s="202">
        <v>270</v>
      </c>
      <c r="W6" s="352"/>
      <c r="X6" s="203">
        <v>0</v>
      </c>
      <c r="Y6" s="203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332</v>
      </c>
      <c r="C7" s="201" t="s">
        <v>386</v>
      </c>
      <c r="D7" s="200" t="s">
        <v>335</v>
      </c>
      <c r="E7" s="201" t="s">
        <v>370</v>
      </c>
      <c r="F7" s="201" t="s">
        <v>371</v>
      </c>
      <c r="G7" s="196"/>
      <c r="H7" s="49" t="s">
        <v>53</v>
      </c>
      <c r="I7" s="49" t="s">
        <v>331</v>
      </c>
      <c r="J7" s="204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352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333</v>
      </c>
      <c r="C8" s="201" t="s">
        <v>385</v>
      </c>
      <c r="D8" s="200" t="s">
        <v>336</v>
      </c>
      <c r="E8" s="201" t="s">
        <v>334</v>
      </c>
      <c r="F8" s="201" t="s">
        <v>371</v>
      </c>
      <c r="G8" s="196"/>
      <c r="H8" s="49" t="s">
        <v>53</v>
      </c>
      <c r="I8" s="49" t="s">
        <v>331</v>
      </c>
      <c r="J8" s="204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352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337</v>
      </c>
      <c r="C9" s="201" t="s">
        <v>381</v>
      </c>
      <c r="D9" s="200" t="s">
        <v>338</v>
      </c>
      <c r="E9" s="201" t="s">
        <v>382</v>
      </c>
      <c r="F9" s="201" t="s">
        <v>379</v>
      </c>
      <c r="G9" s="196"/>
      <c r="H9" s="49" t="s">
        <v>53</v>
      </c>
      <c r="I9" s="49" t="s">
        <v>331</v>
      </c>
      <c r="J9" s="204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352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339</v>
      </c>
      <c r="C10" s="201" t="s">
        <v>380</v>
      </c>
      <c r="D10" s="200" t="s">
        <v>340</v>
      </c>
      <c r="E10" s="201" t="s">
        <v>341</v>
      </c>
      <c r="F10" s="201" t="s">
        <v>379</v>
      </c>
      <c r="G10" s="196"/>
      <c r="H10" s="49" t="s">
        <v>53</v>
      </c>
      <c r="I10" s="49" t="s">
        <v>331</v>
      </c>
      <c r="J10" s="204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352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344</v>
      </c>
      <c r="C11" s="201" t="s">
        <v>389</v>
      </c>
      <c r="D11" s="200" t="s">
        <v>346</v>
      </c>
      <c r="E11" s="201" t="s">
        <v>390</v>
      </c>
      <c r="F11" s="21" t="s">
        <v>371</v>
      </c>
      <c r="G11" s="196"/>
      <c r="H11" s="49" t="s">
        <v>53</v>
      </c>
      <c r="I11" s="49" t="s">
        <v>345</v>
      </c>
      <c r="J11" s="204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352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349</v>
      </c>
      <c r="C12" s="201" t="s">
        <v>395</v>
      </c>
      <c r="D12" s="200" t="s">
        <v>348</v>
      </c>
      <c r="E12" s="201" t="s">
        <v>396</v>
      </c>
      <c r="F12" s="21" t="s">
        <v>393</v>
      </c>
      <c r="G12" s="196"/>
      <c r="H12" s="49" t="s">
        <v>53</v>
      </c>
      <c r="I12" s="49" t="s">
        <v>331</v>
      </c>
      <c r="J12" s="204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352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353</v>
      </c>
      <c r="C13" s="201" t="s">
        <v>374</v>
      </c>
      <c r="D13" s="200" t="s">
        <v>355</v>
      </c>
      <c r="E13" s="201" t="s">
        <v>377</v>
      </c>
      <c r="F13" s="201" t="s">
        <v>373</v>
      </c>
      <c r="G13" s="196"/>
      <c r="H13" s="49" t="s">
        <v>53</v>
      </c>
      <c r="I13" s="49" t="s">
        <v>331</v>
      </c>
      <c r="J13" s="204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352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354</v>
      </c>
      <c r="C14" s="201" t="s">
        <v>372</v>
      </c>
      <c r="D14" s="200" t="s">
        <v>356</v>
      </c>
      <c r="E14" s="201" t="s">
        <v>378</v>
      </c>
      <c r="F14" s="201" t="s">
        <v>373</v>
      </c>
      <c r="G14" s="196"/>
      <c r="H14" s="49" t="s">
        <v>53</v>
      </c>
      <c r="I14" s="49" t="s">
        <v>331</v>
      </c>
      <c r="J14" s="204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352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357</v>
      </c>
      <c r="C15" s="201" t="s">
        <v>387</v>
      </c>
      <c r="D15" s="200" t="s">
        <v>375</v>
      </c>
      <c r="E15" s="201" t="s">
        <v>376</v>
      </c>
      <c r="F15" s="21" t="s">
        <v>379</v>
      </c>
      <c r="G15" s="196"/>
      <c r="H15" s="49" t="s">
        <v>53</v>
      </c>
      <c r="I15" s="49" t="s">
        <v>345</v>
      </c>
      <c r="J15" s="204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352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1" t="s">
        <v>136</v>
      </c>
      <c r="D16" s="200" t="s">
        <v>137</v>
      </c>
      <c r="E16" s="201" t="s">
        <v>358</v>
      </c>
      <c r="F16" s="21" t="s">
        <v>388</v>
      </c>
      <c r="G16" s="196"/>
      <c r="H16" s="49" t="s">
        <v>53</v>
      </c>
      <c r="I16" s="49" t="s">
        <v>359</v>
      </c>
      <c r="J16" s="204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352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360</v>
      </c>
      <c r="C17" s="201" t="s">
        <v>383</v>
      </c>
      <c r="D17" s="200" t="s">
        <v>384</v>
      </c>
      <c r="E17" s="201" t="s">
        <v>361</v>
      </c>
      <c r="F17" s="21" t="s">
        <v>371</v>
      </c>
      <c r="G17" s="196"/>
      <c r="H17" s="49" t="s">
        <v>53</v>
      </c>
      <c r="I17" s="49" t="s">
        <v>308</v>
      </c>
      <c r="J17" s="204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352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362</v>
      </c>
      <c r="C18" s="201" t="s">
        <v>391</v>
      </c>
      <c r="D18" s="200" t="s">
        <v>392</v>
      </c>
      <c r="E18" s="201" t="s">
        <v>363</v>
      </c>
      <c r="F18" s="21" t="s">
        <v>393</v>
      </c>
      <c r="G18" s="196"/>
      <c r="H18" s="49" t="s">
        <v>53</v>
      </c>
      <c r="I18" s="49" t="s">
        <v>331</v>
      </c>
      <c r="J18" s="204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352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364</v>
      </c>
      <c r="C19" s="201" t="s">
        <v>394</v>
      </c>
      <c r="D19" s="200" t="s">
        <v>366</v>
      </c>
      <c r="E19" s="201" t="s">
        <v>365</v>
      </c>
      <c r="F19" s="21" t="s">
        <v>393</v>
      </c>
      <c r="G19" s="196"/>
      <c r="H19" s="49" t="s">
        <v>53</v>
      </c>
      <c r="I19" s="49" t="s">
        <v>331</v>
      </c>
      <c r="J19" s="204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352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423</v>
      </c>
      <c r="C20" s="201" t="s">
        <v>422</v>
      </c>
      <c r="D20" s="200" t="s">
        <v>419</v>
      </c>
      <c r="E20" s="201" t="s">
        <v>420</v>
      </c>
      <c r="F20" s="21" t="s">
        <v>393</v>
      </c>
      <c r="G20" s="196"/>
      <c r="H20" s="49" t="s">
        <v>53</v>
      </c>
      <c r="I20" s="49" t="s">
        <v>421</v>
      </c>
      <c r="J20" s="204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352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425</v>
      </c>
      <c r="C21" s="201" t="s">
        <v>427</v>
      </c>
      <c r="D21" s="200" t="s">
        <v>428</v>
      </c>
      <c r="E21" s="201" t="s">
        <v>426</v>
      </c>
      <c r="F21" s="21" t="s">
        <v>379</v>
      </c>
      <c r="G21" s="196"/>
      <c r="H21" s="49" t="s">
        <v>53</v>
      </c>
      <c r="I21" s="49" t="s">
        <v>308</v>
      </c>
      <c r="J21" s="204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352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429</v>
      </c>
      <c r="C22" s="201" t="s">
        <v>383</v>
      </c>
      <c r="D22" s="200" t="s">
        <v>433</v>
      </c>
      <c r="E22" s="201" t="s">
        <v>361</v>
      </c>
      <c r="F22" s="21" t="s">
        <v>371</v>
      </c>
      <c r="G22" s="196"/>
      <c r="H22" s="49" t="s">
        <v>53</v>
      </c>
      <c r="I22" s="49" t="s">
        <v>308</v>
      </c>
      <c r="J22" s="204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352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434</v>
      </c>
      <c r="C23" s="201" t="s">
        <v>435</v>
      </c>
      <c r="D23" s="200" t="s">
        <v>436</v>
      </c>
      <c r="E23" s="201" t="s">
        <v>437</v>
      </c>
      <c r="F23" s="21" t="s">
        <v>371</v>
      </c>
      <c r="G23" s="196"/>
      <c r="H23" s="49" t="s">
        <v>53</v>
      </c>
      <c r="I23" s="49" t="s">
        <v>308</v>
      </c>
      <c r="J23" s="204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352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59" t="s">
        <v>431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344" t="s">
        <v>7</v>
      </c>
      <c r="L2" s="344"/>
      <c r="M2" s="344"/>
      <c r="N2" s="344"/>
      <c r="O2" s="345" t="s">
        <v>8</v>
      </c>
      <c r="P2" s="345"/>
      <c r="Q2" s="345"/>
      <c r="R2" s="346" t="s">
        <v>9</v>
      </c>
      <c r="S2" s="346" t="s">
        <v>10</v>
      </c>
      <c r="T2" s="346" t="s">
        <v>11</v>
      </c>
      <c r="U2" s="346" t="s">
        <v>12</v>
      </c>
      <c r="V2" s="346" t="s">
        <v>13</v>
      </c>
    </row>
    <row r="3" spans="1:22" s="2" customFormat="1" x14ac:dyDescent="0.3">
      <c r="A3" s="192" t="s">
        <v>6</v>
      </c>
      <c r="B3" s="19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2" t="s">
        <v>2</v>
      </c>
      <c r="I3" s="192" t="s">
        <v>173</v>
      </c>
      <c r="J3" s="192" t="s">
        <v>1</v>
      </c>
      <c r="K3" s="142" t="s">
        <v>14</v>
      </c>
      <c r="L3" s="143" t="s">
        <v>15</v>
      </c>
      <c r="M3" s="144" t="s">
        <v>16</v>
      </c>
      <c r="N3" s="145" t="s">
        <v>17</v>
      </c>
      <c r="O3" s="146" t="s">
        <v>18</v>
      </c>
      <c r="P3" s="147" t="s">
        <v>19</v>
      </c>
      <c r="Q3" s="148" t="s">
        <v>20</v>
      </c>
      <c r="R3" s="346"/>
      <c r="S3" s="346"/>
      <c r="T3" s="346"/>
      <c r="U3" s="346"/>
      <c r="V3" s="346"/>
    </row>
    <row r="4" spans="1:22" x14ac:dyDescent="0.3">
      <c r="A4" s="2">
        <v>1</v>
      </c>
      <c r="B4" s="1" t="s">
        <v>315</v>
      </c>
      <c r="C4" s="1" t="s">
        <v>424</v>
      </c>
      <c r="D4" s="3" t="s">
        <v>317</v>
      </c>
      <c r="E4" s="3" t="s">
        <v>316</v>
      </c>
      <c r="F4" s="1" t="s">
        <v>373</v>
      </c>
      <c r="H4" s="2" t="s">
        <v>53</v>
      </c>
      <c r="I4" s="2" t="s">
        <v>308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3">
        <v>300</v>
      </c>
    </row>
    <row r="5" spans="1:22" x14ac:dyDescent="0.3">
      <c r="A5" s="2">
        <v>2</v>
      </c>
      <c r="B5" s="141" t="s">
        <v>326</v>
      </c>
      <c r="C5" s="1" t="s">
        <v>408</v>
      </c>
      <c r="D5" s="53" t="s">
        <v>327</v>
      </c>
      <c r="E5" s="3" t="s">
        <v>409</v>
      </c>
      <c r="F5" s="1" t="s">
        <v>410</v>
      </c>
      <c r="H5" s="2" t="s">
        <v>53</v>
      </c>
      <c r="I5" s="2" t="s">
        <v>308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3">
        <v>185</v>
      </c>
    </row>
    <row r="6" spans="1:22" x14ac:dyDescent="0.3">
      <c r="A6" s="2">
        <v>3</v>
      </c>
      <c r="B6" s="1" t="s">
        <v>328</v>
      </c>
      <c r="C6" s="3" t="s">
        <v>411</v>
      </c>
      <c r="D6" s="3" t="s">
        <v>329</v>
      </c>
      <c r="E6" s="3" t="s">
        <v>330</v>
      </c>
      <c r="F6" s="3" t="s">
        <v>410</v>
      </c>
      <c r="G6" s="33"/>
      <c r="H6" s="2" t="s">
        <v>53</v>
      </c>
      <c r="I6" s="2" t="s">
        <v>331</v>
      </c>
      <c r="V6" s="193"/>
    </row>
    <row r="7" spans="1:22" ht="21" customHeight="1" x14ac:dyDescent="0.3">
      <c r="A7" s="2">
        <v>4</v>
      </c>
      <c r="B7" s="1" t="s">
        <v>342</v>
      </c>
      <c r="C7" s="3" t="s">
        <v>404</v>
      </c>
      <c r="D7" s="3" t="s">
        <v>343</v>
      </c>
      <c r="E7" s="3" t="s">
        <v>405</v>
      </c>
      <c r="F7" s="150" t="s">
        <v>406</v>
      </c>
      <c r="G7" s="33"/>
      <c r="H7" s="2" t="s">
        <v>53</v>
      </c>
      <c r="I7" s="2" t="s">
        <v>308</v>
      </c>
      <c r="V7" s="193"/>
    </row>
    <row r="8" spans="1:22" x14ac:dyDescent="0.3">
      <c r="A8" s="2">
        <v>5</v>
      </c>
      <c r="B8" s="1" t="s">
        <v>350</v>
      </c>
      <c r="C8" s="3" t="s">
        <v>407</v>
      </c>
      <c r="D8" s="3" t="s">
        <v>352</v>
      </c>
      <c r="E8" s="3" t="s">
        <v>351</v>
      </c>
      <c r="F8" s="3" t="s">
        <v>98</v>
      </c>
      <c r="G8" s="33"/>
      <c r="H8" s="2" t="s">
        <v>53</v>
      </c>
      <c r="I8" s="2" t="s">
        <v>308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3">
        <v>235</v>
      </c>
    </row>
    <row r="9" spans="1:22" x14ac:dyDescent="0.3">
      <c r="A9" s="2">
        <v>6</v>
      </c>
      <c r="B9" s="1" t="s">
        <v>402</v>
      </c>
      <c r="C9" s="3" t="s">
        <v>403</v>
      </c>
      <c r="D9" s="3" t="s">
        <v>367</v>
      </c>
      <c r="E9" s="3" t="s">
        <v>368</v>
      </c>
      <c r="F9" s="3" t="s">
        <v>371</v>
      </c>
      <c r="G9" s="33"/>
      <c r="H9" s="2" t="s">
        <v>53</v>
      </c>
      <c r="I9" s="2" t="s">
        <v>345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3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369</v>
      </c>
      <c r="V10" s="193"/>
    </row>
    <row r="11" spans="1:22" x14ac:dyDescent="0.3">
      <c r="A11" s="2">
        <v>8</v>
      </c>
      <c r="B11" s="1" t="s">
        <v>400</v>
      </c>
      <c r="C11" s="3" t="s">
        <v>412</v>
      </c>
      <c r="D11" s="3" t="s">
        <v>413</v>
      </c>
      <c r="E11" s="3" t="s">
        <v>414</v>
      </c>
      <c r="F11" s="3"/>
      <c r="G11" s="33"/>
      <c r="H11" s="2" t="s">
        <v>53</v>
      </c>
      <c r="I11" s="2" t="s">
        <v>308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3">
        <v>285</v>
      </c>
    </row>
    <row r="12" spans="1:22" x14ac:dyDescent="0.3">
      <c r="A12" s="2">
        <v>9</v>
      </c>
      <c r="B12" s="1" t="s">
        <v>416</v>
      </c>
      <c r="C12" s="3" t="s">
        <v>417</v>
      </c>
      <c r="D12" s="3" t="s">
        <v>401</v>
      </c>
      <c r="E12" s="3" t="s">
        <v>418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3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415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3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58" customWidth="1"/>
    <col min="4" max="4" width="20.85546875" style="158" customWidth="1"/>
    <col min="5" max="5" width="37.5703125" customWidth="1"/>
    <col min="6" max="6" width="43.85546875" customWidth="1"/>
    <col min="7" max="7" width="12.85546875" style="59" customWidth="1"/>
    <col min="8" max="8" width="16.140625" style="59" customWidth="1"/>
    <col min="9" max="9" width="19.140625" style="59" customWidth="1"/>
    <col min="10" max="10" width="17.140625" customWidth="1"/>
  </cols>
  <sheetData>
    <row r="1" spans="1:22" ht="18.75" x14ac:dyDescent="0.3">
      <c r="A1" s="2"/>
      <c r="B1" s="159" t="s">
        <v>502</v>
      </c>
      <c r="C1" s="76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3"/>
      <c r="G2" s="33"/>
      <c r="H2" s="2"/>
      <c r="I2" s="2"/>
      <c r="J2" s="1"/>
      <c r="K2" s="344" t="s">
        <v>7</v>
      </c>
      <c r="L2" s="344"/>
      <c r="M2" s="344"/>
      <c r="N2" s="344"/>
      <c r="O2" s="345" t="s">
        <v>8</v>
      </c>
      <c r="P2" s="345"/>
      <c r="Q2" s="345"/>
      <c r="R2" s="357" t="s">
        <v>322</v>
      </c>
      <c r="S2" s="357" t="s">
        <v>323</v>
      </c>
      <c r="T2" s="346" t="s">
        <v>11</v>
      </c>
      <c r="U2" s="346" t="s">
        <v>12</v>
      </c>
      <c r="V2" s="357" t="s">
        <v>324</v>
      </c>
    </row>
    <row r="3" spans="1:22" s="22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46"/>
      <c r="S3" s="346"/>
      <c r="T3" s="346"/>
      <c r="U3" s="346"/>
      <c r="V3" s="346"/>
    </row>
    <row r="4" spans="1:22" ht="18.75" x14ac:dyDescent="0.3">
      <c r="A4" s="2">
        <v>1</v>
      </c>
      <c r="B4" s="1" t="s">
        <v>312</v>
      </c>
      <c r="C4" s="149">
        <v>35107</v>
      </c>
      <c r="D4" s="34" t="s">
        <v>313</v>
      </c>
      <c r="E4" s="3" t="s">
        <v>314</v>
      </c>
      <c r="F4" s="1"/>
      <c r="G4" s="2"/>
      <c r="H4" s="2" t="s">
        <v>53</v>
      </c>
      <c r="I4" s="2" t="s">
        <v>308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438</v>
      </c>
      <c r="C5" s="34" t="s">
        <v>483</v>
      </c>
      <c r="D5" s="191" t="s">
        <v>439</v>
      </c>
      <c r="E5" s="3" t="s">
        <v>484</v>
      </c>
      <c r="F5" s="3" t="s">
        <v>485</v>
      </c>
      <c r="G5" s="33"/>
      <c r="H5" s="2" t="s">
        <v>53</v>
      </c>
      <c r="I5" s="2" t="s">
        <v>308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49">
        <v>35471</v>
      </c>
      <c r="D6" s="191" t="s">
        <v>262</v>
      </c>
      <c r="E6" s="3" t="s">
        <v>261</v>
      </c>
      <c r="F6" s="3" t="s">
        <v>69</v>
      </c>
      <c r="G6" s="33"/>
      <c r="H6" s="2"/>
      <c r="I6" s="2" t="s">
        <v>446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440</v>
      </c>
      <c r="C7" s="34" t="s">
        <v>475</v>
      </c>
      <c r="D7" s="34" t="s">
        <v>441</v>
      </c>
      <c r="E7" s="3" t="s">
        <v>476</v>
      </c>
      <c r="F7" s="3" t="s">
        <v>235</v>
      </c>
      <c r="G7" s="33"/>
      <c r="H7" s="2" t="s">
        <v>53</v>
      </c>
      <c r="I7" s="2" t="s">
        <v>331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442</v>
      </c>
      <c r="C8" s="34" t="s">
        <v>477</v>
      </c>
      <c r="D8" s="34" t="s">
        <v>444</v>
      </c>
      <c r="E8" s="3" t="s">
        <v>476</v>
      </c>
      <c r="F8" s="3" t="s">
        <v>235</v>
      </c>
      <c r="G8" s="33"/>
      <c r="H8" s="2" t="s">
        <v>53</v>
      </c>
      <c r="I8" s="2" t="s">
        <v>331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443</v>
      </c>
      <c r="C9" s="149">
        <v>35217</v>
      </c>
      <c r="D9" s="191" t="s">
        <v>445</v>
      </c>
      <c r="E9" s="1" t="s">
        <v>476</v>
      </c>
      <c r="F9" s="1" t="s">
        <v>235</v>
      </c>
      <c r="G9" s="2"/>
      <c r="H9" s="2" t="s">
        <v>53</v>
      </c>
      <c r="I9" s="2" t="s">
        <v>331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448</v>
      </c>
      <c r="C10" s="76" t="s">
        <v>486</v>
      </c>
      <c r="D10" s="191" t="s">
        <v>449</v>
      </c>
      <c r="E10" s="1" t="s">
        <v>487</v>
      </c>
      <c r="F10" s="1" t="s">
        <v>488</v>
      </c>
      <c r="G10" s="2"/>
      <c r="H10" s="2" t="s">
        <v>53</v>
      </c>
      <c r="I10" s="2" t="s">
        <v>308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451</v>
      </c>
      <c r="C11" s="149">
        <v>34820</v>
      </c>
      <c r="D11" s="34" t="s">
        <v>454</v>
      </c>
      <c r="E11" s="1" t="s">
        <v>478</v>
      </c>
      <c r="F11" s="1" t="s">
        <v>479</v>
      </c>
      <c r="G11" s="2"/>
      <c r="H11" s="2" t="s">
        <v>53</v>
      </c>
      <c r="I11" s="2" t="s">
        <v>331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452</v>
      </c>
      <c r="C12" s="76" t="s">
        <v>480</v>
      </c>
      <c r="D12" s="191" t="s">
        <v>455</v>
      </c>
      <c r="E12" s="1" t="s">
        <v>481</v>
      </c>
      <c r="F12" s="1" t="s">
        <v>235</v>
      </c>
      <c r="G12" s="2"/>
      <c r="H12" s="2" t="s">
        <v>53</v>
      </c>
      <c r="I12" s="2" t="s">
        <v>308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453</v>
      </c>
      <c r="C13" s="149">
        <v>35318</v>
      </c>
      <c r="D13" s="34" t="s">
        <v>456</v>
      </c>
      <c r="E13" s="1" t="s">
        <v>482</v>
      </c>
      <c r="F13" s="1" t="s">
        <v>235</v>
      </c>
      <c r="G13" s="2"/>
      <c r="H13" s="2" t="s">
        <v>53</v>
      </c>
      <c r="I13" s="2" t="s">
        <v>331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490</v>
      </c>
      <c r="C14" s="76" t="s">
        <v>500</v>
      </c>
      <c r="D14" s="34" t="s">
        <v>491</v>
      </c>
      <c r="E14" s="1" t="s">
        <v>501</v>
      </c>
      <c r="G14" s="2"/>
      <c r="H14" s="2" t="s">
        <v>53</v>
      </c>
      <c r="I14" s="2" t="s">
        <v>308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496</v>
      </c>
      <c r="C15" s="149">
        <v>32606</v>
      </c>
      <c r="D15" s="34" t="s">
        <v>497</v>
      </c>
      <c r="E15" s="1" t="s">
        <v>498</v>
      </c>
      <c r="F15" s="1" t="s">
        <v>499</v>
      </c>
      <c r="G15" s="2"/>
      <c r="H15" s="2" t="s">
        <v>53</v>
      </c>
      <c r="I15" s="2" t="s">
        <v>331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58" customWidth="1"/>
    <col min="4" max="4" width="23.140625" customWidth="1"/>
    <col min="5" max="5" width="48.28515625" customWidth="1"/>
    <col min="6" max="6" width="31.42578125" style="158" customWidth="1"/>
    <col min="7" max="7" width="17.42578125" customWidth="1"/>
    <col min="8" max="8" width="14.7109375" customWidth="1"/>
    <col min="9" max="9" width="17.28515625" customWidth="1"/>
    <col min="10" max="10" width="15" style="59" customWidth="1"/>
  </cols>
  <sheetData>
    <row r="1" spans="1:22" ht="18.75" x14ac:dyDescent="0.3">
      <c r="A1" s="2"/>
      <c r="B1" s="159" t="s">
        <v>503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6"/>
      <c r="D2" s="34"/>
      <c r="E2" s="33"/>
      <c r="F2" s="34"/>
      <c r="G2" s="33"/>
      <c r="H2" s="2"/>
      <c r="I2" s="2"/>
      <c r="J2" s="2"/>
      <c r="K2" s="355" t="s">
        <v>7</v>
      </c>
      <c r="L2" s="355"/>
      <c r="M2" s="355"/>
      <c r="N2" s="355"/>
      <c r="O2" s="356" t="s">
        <v>8</v>
      </c>
      <c r="P2" s="356"/>
      <c r="Q2" s="356"/>
      <c r="R2" s="351" t="s">
        <v>322</v>
      </c>
      <c r="S2" s="351" t="s">
        <v>323</v>
      </c>
      <c r="T2" s="350" t="s">
        <v>11</v>
      </c>
      <c r="U2" s="350" t="s">
        <v>12</v>
      </c>
      <c r="V2" s="351" t="s">
        <v>324</v>
      </c>
    </row>
    <row r="3" spans="1:22" ht="18.75" x14ac:dyDescent="0.3">
      <c r="A3" s="156" t="s">
        <v>6</v>
      </c>
      <c r="B3" s="156" t="s">
        <v>5</v>
      </c>
      <c r="C3" s="184" t="s">
        <v>4</v>
      </c>
      <c r="D3" s="157" t="s">
        <v>3</v>
      </c>
      <c r="E3" s="157" t="s">
        <v>117</v>
      </c>
      <c r="F3" s="184" t="s">
        <v>71</v>
      </c>
      <c r="G3" s="157" t="s">
        <v>106</v>
      </c>
      <c r="H3" s="156" t="s">
        <v>2</v>
      </c>
      <c r="I3" s="156" t="s">
        <v>173</v>
      </c>
      <c r="J3" s="167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50"/>
      <c r="S3" s="350"/>
      <c r="T3" s="350"/>
      <c r="U3" s="350"/>
      <c r="V3" s="350"/>
    </row>
    <row r="4" spans="1:22" s="190" customFormat="1" ht="18.75" x14ac:dyDescent="0.3">
      <c r="A4" s="185">
        <v>1</v>
      </c>
      <c r="B4" s="186" t="s">
        <v>188</v>
      </c>
      <c r="C4" s="187" t="s">
        <v>256</v>
      </c>
      <c r="D4" s="188" t="s">
        <v>189</v>
      </c>
      <c r="E4" s="189" t="s">
        <v>257</v>
      </c>
      <c r="F4" s="187" t="s">
        <v>89</v>
      </c>
      <c r="G4" s="185"/>
      <c r="H4" s="185" t="s">
        <v>53</v>
      </c>
      <c r="I4" s="185" t="s">
        <v>450</v>
      </c>
      <c r="J4" s="185"/>
      <c r="K4" s="186"/>
      <c r="L4" s="186"/>
      <c r="M4" s="186"/>
      <c r="N4" s="186"/>
      <c r="O4" s="186"/>
      <c r="P4" s="186"/>
      <c r="Q4" s="186"/>
      <c r="R4" s="186"/>
      <c r="S4" s="186"/>
      <c r="T4" s="186"/>
      <c r="U4" s="186"/>
      <c r="V4" s="186"/>
    </row>
    <row r="5" spans="1:22" ht="18.75" x14ac:dyDescent="0.3">
      <c r="A5" s="2">
        <v>2</v>
      </c>
      <c r="B5" s="1" t="s">
        <v>202</v>
      </c>
      <c r="C5" s="149">
        <v>34705</v>
      </c>
      <c r="D5" s="73" t="s">
        <v>466</v>
      </c>
      <c r="E5" s="34" t="s">
        <v>467</v>
      </c>
      <c r="F5" s="34" t="s">
        <v>260</v>
      </c>
      <c r="G5" s="33"/>
      <c r="H5" s="2" t="s">
        <v>53</v>
      </c>
      <c r="I5" s="2" t="s">
        <v>450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465</v>
      </c>
      <c r="C6" s="149">
        <v>34983</v>
      </c>
      <c r="D6" s="34" t="s">
        <v>457</v>
      </c>
      <c r="E6" s="3" t="s">
        <v>468</v>
      </c>
      <c r="F6" s="34" t="s">
        <v>260</v>
      </c>
      <c r="G6" s="33"/>
      <c r="H6" s="2" t="s">
        <v>53</v>
      </c>
      <c r="I6" s="2" t="s">
        <v>308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458</v>
      </c>
      <c r="C7" s="34" t="s">
        <v>469</v>
      </c>
      <c r="D7" s="34" t="s">
        <v>459</v>
      </c>
      <c r="E7" s="3" t="s">
        <v>468</v>
      </c>
      <c r="F7" s="34" t="s">
        <v>470</v>
      </c>
      <c r="G7" s="33"/>
      <c r="H7" s="2" t="s">
        <v>53</v>
      </c>
      <c r="I7" s="2" t="s">
        <v>331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3" customFormat="1" ht="18.75" x14ac:dyDescent="0.3">
      <c r="A8" s="178">
        <v>5</v>
      </c>
      <c r="B8" s="179" t="s">
        <v>462</v>
      </c>
      <c r="C8" s="180" t="s">
        <v>472</v>
      </c>
      <c r="D8" s="180" t="s">
        <v>460</v>
      </c>
      <c r="E8" s="181" t="s">
        <v>461</v>
      </c>
      <c r="F8" s="180" t="s">
        <v>471</v>
      </c>
      <c r="G8" s="182"/>
      <c r="H8" s="178" t="s">
        <v>53</v>
      </c>
      <c r="I8" s="178" t="s">
        <v>308</v>
      </c>
      <c r="J8" s="178"/>
      <c r="K8" s="179">
        <v>3</v>
      </c>
      <c r="L8" s="179">
        <v>16</v>
      </c>
      <c r="M8" s="179">
        <v>10</v>
      </c>
      <c r="N8" s="179">
        <v>12</v>
      </c>
      <c r="O8" s="179">
        <v>10</v>
      </c>
      <c r="P8" s="179">
        <v>3</v>
      </c>
      <c r="Q8" s="179">
        <v>12</v>
      </c>
      <c r="R8" s="179">
        <v>41</v>
      </c>
      <c r="S8" s="179">
        <v>25</v>
      </c>
      <c r="T8" s="179">
        <v>190</v>
      </c>
      <c r="U8" s="179">
        <v>60</v>
      </c>
      <c r="V8" s="179">
        <v>250</v>
      </c>
    </row>
    <row r="9" spans="1:22" ht="18.75" x14ac:dyDescent="0.3">
      <c r="A9" s="2">
        <v>6</v>
      </c>
      <c r="B9" s="1" t="s">
        <v>52</v>
      </c>
      <c r="C9" s="76" t="s">
        <v>96</v>
      </c>
      <c r="D9" s="34" t="s">
        <v>92</v>
      </c>
      <c r="E9" s="1" t="s">
        <v>128</v>
      </c>
      <c r="F9" s="76" t="s">
        <v>76</v>
      </c>
      <c r="G9" s="2"/>
      <c r="H9" s="2" t="s">
        <v>53</v>
      </c>
      <c r="I9" s="2" t="s">
        <v>489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7" t="s">
        <v>63</v>
      </c>
      <c r="C10" s="58" t="s">
        <v>85</v>
      </c>
      <c r="D10" s="74" t="s">
        <v>86</v>
      </c>
      <c r="E10" s="58" t="s">
        <v>125</v>
      </c>
      <c r="F10" s="58" t="s">
        <v>89</v>
      </c>
      <c r="G10" s="2"/>
      <c r="H10" s="2" t="s">
        <v>53</v>
      </c>
      <c r="I10" s="2" t="s">
        <v>450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463</v>
      </c>
      <c r="C11" s="76" t="s">
        <v>473</v>
      </c>
      <c r="D11" s="74" t="s">
        <v>464</v>
      </c>
      <c r="E11" s="1" t="s">
        <v>474</v>
      </c>
      <c r="F11" s="76" t="s">
        <v>89</v>
      </c>
      <c r="G11" s="2"/>
      <c r="H11" s="2" t="s">
        <v>53</v>
      </c>
      <c r="I11" s="2" t="s">
        <v>331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6" t="s">
        <v>249</v>
      </c>
      <c r="D12" s="74" t="s">
        <v>504</v>
      </c>
      <c r="E12" s="1"/>
      <c r="F12" s="76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6"/>
      <c r="D13" s="76"/>
      <c r="E13" s="1"/>
      <c r="F13" s="76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58"/>
      <c r="G14" s="59"/>
      <c r="H14" s="59"/>
      <c r="I14" s="59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B7" sqref="B7"/>
    </sheetView>
  </sheetViews>
  <sheetFormatPr defaultRowHeight="15" x14ac:dyDescent="0.25"/>
  <cols>
    <col min="1" max="1" width="6.28515625" style="225" customWidth="1"/>
    <col min="2" max="2" width="26.28515625" style="216" customWidth="1"/>
    <col min="3" max="3" width="20.5703125" style="69" customWidth="1"/>
    <col min="4" max="4" width="28" style="226" customWidth="1"/>
    <col min="5" max="5" width="32.5703125" style="216" customWidth="1"/>
    <col min="6" max="6" width="15.5703125" style="216" bestFit="1" customWidth="1"/>
    <col min="7" max="7" width="12.85546875" style="216" bestFit="1" customWidth="1"/>
    <col min="8" max="8" width="9.7109375" style="216" bestFit="1" customWidth="1"/>
    <col min="9" max="9" width="16.5703125" style="225" bestFit="1" customWidth="1"/>
    <col min="10" max="10" width="10.7109375" style="216" bestFit="1" customWidth="1"/>
    <col min="11" max="22" width="9.28515625" style="216" bestFit="1" customWidth="1"/>
    <col min="23" max="16384" width="9.140625" style="216"/>
  </cols>
  <sheetData>
    <row r="1" spans="1:22" ht="18.75" x14ac:dyDescent="0.3">
      <c r="A1" s="211"/>
      <c r="B1" s="215" t="s">
        <v>507</v>
      </c>
      <c r="C1" s="212"/>
      <c r="D1" s="213"/>
      <c r="E1" s="214"/>
      <c r="F1" s="214"/>
      <c r="G1" s="214"/>
      <c r="H1" s="211"/>
      <c r="I1" s="211"/>
      <c r="J1" s="141"/>
      <c r="K1" s="211"/>
      <c r="L1" s="211"/>
      <c r="M1" s="211"/>
      <c r="N1" s="211"/>
      <c r="O1" s="211"/>
      <c r="P1" s="211"/>
      <c r="Q1" s="211"/>
      <c r="R1" s="141"/>
      <c r="S1" s="141"/>
      <c r="T1" s="141"/>
      <c r="U1" s="141"/>
      <c r="V1" s="141"/>
    </row>
    <row r="2" spans="1:22" ht="18.75" x14ac:dyDescent="0.3">
      <c r="A2" s="211"/>
      <c r="B2" s="141"/>
      <c r="C2" s="212"/>
      <c r="D2" s="213"/>
      <c r="E2" s="214"/>
      <c r="F2" s="214"/>
      <c r="G2" s="214"/>
      <c r="H2" s="211"/>
      <c r="I2" s="211"/>
      <c r="J2" s="141"/>
      <c r="K2" s="360" t="s">
        <v>7</v>
      </c>
      <c r="L2" s="360"/>
      <c r="M2" s="360"/>
      <c r="N2" s="360"/>
      <c r="O2" s="361" t="s">
        <v>8</v>
      </c>
      <c r="P2" s="361"/>
      <c r="Q2" s="361"/>
      <c r="R2" s="359" t="s">
        <v>322</v>
      </c>
      <c r="S2" s="359" t="s">
        <v>323</v>
      </c>
      <c r="T2" s="358" t="s">
        <v>11</v>
      </c>
      <c r="U2" s="358" t="s">
        <v>12</v>
      </c>
      <c r="V2" s="359" t="s">
        <v>324</v>
      </c>
    </row>
    <row r="3" spans="1:22" s="227" customFormat="1" ht="18.75" x14ac:dyDescent="0.3">
      <c r="A3" s="156" t="s">
        <v>6</v>
      </c>
      <c r="B3" s="156" t="s">
        <v>5</v>
      </c>
      <c r="C3" s="157" t="s">
        <v>4</v>
      </c>
      <c r="D3" s="157" t="s">
        <v>3</v>
      </c>
      <c r="E3" s="157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56" t="s">
        <v>1</v>
      </c>
      <c r="K3" s="160" t="s">
        <v>14</v>
      </c>
      <c r="L3" s="161" t="s">
        <v>15</v>
      </c>
      <c r="M3" s="162" t="s">
        <v>16</v>
      </c>
      <c r="N3" s="163" t="s">
        <v>17</v>
      </c>
      <c r="O3" s="164" t="s">
        <v>18</v>
      </c>
      <c r="P3" s="165" t="s">
        <v>19</v>
      </c>
      <c r="Q3" s="166" t="s">
        <v>20</v>
      </c>
      <c r="R3" s="358"/>
      <c r="S3" s="358"/>
      <c r="T3" s="358"/>
      <c r="U3" s="358"/>
      <c r="V3" s="358"/>
    </row>
    <row r="4" spans="1:22" s="221" customFormat="1" ht="18.75" x14ac:dyDescent="0.3">
      <c r="A4" s="217">
        <v>1</v>
      </c>
      <c r="B4" s="218" t="s">
        <v>519</v>
      </c>
      <c r="C4" s="219"/>
      <c r="D4" s="220" t="s">
        <v>518</v>
      </c>
      <c r="E4" s="218"/>
      <c r="F4" s="218"/>
      <c r="G4" s="218"/>
      <c r="H4" s="218"/>
      <c r="I4" s="217" t="s">
        <v>308</v>
      </c>
      <c r="J4" s="218"/>
      <c r="K4" s="217">
        <v>4</v>
      </c>
      <c r="L4" s="217">
        <v>11</v>
      </c>
      <c r="M4" s="217">
        <v>4</v>
      </c>
      <c r="N4" s="217">
        <v>8</v>
      </c>
      <c r="O4" s="217">
        <v>15</v>
      </c>
      <c r="P4" s="217">
        <v>4</v>
      </c>
      <c r="Q4" s="217">
        <v>13</v>
      </c>
      <c r="R4" s="217">
        <f>SUM(K4:N4)</f>
        <v>27</v>
      </c>
      <c r="S4" s="217">
        <f>SUM(O4:Q4)</f>
        <v>32</v>
      </c>
      <c r="T4" s="217">
        <v>115</v>
      </c>
      <c r="U4" s="217">
        <v>100</v>
      </c>
      <c r="V4" s="217">
        <f>T4+U4</f>
        <v>215</v>
      </c>
    </row>
    <row r="5" spans="1:22" ht="18.75" x14ac:dyDescent="0.3">
      <c r="A5" s="211">
        <v>2</v>
      </c>
      <c r="B5" s="141" t="s">
        <v>508</v>
      </c>
      <c r="C5" s="212"/>
      <c r="D5" s="213" t="s">
        <v>509</v>
      </c>
      <c r="E5" s="141"/>
      <c r="F5" s="141"/>
      <c r="G5" s="141"/>
      <c r="H5" s="141"/>
      <c r="I5" s="211" t="s">
        <v>308</v>
      </c>
      <c r="J5" s="141"/>
      <c r="K5" s="141"/>
      <c r="L5" s="141"/>
      <c r="M5" s="141"/>
      <c r="N5" s="141"/>
      <c r="O5" s="141"/>
      <c r="P5" s="141"/>
      <c r="Q5" s="141"/>
      <c r="R5" s="141"/>
      <c r="S5" s="141"/>
      <c r="T5" s="141"/>
      <c r="U5" s="141"/>
      <c r="V5" s="141"/>
    </row>
    <row r="6" spans="1:22" ht="18.75" x14ac:dyDescent="0.3">
      <c r="A6" s="211">
        <v>3</v>
      </c>
      <c r="B6" s="212" t="s">
        <v>514</v>
      </c>
      <c r="C6" s="222">
        <v>35005</v>
      </c>
      <c r="D6" s="213" t="s">
        <v>516</v>
      </c>
      <c r="E6" s="141" t="s">
        <v>529</v>
      </c>
      <c r="F6" s="141"/>
      <c r="G6" s="211" t="s">
        <v>53</v>
      </c>
      <c r="H6" s="141"/>
      <c r="I6" s="211" t="s">
        <v>308</v>
      </c>
      <c r="J6" s="141"/>
      <c r="K6" s="141"/>
      <c r="L6" s="141"/>
      <c r="M6" s="141"/>
      <c r="N6" s="141"/>
      <c r="O6" s="141"/>
      <c r="P6" s="141"/>
      <c r="Q6" s="141"/>
      <c r="R6" s="141"/>
      <c r="S6" s="141"/>
      <c r="T6" s="141"/>
      <c r="U6" s="141"/>
      <c r="V6" s="141"/>
    </row>
    <row r="7" spans="1:22" ht="18.75" x14ac:dyDescent="0.3">
      <c r="A7" s="211">
        <v>4</v>
      </c>
      <c r="B7" s="212" t="s">
        <v>515</v>
      </c>
      <c r="C7" s="212" t="s">
        <v>527</v>
      </c>
      <c r="D7" s="213" t="s">
        <v>517</v>
      </c>
      <c r="E7" s="141" t="s">
        <v>530</v>
      </c>
      <c r="F7" s="141"/>
      <c r="G7" s="211" t="s">
        <v>53</v>
      </c>
      <c r="H7" s="141"/>
      <c r="I7" s="211" t="s">
        <v>308</v>
      </c>
      <c r="J7" s="141"/>
      <c r="K7" s="141"/>
      <c r="L7" s="141"/>
      <c r="M7" s="141"/>
      <c r="N7" s="141"/>
      <c r="O7" s="141"/>
      <c r="P7" s="141"/>
      <c r="Q7" s="141"/>
      <c r="R7" s="141"/>
      <c r="S7" s="141"/>
      <c r="T7" s="141"/>
      <c r="U7" s="141"/>
      <c r="V7" s="141"/>
    </row>
    <row r="8" spans="1:22" ht="18.75" x14ac:dyDescent="0.3">
      <c r="A8" s="211">
        <v>5</v>
      </c>
      <c r="B8" s="223" t="s">
        <v>521</v>
      </c>
      <c r="C8" s="212" t="s">
        <v>528</v>
      </c>
      <c r="D8" s="213" t="s">
        <v>522</v>
      </c>
      <c r="E8" s="208" t="s">
        <v>532</v>
      </c>
      <c r="F8" s="141"/>
      <c r="G8" s="211" t="s">
        <v>53</v>
      </c>
      <c r="H8" s="141"/>
      <c r="I8" s="211" t="s">
        <v>345</v>
      </c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</row>
    <row r="9" spans="1:22" ht="18.75" x14ac:dyDescent="0.3">
      <c r="A9" s="211">
        <v>6</v>
      </c>
      <c r="B9" s="223" t="s">
        <v>523</v>
      </c>
      <c r="C9" s="212" t="s">
        <v>526</v>
      </c>
      <c r="D9" s="224" t="s">
        <v>524</v>
      </c>
      <c r="E9" s="141" t="s">
        <v>531</v>
      </c>
      <c r="F9" s="141"/>
      <c r="G9" s="211" t="s">
        <v>53</v>
      </c>
      <c r="H9" s="141"/>
      <c r="I9" s="211" t="s">
        <v>308</v>
      </c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</row>
    <row r="10" spans="1:22" ht="18.75" x14ac:dyDescent="0.3">
      <c r="A10" s="211">
        <v>7</v>
      </c>
      <c r="B10" s="223" t="s">
        <v>543</v>
      </c>
      <c r="C10" s="222">
        <v>35342</v>
      </c>
      <c r="D10" s="213" t="s">
        <v>533</v>
      </c>
      <c r="E10" s="208" t="s">
        <v>534</v>
      </c>
      <c r="F10" s="141"/>
      <c r="G10" s="211" t="s">
        <v>53</v>
      </c>
      <c r="H10" s="141"/>
      <c r="I10" s="21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41"/>
      <c r="V10" s="141"/>
    </row>
    <row r="11" spans="1:22" s="290" customFormat="1" ht="18.75" x14ac:dyDescent="0.3">
      <c r="A11" s="285">
        <v>8</v>
      </c>
      <c r="B11" s="286" t="s">
        <v>535</v>
      </c>
      <c r="C11" s="287">
        <v>33428</v>
      </c>
      <c r="D11" s="288" t="s">
        <v>536</v>
      </c>
      <c r="E11" s="289" t="s">
        <v>537</v>
      </c>
      <c r="F11" s="289"/>
      <c r="G11" s="285" t="s">
        <v>53</v>
      </c>
      <c r="H11" s="289"/>
      <c r="I11" s="285"/>
      <c r="J11" s="289"/>
      <c r="K11" s="289"/>
      <c r="L11" s="289"/>
      <c r="M11" s="289"/>
      <c r="N11" s="289"/>
      <c r="O11" s="289"/>
      <c r="P11" s="289"/>
      <c r="Q11" s="289"/>
      <c r="R11" s="289"/>
      <c r="S11" s="289"/>
      <c r="T11" s="289"/>
      <c r="U11" s="289"/>
      <c r="V11" s="289"/>
    </row>
    <row r="12" spans="1:22" ht="18.75" x14ac:dyDescent="0.3">
      <c r="A12" s="211"/>
      <c r="B12" s="141"/>
      <c r="C12" s="212"/>
      <c r="D12" s="213"/>
      <c r="E12" s="211"/>
      <c r="F12" s="141"/>
      <c r="G12" s="141"/>
      <c r="H12" s="141"/>
      <c r="I12" s="21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41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topLeftCell="G1" workbookViewId="0">
      <selection activeCell="Q5" sqref="Q5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59" t="s">
        <v>506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55" t="s">
        <v>7</v>
      </c>
      <c r="K2" s="355"/>
      <c r="L2" s="355"/>
      <c r="M2" s="355"/>
      <c r="N2" s="356" t="s">
        <v>8</v>
      </c>
      <c r="O2" s="356"/>
      <c r="P2" s="356"/>
      <c r="Q2" s="351" t="s">
        <v>322</v>
      </c>
      <c r="R2" s="351" t="s">
        <v>323</v>
      </c>
      <c r="S2" s="350" t="s">
        <v>11</v>
      </c>
      <c r="T2" s="350" t="s">
        <v>12</v>
      </c>
      <c r="U2" s="351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50"/>
      <c r="R3" s="350"/>
      <c r="S3" s="350"/>
      <c r="T3" s="350"/>
      <c r="U3" s="350"/>
    </row>
    <row r="4" spans="1:21" x14ac:dyDescent="0.3">
      <c r="A4" s="2">
        <v>1</v>
      </c>
      <c r="B4" s="1" t="s">
        <v>362</v>
      </c>
      <c r="C4" s="149">
        <v>35013</v>
      </c>
      <c r="D4" s="207" t="s">
        <v>392</v>
      </c>
      <c r="E4" s="34" t="s">
        <v>363</v>
      </c>
      <c r="F4" s="34"/>
      <c r="G4" s="33"/>
      <c r="H4" s="2" t="s">
        <v>53</v>
      </c>
      <c r="I4" s="2" t="s">
        <v>450</v>
      </c>
      <c r="J4" s="1">
        <v>5</v>
      </c>
      <c r="K4" s="1">
        <v>21</v>
      </c>
      <c r="L4" s="1">
        <v>17</v>
      </c>
      <c r="M4" s="1">
        <v>14</v>
      </c>
      <c r="N4" s="1">
        <v>32</v>
      </c>
      <c r="O4" s="1">
        <v>5</v>
      </c>
      <c r="P4" s="1">
        <v>32</v>
      </c>
      <c r="Q4" s="1">
        <v>57</v>
      </c>
      <c r="R4" s="1">
        <v>69</v>
      </c>
      <c r="S4" s="1">
        <v>295</v>
      </c>
      <c r="T4" s="1">
        <v>330</v>
      </c>
      <c r="U4" s="1">
        <v>625</v>
      </c>
    </row>
    <row r="5" spans="1:21" x14ac:dyDescent="0.3">
      <c r="A5" s="2">
        <v>2</v>
      </c>
      <c r="B5" s="1" t="s">
        <v>333</v>
      </c>
      <c r="C5" s="149">
        <v>34824</v>
      </c>
      <c r="D5" s="34" t="s">
        <v>336</v>
      </c>
      <c r="E5" s="3" t="s">
        <v>334</v>
      </c>
      <c r="F5" s="34"/>
      <c r="G5" s="33"/>
      <c r="H5" s="2" t="s">
        <v>53</v>
      </c>
      <c r="I5" s="2" t="s">
        <v>450</v>
      </c>
    </row>
    <row r="6" spans="1:21" x14ac:dyDescent="0.3">
      <c r="A6" s="2">
        <v>3</v>
      </c>
      <c r="B6" s="1" t="s">
        <v>510</v>
      </c>
      <c r="C6" s="34" t="s">
        <v>538</v>
      </c>
      <c r="D6" s="34" t="s">
        <v>511</v>
      </c>
      <c r="E6" s="3" t="s">
        <v>512</v>
      </c>
      <c r="F6" s="34"/>
      <c r="G6" s="33" t="s">
        <v>53</v>
      </c>
      <c r="H6" s="2" t="s">
        <v>53</v>
      </c>
      <c r="I6" s="2" t="s">
        <v>513</v>
      </c>
    </row>
    <row r="7" spans="1:21" x14ac:dyDescent="0.3">
      <c r="A7" s="178">
        <v>4</v>
      </c>
      <c r="B7" s="208" t="s">
        <v>423</v>
      </c>
      <c r="C7" s="180" t="s">
        <v>422</v>
      </c>
      <c r="D7" s="180" t="s">
        <v>525</v>
      </c>
      <c r="E7" s="181" t="s">
        <v>541</v>
      </c>
      <c r="F7" s="180"/>
      <c r="G7" s="182"/>
      <c r="H7" s="178" t="s">
        <v>53</v>
      </c>
      <c r="I7" s="178" t="s">
        <v>513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08" t="s">
        <v>539</v>
      </c>
      <c r="C8" s="1" t="s">
        <v>592</v>
      </c>
      <c r="D8" s="180" t="s">
        <v>548</v>
      </c>
      <c r="E8" s="210" t="s">
        <v>540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M8" sqref="M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0.8554687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59" t="s">
        <v>544</v>
      </c>
      <c r="C1" s="76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J2" s="355" t="s">
        <v>7</v>
      </c>
      <c r="K2" s="355"/>
      <c r="L2" s="355"/>
      <c r="M2" s="355"/>
      <c r="N2" s="356" t="s">
        <v>8</v>
      </c>
      <c r="O2" s="356"/>
      <c r="P2" s="356"/>
      <c r="Q2" s="351" t="s">
        <v>322</v>
      </c>
      <c r="R2" s="351" t="s">
        <v>323</v>
      </c>
      <c r="S2" s="350" t="s">
        <v>11</v>
      </c>
      <c r="T2" s="350" t="s">
        <v>12</v>
      </c>
      <c r="U2" s="351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50"/>
      <c r="R3" s="350"/>
      <c r="S3" s="350"/>
      <c r="T3" s="350"/>
      <c r="U3" s="350"/>
    </row>
    <row r="4" spans="1:21" x14ac:dyDescent="0.3">
      <c r="A4" s="2">
        <v>1</v>
      </c>
      <c r="B4" s="1" t="s">
        <v>519</v>
      </c>
      <c r="C4" s="34" t="s">
        <v>575</v>
      </c>
      <c r="D4" s="191" t="s">
        <v>518</v>
      </c>
      <c r="E4" s="3" t="s">
        <v>576</v>
      </c>
      <c r="F4" s="3" t="s">
        <v>577</v>
      </c>
      <c r="G4" s="33"/>
      <c r="H4" s="2" t="s">
        <v>446</v>
      </c>
      <c r="I4" s="2" t="s">
        <v>545</v>
      </c>
      <c r="J4" s="2">
        <v>6</v>
      </c>
      <c r="K4" s="2">
        <v>18</v>
      </c>
      <c r="L4" s="2">
        <v>22</v>
      </c>
      <c r="M4" s="2">
        <v>10</v>
      </c>
      <c r="N4" s="2">
        <v>27</v>
      </c>
      <c r="O4" s="2">
        <v>7</v>
      </c>
      <c r="P4" s="2">
        <v>27</v>
      </c>
      <c r="Q4" s="2">
        <v>56</v>
      </c>
      <c r="R4" s="2">
        <v>61</v>
      </c>
      <c r="S4" s="2">
        <v>290</v>
      </c>
      <c r="T4" s="2">
        <v>208</v>
      </c>
      <c r="U4" s="327">
        <v>570</v>
      </c>
    </row>
    <row r="5" spans="1:21" s="269" customFormat="1" ht="37.5" x14ac:dyDescent="0.25">
      <c r="A5" s="268">
        <v>2</v>
      </c>
      <c r="B5" s="269" t="s">
        <v>546</v>
      </c>
      <c r="C5" s="270" t="s">
        <v>580</v>
      </c>
      <c r="D5" s="271" t="s">
        <v>547</v>
      </c>
      <c r="E5" s="272" t="s">
        <v>581</v>
      </c>
      <c r="F5" s="271" t="s">
        <v>579</v>
      </c>
      <c r="G5" s="273"/>
      <c r="H5" s="268" t="s">
        <v>53</v>
      </c>
      <c r="I5" s="268" t="s">
        <v>308</v>
      </c>
    </row>
    <row r="6" spans="1:21" s="254" customFormat="1" x14ac:dyDescent="0.3">
      <c r="A6" s="253">
        <v>3</v>
      </c>
      <c r="B6" s="254" t="s">
        <v>550</v>
      </c>
      <c r="C6" s="255" t="s">
        <v>389</v>
      </c>
      <c r="D6" s="255" t="s">
        <v>551</v>
      </c>
      <c r="E6" s="256"/>
      <c r="F6" s="255" t="s">
        <v>574</v>
      </c>
      <c r="G6" s="257"/>
      <c r="H6" s="253" t="s">
        <v>53</v>
      </c>
      <c r="I6" s="253" t="s">
        <v>331</v>
      </c>
    </row>
    <row r="7" spans="1:21" x14ac:dyDescent="0.3">
      <c r="A7" s="209">
        <v>4</v>
      </c>
      <c r="B7" s="208" t="s">
        <v>556</v>
      </c>
      <c r="C7" s="149">
        <v>35986</v>
      </c>
      <c r="D7" s="180" t="s">
        <v>558</v>
      </c>
      <c r="E7" s="210" t="s">
        <v>585</v>
      </c>
      <c r="F7" s="1" t="s">
        <v>579</v>
      </c>
      <c r="G7" s="2"/>
      <c r="H7" s="2" t="s">
        <v>221</v>
      </c>
      <c r="I7" s="2" t="s">
        <v>563</v>
      </c>
    </row>
    <row r="8" spans="1:21" s="249" customFormat="1" ht="37.5" x14ac:dyDescent="0.25">
      <c r="A8" s="173">
        <v>5</v>
      </c>
      <c r="B8" s="249" t="s">
        <v>590</v>
      </c>
      <c r="C8" s="250">
        <v>35988</v>
      </c>
      <c r="D8" s="251" t="s">
        <v>559</v>
      </c>
      <c r="E8" s="252" t="s">
        <v>578</v>
      </c>
      <c r="F8" s="249" t="s">
        <v>579</v>
      </c>
      <c r="G8" s="173"/>
      <c r="H8" s="173" t="s">
        <v>221</v>
      </c>
      <c r="I8" s="173" t="s">
        <v>563</v>
      </c>
    </row>
    <row r="9" spans="1:21" x14ac:dyDescent="0.3">
      <c r="H9" s="2" t="s">
        <v>221</v>
      </c>
      <c r="I9" s="2" t="s">
        <v>563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D14"/>
  <sheetViews>
    <sheetView topLeftCell="BX1" workbookViewId="0">
      <selection activeCell="CZ6" sqref="CZ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59" customWidth="1"/>
    <col min="74" max="108" width="5.5703125" style="59" customWidth="1"/>
  </cols>
  <sheetData>
    <row r="1" spans="1:108" ht="26.25" x14ac:dyDescent="0.4">
      <c r="B1" s="5" t="s">
        <v>591</v>
      </c>
      <c r="M1" s="48" t="s">
        <v>28</v>
      </c>
    </row>
    <row r="3" spans="1:108" s="17" customFormat="1" ht="21" customHeight="1" x14ac:dyDescent="0.25">
      <c r="A3" s="336" t="s">
        <v>6</v>
      </c>
      <c r="B3" s="336" t="s">
        <v>5</v>
      </c>
      <c r="C3" s="267" t="s">
        <v>25</v>
      </c>
      <c r="D3" s="267" t="s">
        <v>26</v>
      </c>
      <c r="E3" s="267" t="s">
        <v>27</v>
      </c>
      <c r="F3" s="267" t="s">
        <v>29</v>
      </c>
      <c r="G3" s="338" t="s">
        <v>31</v>
      </c>
      <c r="H3" s="338"/>
      <c r="I3" s="338"/>
      <c r="J3" s="338" t="s">
        <v>32</v>
      </c>
      <c r="K3" s="338"/>
      <c r="L3" s="338"/>
      <c r="M3" s="338" t="s">
        <v>33</v>
      </c>
      <c r="N3" s="338"/>
      <c r="O3" s="338"/>
      <c r="P3" s="338" t="s">
        <v>34</v>
      </c>
      <c r="Q3" s="338"/>
      <c r="R3" s="338"/>
      <c r="S3" s="338" t="s">
        <v>35</v>
      </c>
      <c r="T3" s="338"/>
      <c r="U3" s="338"/>
      <c r="V3" s="338" t="s">
        <v>36</v>
      </c>
      <c r="W3" s="338"/>
      <c r="X3" s="338"/>
      <c r="Y3" s="338" t="s">
        <v>37</v>
      </c>
      <c r="Z3" s="338"/>
      <c r="AA3" s="338"/>
      <c r="AB3" s="338" t="s">
        <v>38</v>
      </c>
      <c r="AC3" s="338"/>
      <c r="AD3" s="338"/>
      <c r="AE3" s="338" t="s">
        <v>39</v>
      </c>
      <c r="AF3" s="338"/>
      <c r="AG3" s="338"/>
      <c r="AH3" s="338" t="s">
        <v>40</v>
      </c>
      <c r="AI3" s="338"/>
      <c r="AJ3" s="338"/>
      <c r="AK3" s="338" t="s">
        <v>41</v>
      </c>
      <c r="AL3" s="338"/>
      <c r="AM3" s="338"/>
      <c r="AN3" s="338" t="s">
        <v>42</v>
      </c>
      <c r="AO3" s="338"/>
      <c r="AP3" s="338"/>
      <c r="AQ3" s="338" t="s">
        <v>43</v>
      </c>
      <c r="AR3" s="338"/>
      <c r="AS3" s="338"/>
      <c r="AT3" s="338" t="s">
        <v>44</v>
      </c>
      <c r="AU3" s="338"/>
      <c r="AV3" s="338"/>
      <c r="AW3" s="338" t="s">
        <v>45</v>
      </c>
      <c r="AX3" s="338"/>
      <c r="AY3" s="338"/>
      <c r="AZ3" s="338" t="s">
        <v>46</v>
      </c>
      <c r="BA3" s="338"/>
      <c r="BB3" s="338"/>
      <c r="BC3" s="338" t="s">
        <v>47</v>
      </c>
      <c r="BD3" s="338"/>
      <c r="BE3" s="338"/>
      <c r="BF3" s="338" t="s">
        <v>48</v>
      </c>
      <c r="BG3" s="338"/>
      <c r="BH3" s="338"/>
      <c r="BI3" s="338" t="s">
        <v>49</v>
      </c>
      <c r="BJ3" s="338"/>
      <c r="BK3" s="338"/>
      <c r="BL3" s="348">
        <v>43244</v>
      </c>
      <c r="BM3" s="338"/>
      <c r="BN3" s="338"/>
      <c r="BO3" s="348">
        <v>43246</v>
      </c>
      <c r="BP3" s="338"/>
      <c r="BQ3" s="338"/>
      <c r="BR3" s="348">
        <v>43249</v>
      </c>
      <c r="BS3" s="338"/>
      <c r="BT3" s="338"/>
      <c r="BU3" s="348">
        <v>43256</v>
      </c>
      <c r="BV3" s="338"/>
      <c r="BW3" s="338"/>
      <c r="BX3" s="339">
        <v>43258</v>
      </c>
      <c r="BY3" s="334"/>
      <c r="BZ3" s="335"/>
      <c r="CA3" s="339">
        <v>43260</v>
      </c>
      <c r="CB3" s="334"/>
      <c r="CC3" s="335"/>
      <c r="CD3" s="339">
        <v>43263</v>
      </c>
      <c r="CE3" s="334"/>
      <c r="CF3" s="335"/>
      <c r="CG3" s="339">
        <v>43265</v>
      </c>
      <c r="CH3" s="334"/>
      <c r="CI3" s="335"/>
      <c r="CJ3" s="339">
        <v>43267</v>
      </c>
      <c r="CK3" s="334"/>
      <c r="CL3" s="335"/>
      <c r="CM3" s="339">
        <v>43270</v>
      </c>
      <c r="CN3" s="334"/>
      <c r="CO3" s="335"/>
      <c r="CP3" s="339">
        <v>43272</v>
      </c>
      <c r="CQ3" s="334"/>
      <c r="CR3" s="335"/>
      <c r="CS3" s="339">
        <v>43277</v>
      </c>
      <c r="CT3" s="362"/>
      <c r="CU3" s="363"/>
      <c r="CV3" s="339">
        <v>43279</v>
      </c>
      <c r="CW3" s="362"/>
      <c r="CX3" s="363"/>
      <c r="CY3" s="339">
        <v>43281</v>
      </c>
      <c r="CZ3" s="362"/>
      <c r="DA3" s="363"/>
      <c r="DB3" s="339">
        <v>43277</v>
      </c>
      <c r="DC3" s="362"/>
      <c r="DD3" s="363"/>
    </row>
    <row r="4" spans="1:108" s="17" customFormat="1" ht="21" customHeight="1" x14ac:dyDescent="0.25">
      <c r="A4" s="336"/>
      <c r="B4" s="336"/>
      <c r="C4" s="267"/>
      <c r="D4" s="267"/>
      <c r="E4" s="267"/>
      <c r="F4" s="267"/>
      <c r="G4" s="267" t="s">
        <v>23</v>
      </c>
      <c r="H4" s="267" t="s">
        <v>30</v>
      </c>
      <c r="I4" s="267" t="s">
        <v>22</v>
      </c>
      <c r="J4" s="267" t="s">
        <v>23</v>
      </c>
      <c r="K4" s="267" t="s">
        <v>30</v>
      </c>
      <c r="L4" s="267" t="s">
        <v>22</v>
      </c>
      <c r="M4" s="267" t="s">
        <v>23</v>
      </c>
      <c r="N4" s="267" t="s">
        <v>30</v>
      </c>
      <c r="O4" s="267" t="s">
        <v>22</v>
      </c>
      <c r="P4" s="267" t="s">
        <v>23</v>
      </c>
      <c r="Q4" s="267" t="s">
        <v>30</v>
      </c>
      <c r="R4" s="267" t="s">
        <v>22</v>
      </c>
      <c r="S4" s="267" t="s">
        <v>23</v>
      </c>
      <c r="T4" s="267" t="s">
        <v>30</v>
      </c>
      <c r="U4" s="267" t="s">
        <v>22</v>
      </c>
      <c r="V4" s="267" t="s">
        <v>23</v>
      </c>
      <c r="W4" s="267" t="s">
        <v>30</v>
      </c>
      <c r="X4" s="267" t="s">
        <v>22</v>
      </c>
      <c r="Y4" s="267" t="s">
        <v>23</v>
      </c>
      <c r="Z4" s="267" t="s">
        <v>30</v>
      </c>
      <c r="AA4" s="267" t="s">
        <v>22</v>
      </c>
      <c r="AB4" s="267" t="s">
        <v>23</v>
      </c>
      <c r="AC4" s="267" t="s">
        <v>30</v>
      </c>
      <c r="AD4" s="267" t="s">
        <v>22</v>
      </c>
      <c r="AE4" s="267" t="s">
        <v>23</v>
      </c>
      <c r="AF4" s="267" t="s">
        <v>30</v>
      </c>
      <c r="AG4" s="267" t="s">
        <v>22</v>
      </c>
      <c r="AH4" s="267" t="s">
        <v>23</v>
      </c>
      <c r="AI4" s="267" t="s">
        <v>30</v>
      </c>
      <c r="AJ4" s="267" t="s">
        <v>22</v>
      </c>
      <c r="AK4" s="267" t="s">
        <v>23</v>
      </c>
      <c r="AL4" s="267" t="s">
        <v>30</v>
      </c>
      <c r="AM4" s="267" t="s">
        <v>22</v>
      </c>
      <c r="AN4" s="267" t="s">
        <v>23</v>
      </c>
      <c r="AO4" s="267" t="s">
        <v>30</v>
      </c>
      <c r="AP4" s="267" t="s">
        <v>22</v>
      </c>
      <c r="AQ4" s="267" t="s">
        <v>23</v>
      </c>
      <c r="AR4" s="267" t="s">
        <v>30</v>
      </c>
      <c r="AS4" s="267" t="s">
        <v>22</v>
      </c>
      <c r="AT4" s="267" t="s">
        <v>23</v>
      </c>
      <c r="AU4" s="267" t="s">
        <v>30</v>
      </c>
      <c r="AV4" s="267" t="s">
        <v>22</v>
      </c>
      <c r="AW4" s="267" t="s">
        <v>23</v>
      </c>
      <c r="AX4" s="267" t="s">
        <v>30</v>
      </c>
      <c r="AY4" s="267" t="s">
        <v>22</v>
      </c>
      <c r="AZ4" s="267" t="s">
        <v>23</v>
      </c>
      <c r="BA4" s="267" t="s">
        <v>30</v>
      </c>
      <c r="BB4" s="267" t="s">
        <v>22</v>
      </c>
      <c r="BC4" s="267" t="s">
        <v>23</v>
      </c>
      <c r="BD4" s="267" t="s">
        <v>30</v>
      </c>
      <c r="BE4" s="267" t="s">
        <v>22</v>
      </c>
      <c r="BF4" s="267" t="s">
        <v>23</v>
      </c>
      <c r="BG4" s="267" t="s">
        <v>30</v>
      </c>
      <c r="BH4" s="267" t="s">
        <v>22</v>
      </c>
      <c r="BI4" s="267" t="s">
        <v>23</v>
      </c>
      <c r="BJ4" s="267" t="s">
        <v>30</v>
      </c>
      <c r="BK4" s="267" t="s">
        <v>22</v>
      </c>
      <c r="BL4" s="267" t="s">
        <v>23</v>
      </c>
      <c r="BM4" s="267" t="s">
        <v>30</v>
      </c>
      <c r="BN4" s="267" t="s">
        <v>22</v>
      </c>
      <c r="BO4" s="267" t="s">
        <v>23</v>
      </c>
      <c r="BP4" s="267" t="s">
        <v>30</v>
      </c>
      <c r="BQ4" s="267" t="s">
        <v>22</v>
      </c>
      <c r="BR4" s="267" t="s">
        <v>23</v>
      </c>
      <c r="BS4" s="267" t="s">
        <v>30</v>
      </c>
      <c r="BT4" s="267" t="s">
        <v>22</v>
      </c>
      <c r="BU4" s="267" t="s">
        <v>23</v>
      </c>
      <c r="BV4" s="267" t="s">
        <v>30</v>
      </c>
      <c r="BW4" s="267" t="s">
        <v>22</v>
      </c>
      <c r="BX4" s="267" t="s">
        <v>23</v>
      </c>
      <c r="BY4" s="267" t="s">
        <v>24</v>
      </c>
      <c r="BZ4" s="267" t="s">
        <v>22</v>
      </c>
      <c r="CA4" s="282" t="s">
        <v>23</v>
      </c>
      <c r="CB4" s="282" t="s">
        <v>24</v>
      </c>
      <c r="CC4" s="282" t="s">
        <v>22</v>
      </c>
      <c r="CD4" s="267" t="s">
        <v>23</v>
      </c>
      <c r="CE4" s="267" t="s">
        <v>24</v>
      </c>
      <c r="CF4" s="267" t="s">
        <v>22</v>
      </c>
      <c r="CG4" s="267" t="s">
        <v>23</v>
      </c>
      <c r="CH4" s="267" t="s">
        <v>24</v>
      </c>
      <c r="CI4" s="267" t="s">
        <v>22</v>
      </c>
      <c r="CJ4" s="293" t="s">
        <v>23</v>
      </c>
      <c r="CK4" s="293" t="s">
        <v>24</v>
      </c>
      <c r="CL4" s="293" t="s">
        <v>22</v>
      </c>
      <c r="CM4" s="293" t="s">
        <v>23</v>
      </c>
      <c r="CN4" s="293" t="s">
        <v>24</v>
      </c>
      <c r="CO4" s="293" t="s">
        <v>22</v>
      </c>
      <c r="CP4" s="293" t="s">
        <v>23</v>
      </c>
      <c r="CQ4" s="293" t="s">
        <v>24</v>
      </c>
      <c r="CR4" s="293" t="s">
        <v>22</v>
      </c>
      <c r="CS4" s="299" t="s">
        <v>23</v>
      </c>
      <c r="CT4" s="299" t="s">
        <v>24</v>
      </c>
      <c r="CU4" s="299" t="s">
        <v>22</v>
      </c>
      <c r="CV4" s="299" t="s">
        <v>23</v>
      </c>
      <c r="CW4" s="299" t="s">
        <v>24</v>
      </c>
      <c r="CX4" s="299" t="s">
        <v>22</v>
      </c>
      <c r="CY4" s="299" t="s">
        <v>23</v>
      </c>
      <c r="CZ4" s="299" t="s">
        <v>24</v>
      </c>
      <c r="DA4" s="299" t="s">
        <v>22</v>
      </c>
      <c r="DB4" s="299" t="s">
        <v>23</v>
      </c>
      <c r="DC4" s="299" t="s">
        <v>24</v>
      </c>
      <c r="DD4" s="299" t="s">
        <v>22</v>
      </c>
    </row>
    <row r="5" spans="1:108" s="17" customFormat="1" ht="21" customHeight="1" x14ac:dyDescent="0.3">
      <c r="A5" s="21">
        <v>1</v>
      </c>
      <c r="B5" s="21" t="s">
        <v>519</v>
      </c>
      <c r="C5" s="267"/>
      <c r="D5" s="267"/>
      <c r="E5" s="267"/>
      <c r="F5" s="267"/>
      <c r="G5" s="267"/>
      <c r="H5" s="267"/>
      <c r="I5" s="267"/>
      <c r="J5" s="267" t="s">
        <v>0</v>
      </c>
      <c r="K5" s="267" t="s">
        <v>0</v>
      </c>
      <c r="L5" s="267"/>
      <c r="M5" s="267" t="s">
        <v>0</v>
      </c>
      <c r="N5" s="267" t="s">
        <v>0</v>
      </c>
      <c r="O5" s="267"/>
      <c r="P5" s="267" t="s">
        <v>0</v>
      </c>
      <c r="Q5" s="267" t="s">
        <v>0</v>
      </c>
      <c r="R5" s="267"/>
      <c r="S5" s="267"/>
      <c r="T5" s="18"/>
      <c r="U5" s="18"/>
      <c r="V5" s="267" t="s">
        <v>0</v>
      </c>
      <c r="W5" s="267" t="s">
        <v>0</v>
      </c>
      <c r="X5" s="267"/>
      <c r="Y5" s="267" t="s">
        <v>0</v>
      </c>
      <c r="Z5" s="267" t="s">
        <v>0</v>
      </c>
      <c r="AA5" s="267" t="s">
        <v>0</v>
      </c>
      <c r="AB5" s="267" t="s">
        <v>0</v>
      </c>
      <c r="AC5" s="267" t="s">
        <v>0</v>
      </c>
      <c r="AD5" s="267" t="s">
        <v>0</v>
      </c>
      <c r="AE5" s="267" t="s">
        <v>0</v>
      </c>
      <c r="AF5" s="267" t="s">
        <v>0</v>
      </c>
      <c r="AG5" s="267"/>
      <c r="AH5" s="267" t="s">
        <v>0</v>
      </c>
      <c r="AI5" s="267" t="s">
        <v>0</v>
      </c>
      <c r="AJ5" s="267"/>
      <c r="AK5" s="267" t="s">
        <v>0</v>
      </c>
      <c r="AL5" s="267" t="s">
        <v>0</v>
      </c>
      <c r="AM5" s="267" t="s">
        <v>0</v>
      </c>
      <c r="AN5" s="267" t="s">
        <v>0</v>
      </c>
      <c r="AO5" s="267" t="s">
        <v>0</v>
      </c>
      <c r="AP5" s="267" t="s">
        <v>0</v>
      </c>
      <c r="AQ5" s="267" t="s">
        <v>0</v>
      </c>
      <c r="AR5" s="267" t="s">
        <v>0</v>
      </c>
      <c r="AS5" s="267"/>
      <c r="AT5" s="267" t="s">
        <v>0</v>
      </c>
      <c r="AU5" s="267" t="s">
        <v>0</v>
      </c>
      <c r="AV5" s="267"/>
      <c r="AW5" s="267" t="s">
        <v>0</v>
      </c>
      <c r="AX5" s="267" t="s">
        <v>0</v>
      </c>
      <c r="AY5" s="267"/>
      <c r="AZ5" s="267" t="s">
        <v>0</v>
      </c>
      <c r="BA5" s="267" t="s">
        <v>0</v>
      </c>
      <c r="BB5" s="267"/>
      <c r="BC5" s="267" t="s">
        <v>0</v>
      </c>
      <c r="BD5" s="267" t="s">
        <v>0</v>
      </c>
      <c r="BE5" s="267" t="s">
        <v>0</v>
      </c>
      <c r="BF5" s="267" t="s">
        <v>0</v>
      </c>
      <c r="BG5" s="267" t="s">
        <v>0</v>
      </c>
      <c r="BH5" s="18"/>
      <c r="BI5" s="267" t="s">
        <v>0</v>
      </c>
      <c r="BJ5" s="267" t="s">
        <v>0</v>
      </c>
      <c r="BK5" s="267" t="s">
        <v>0</v>
      </c>
      <c r="BL5" s="267" t="s">
        <v>0</v>
      </c>
      <c r="BM5" s="267" t="s">
        <v>0</v>
      </c>
      <c r="BN5" s="267"/>
      <c r="BO5" s="267" t="s">
        <v>0</v>
      </c>
      <c r="BP5" s="267" t="s">
        <v>0</v>
      </c>
      <c r="BQ5" s="267"/>
      <c r="BR5" s="267" t="s">
        <v>0</v>
      </c>
      <c r="BS5" s="267" t="s">
        <v>0</v>
      </c>
      <c r="BT5" s="267"/>
      <c r="BU5" s="267" t="s">
        <v>0</v>
      </c>
      <c r="BV5" s="267" t="s">
        <v>0</v>
      </c>
      <c r="BW5" s="267"/>
      <c r="BX5" s="267" t="s">
        <v>0</v>
      </c>
      <c r="BY5" s="267" t="s">
        <v>0</v>
      </c>
      <c r="BZ5" s="267"/>
      <c r="CA5" s="282" t="s">
        <v>0</v>
      </c>
      <c r="CB5" s="282" t="s">
        <v>0</v>
      </c>
      <c r="CC5" s="282"/>
      <c r="CD5" s="267" t="s">
        <v>0</v>
      </c>
      <c r="CE5" s="267"/>
      <c r="CF5" s="267"/>
      <c r="CG5" s="267" t="s">
        <v>0</v>
      </c>
      <c r="CH5" s="267" t="s">
        <v>0</v>
      </c>
      <c r="CI5" s="267"/>
      <c r="CJ5" s="293" t="s">
        <v>0</v>
      </c>
      <c r="CK5" s="293" t="s">
        <v>0</v>
      </c>
      <c r="CL5" s="293"/>
      <c r="CM5" s="293" t="s">
        <v>0</v>
      </c>
      <c r="CN5" s="293" t="s">
        <v>0</v>
      </c>
      <c r="CO5" s="293"/>
      <c r="CP5" s="293" t="s">
        <v>0</v>
      </c>
      <c r="CQ5" s="293" t="s">
        <v>0</v>
      </c>
      <c r="CR5" s="293"/>
      <c r="CS5" s="299" t="s">
        <v>0</v>
      </c>
      <c r="CT5" s="299" t="s">
        <v>0</v>
      </c>
      <c r="CU5" s="299"/>
      <c r="CV5" s="299" t="s">
        <v>0</v>
      </c>
      <c r="CW5" s="299" t="s">
        <v>0</v>
      </c>
      <c r="CX5" s="299"/>
      <c r="CY5" s="299" t="s">
        <v>0</v>
      </c>
      <c r="CZ5" s="299"/>
      <c r="DA5" s="299"/>
      <c r="DB5" s="299"/>
      <c r="DC5" s="299"/>
      <c r="DD5" s="299"/>
    </row>
    <row r="6" spans="1:108" s="17" customFormat="1" ht="21" customHeight="1" x14ac:dyDescent="0.3">
      <c r="A6" s="21">
        <v>2</v>
      </c>
      <c r="B6" s="21" t="s">
        <v>556</v>
      </c>
      <c r="C6" s="267"/>
      <c r="D6" s="267"/>
      <c r="E6" s="267"/>
      <c r="F6" s="267"/>
      <c r="G6" s="267"/>
      <c r="H6" s="267"/>
      <c r="I6" s="267"/>
      <c r="J6" s="267"/>
      <c r="K6" s="267"/>
      <c r="L6" s="267"/>
      <c r="M6" s="267" t="s">
        <v>0</v>
      </c>
      <c r="N6" s="267" t="s">
        <v>0</v>
      </c>
      <c r="O6" s="267"/>
      <c r="P6" s="267"/>
      <c r="Q6" s="267"/>
      <c r="R6" s="267"/>
      <c r="S6" s="267"/>
      <c r="T6" s="18"/>
      <c r="U6" s="18"/>
      <c r="V6" s="267" t="s">
        <v>0</v>
      </c>
      <c r="W6" s="267" t="s">
        <v>0</v>
      </c>
      <c r="X6" s="267" t="s">
        <v>0</v>
      </c>
      <c r="Y6" s="267" t="s">
        <v>0</v>
      </c>
      <c r="Z6" s="267" t="s">
        <v>0</v>
      </c>
      <c r="AA6" s="267" t="s">
        <v>0</v>
      </c>
      <c r="AB6" s="267" t="s">
        <v>0</v>
      </c>
      <c r="AC6" s="267" t="s">
        <v>0</v>
      </c>
      <c r="AD6" s="267"/>
      <c r="AE6" s="267" t="s">
        <v>0</v>
      </c>
      <c r="AF6" s="267" t="s">
        <v>0</v>
      </c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 t="s">
        <v>0</v>
      </c>
      <c r="AX6" s="267" t="s">
        <v>0</v>
      </c>
      <c r="AY6" s="267"/>
      <c r="AZ6" s="267"/>
      <c r="BA6" s="267"/>
      <c r="BB6" s="267"/>
      <c r="BC6" s="267" t="s">
        <v>0</v>
      </c>
      <c r="BD6" s="267" t="s">
        <v>0</v>
      </c>
      <c r="BE6" s="18"/>
      <c r="BF6" s="18"/>
      <c r="BG6" s="18"/>
      <c r="BH6" s="18"/>
      <c r="BI6" s="267" t="s">
        <v>0</v>
      </c>
      <c r="BJ6" s="267" t="s">
        <v>0</v>
      </c>
      <c r="BK6" s="18"/>
      <c r="BL6" s="267" t="s">
        <v>0</v>
      </c>
      <c r="BM6" s="267" t="s">
        <v>0</v>
      </c>
      <c r="BN6" s="267"/>
      <c r="BO6" s="267" t="s">
        <v>0</v>
      </c>
      <c r="BP6" s="267" t="s">
        <v>0</v>
      </c>
      <c r="BQ6" s="267"/>
      <c r="BR6" s="267" t="s">
        <v>0</v>
      </c>
      <c r="BS6" s="267" t="s">
        <v>0</v>
      </c>
      <c r="BT6" s="267"/>
      <c r="BU6" s="267" t="s">
        <v>0</v>
      </c>
      <c r="BV6" s="267" t="s">
        <v>0</v>
      </c>
      <c r="BW6" s="267"/>
      <c r="BX6" s="267" t="s">
        <v>0</v>
      </c>
      <c r="BY6" s="267" t="s">
        <v>0</v>
      </c>
      <c r="BZ6" s="267"/>
      <c r="CA6" s="282" t="s">
        <v>0</v>
      </c>
      <c r="CB6" s="282" t="s">
        <v>0</v>
      </c>
      <c r="CC6" s="282"/>
      <c r="CD6" s="267" t="s">
        <v>0</v>
      </c>
      <c r="CE6" s="267" t="s">
        <v>0</v>
      </c>
      <c r="CF6" s="267"/>
      <c r="CG6" s="267" t="s">
        <v>0</v>
      </c>
      <c r="CH6" s="267"/>
      <c r="CI6" s="267"/>
      <c r="CJ6" s="293" t="s">
        <v>0</v>
      </c>
      <c r="CK6" s="293"/>
      <c r="CL6" s="293"/>
      <c r="CM6" s="293" t="s">
        <v>0</v>
      </c>
      <c r="CN6" s="293"/>
      <c r="CO6" s="293"/>
      <c r="CP6" s="293" t="s">
        <v>0</v>
      </c>
      <c r="CQ6" s="293"/>
      <c r="CR6" s="293"/>
      <c r="CS6" s="299" t="s">
        <v>0</v>
      </c>
      <c r="CT6" s="299"/>
      <c r="CU6" s="299"/>
      <c r="CV6" s="299" t="s">
        <v>0</v>
      </c>
      <c r="CW6" s="299"/>
      <c r="CX6" s="299"/>
      <c r="CY6" s="299" t="s">
        <v>0</v>
      </c>
      <c r="CZ6" s="299"/>
      <c r="DA6" s="299"/>
      <c r="DB6" s="299"/>
      <c r="DC6" s="299"/>
      <c r="DD6" s="299"/>
    </row>
    <row r="7" spans="1:108" s="17" customFormat="1" ht="21" customHeight="1" x14ac:dyDescent="0.3">
      <c r="A7" s="21">
        <v>3</v>
      </c>
      <c r="B7" s="21" t="s">
        <v>590</v>
      </c>
      <c r="C7" s="267"/>
      <c r="D7" s="267"/>
      <c r="E7" s="267" t="s">
        <v>0</v>
      </c>
      <c r="F7" s="267"/>
      <c r="G7" s="267" t="s">
        <v>0</v>
      </c>
      <c r="H7" s="267" t="s">
        <v>0</v>
      </c>
      <c r="I7" s="267"/>
      <c r="J7" s="267" t="s">
        <v>0</v>
      </c>
      <c r="K7" s="267" t="s">
        <v>0</v>
      </c>
      <c r="L7" s="267" t="s">
        <v>0</v>
      </c>
      <c r="M7" s="267" t="s">
        <v>0</v>
      </c>
      <c r="N7" s="267" t="s">
        <v>0</v>
      </c>
      <c r="O7" s="267"/>
      <c r="P7" s="267" t="s">
        <v>0</v>
      </c>
      <c r="Q7" s="267" t="s">
        <v>0</v>
      </c>
      <c r="R7" s="267"/>
      <c r="S7" s="267" t="s">
        <v>0</v>
      </c>
      <c r="T7" s="267" t="s">
        <v>0</v>
      </c>
      <c r="U7" s="18"/>
      <c r="V7" s="267" t="s">
        <v>0</v>
      </c>
      <c r="W7" s="267" t="s">
        <v>0</v>
      </c>
      <c r="X7" s="267" t="s">
        <v>0</v>
      </c>
      <c r="Y7" s="267" t="s">
        <v>0</v>
      </c>
      <c r="Z7" s="267" t="s">
        <v>0</v>
      </c>
      <c r="AA7" s="267" t="s">
        <v>0</v>
      </c>
      <c r="AB7" s="267" t="s">
        <v>0</v>
      </c>
      <c r="AC7" s="267" t="s">
        <v>0</v>
      </c>
      <c r="AD7" s="267"/>
      <c r="AE7" s="267" t="s">
        <v>0</v>
      </c>
      <c r="AF7" s="267" t="s">
        <v>0</v>
      </c>
      <c r="AG7" s="267" t="s">
        <v>0</v>
      </c>
      <c r="AH7" s="267" t="s">
        <v>0</v>
      </c>
      <c r="AI7" s="267" t="s">
        <v>0</v>
      </c>
      <c r="AJ7" s="267"/>
      <c r="AK7" s="267" t="s">
        <v>0</v>
      </c>
      <c r="AL7" s="267" t="s">
        <v>0</v>
      </c>
      <c r="AM7" s="267" t="s">
        <v>0</v>
      </c>
      <c r="AN7" s="267" t="s">
        <v>0</v>
      </c>
      <c r="AO7" s="267" t="s">
        <v>0</v>
      </c>
      <c r="AP7" s="267"/>
      <c r="AQ7" s="267" t="s">
        <v>0</v>
      </c>
      <c r="AR7" s="267" t="s">
        <v>0</v>
      </c>
      <c r="AS7" s="267"/>
      <c r="AT7" s="267" t="s">
        <v>0</v>
      </c>
      <c r="AU7" s="267" t="s">
        <v>0</v>
      </c>
      <c r="AV7" s="267" t="s">
        <v>0</v>
      </c>
      <c r="AW7" s="267" t="s">
        <v>0</v>
      </c>
      <c r="AX7" s="267" t="s">
        <v>0</v>
      </c>
      <c r="AY7" s="267" t="s">
        <v>0</v>
      </c>
      <c r="AZ7" s="267" t="s">
        <v>0</v>
      </c>
      <c r="BA7" s="267" t="s">
        <v>0</v>
      </c>
      <c r="BB7" s="267"/>
      <c r="BC7" s="267" t="s">
        <v>0</v>
      </c>
      <c r="BD7" s="267" t="s">
        <v>0</v>
      </c>
      <c r="BE7" s="267" t="s">
        <v>0</v>
      </c>
      <c r="BF7" s="267" t="s">
        <v>0</v>
      </c>
      <c r="BG7" s="267" t="s">
        <v>0</v>
      </c>
      <c r="BH7" s="18"/>
      <c r="BI7" s="267" t="s">
        <v>0</v>
      </c>
      <c r="BJ7" s="267" t="s">
        <v>0</v>
      </c>
      <c r="BK7" s="18"/>
      <c r="BL7" s="267" t="s">
        <v>0</v>
      </c>
      <c r="BM7" s="267" t="s">
        <v>0</v>
      </c>
      <c r="BN7" s="267"/>
      <c r="BO7" s="267" t="s">
        <v>0</v>
      </c>
      <c r="BP7" s="267" t="s">
        <v>0</v>
      </c>
      <c r="BQ7" s="267"/>
      <c r="BR7" s="267" t="s">
        <v>0</v>
      </c>
      <c r="BS7" s="267" t="s">
        <v>0</v>
      </c>
      <c r="BT7" s="267"/>
      <c r="BU7" s="267" t="s">
        <v>0</v>
      </c>
      <c r="BV7" s="267" t="s">
        <v>0</v>
      </c>
      <c r="BW7" s="267"/>
      <c r="BX7" s="267" t="s">
        <v>0</v>
      </c>
      <c r="BY7" s="267" t="s">
        <v>0</v>
      </c>
      <c r="BZ7" s="267"/>
      <c r="CA7" s="282" t="s">
        <v>0</v>
      </c>
      <c r="CB7" s="282" t="s">
        <v>0</v>
      </c>
      <c r="CC7" s="282"/>
      <c r="CD7" s="267" t="s">
        <v>0</v>
      </c>
      <c r="CE7" s="267" t="s">
        <v>0</v>
      </c>
      <c r="CF7" s="267"/>
      <c r="CG7" s="267" t="s">
        <v>0</v>
      </c>
      <c r="CH7" s="267" t="s">
        <v>0</v>
      </c>
      <c r="CI7" s="267"/>
      <c r="CJ7" s="293" t="s">
        <v>0</v>
      </c>
      <c r="CK7" s="293" t="s">
        <v>0</v>
      </c>
      <c r="CL7" s="293"/>
      <c r="CM7" s="293" t="s">
        <v>0</v>
      </c>
      <c r="CN7" s="293"/>
      <c r="CO7" s="293"/>
      <c r="CP7" s="293" t="s">
        <v>0</v>
      </c>
      <c r="CQ7" s="293"/>
      <c r="CR7" s="293"/>
      <c r="CS7" s="299" t="s">
        <v>0</v>
      </c>
      <c r="CT7" s="299"/>
      <c r="CU7" s="299"/>
      <c r="CV7" s="299"/>
      <c r="CW7" s="299"/>
      <c r="CX7" s="299"/>
      <c r="CY7" s="299"/>
      <c r="CZ7" s="299"/>
      <c r="DA7" s="299"/>
      <c r="DB7" s="299"/>
      <c r="DC7" s="299"/>
      <c r="DD7" s="299"/>
    </row>
    <row r="8" spans="1:108" s="30" customFormat="1" ht="21" customHeight="1" x14ac:dyDescent="0.3">
      <c r="A8" s="21"/>
      <c r="B8" s="21"/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/>
      <c r="BO8" s="28"/>
      <c r="BP8" s="28"/>
      <c r="BQ8" s="28"/>
      <c r="BR8" s="28"/>
      <c r="BS8" s="28"/>
      <c r="BT8" s="28"/>
      <c r="BU8" s="28"/>
      <c r="BV8" s="28"/>
      <c r="BW8" s="28"/>
      <c r="BX8" s="28"/>
      <c r="BY8" s="28"/>
      <c r="BZ8" s="28"/>
      <c r="CA8" s="28"/>
      <c r="CB8" s="28"/>
      <c r="CC8" s="28"/>
      <c r="CD8" s="28"/>
      <c r="CE8" s="28"/>
      <c r="CF8" s="28"/>
      <c r="CG8" s="28"/>
      <c r="CH8" s="28"/>
      <c r="CI8" s="28"/>
      <c r="CJ8" s="28"/>
      <c r="CK8" s="28"/>
      <c r="CL8" s="28"/>
      <c r="CM8" s="28"/>
      <c r="CN8" s="28"/>
      <c r="CO8" s="28"/>
      <c r="CP8" s="28"/>
      <c r="CQ8" s="28"/>
      <c r="CR8" s="28"/>
      <c r="CS8" s="28"/>
      <c r="CT8" s="28"/>
      <c r="CU8" s="28"/>
      <c r="CV8" s="28"/>
      <c r="CW8" s="28"/>
      <c r="CX8" s="28"/>
      <c r="CY8" s="28"/>
      <c r="CZ8" s="28"/>
      <c r="DA8" s="28"/>
      <c r="DB8" s="28"/>
      <c r="DC8" s="28"/>
      <c r="DD8" s="28"/>
    </row>
    <row r="9" spans="1:108" s="17" customFormat="1" ht="15.75" x14ac:dyDescent="0.25"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BU9" s="51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1"/>
      <c r="CJ9" s="51"/>
      <c r="CK9" s="51"/>
      <c r="CL9" s="51"/>
      <c r="CM9" s="51"/>
      <c r="CN9" s="51"/>
      <c r="CO9" s="51"/>
      <c r="CP9" s="51"/>
      <c r="CQ9" s="51"/>
      <c r="CR9" s="51"/>
      <c r="CS9" s="51"/>
      <c r="CT9" s="51"/>
      <c r="CU9" s="51"/>
      <c r="CV9" s="51"/>
      <c r="CW9" s="51"/>
      <c r="CX9" s="51"/>
      <c r="CY9" s="51"/>
      <c r="CZ9" s="51"/>
      <c r="DA9" s="51"/>
      <c r="DB9" s="51"/>
      <c r="DC9" s="51"/>
      <c r="DD9" s="51"/>
    </row>
    <row r="10" spans="1:108" s="17" customFormat="1" ht="15.75" x14ac:dyDescent="0.25"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BU10" s="51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1"/>
      <c r="CJ10" s="51"/>
      <c r="CK10" s="51"/>
      <c r="CL10" s="51"/>
      <c r="CM10" s="51"/>
      <c r="CN10" s="51"/>
      <c r="CO10" s="51"/>
      <c r="CP10" s="51"/>
      <c r="CQ10" s="51"/>
      <c r="CR10" s="51"/>
      <c r="CS10" s="51"/>
      <c r="CT10" s="51"/>
      <c r="CU10" s="51"/>
      <c r="CV10" s="51"/>
      <c r="CW10" s="51"/>
      <c r="CX10" s="51"/>
      <c r="CY10" s="51"/>
      <c r="CZ10" s="51"/>
      <c r="DA10" s="51"/>
      <c r="DB10" s="51"/>
      <c r="DC10" s="51"/>
      <c r="DD10" s="51"/>
    </row>
    <row r="11" spans="1:108" s="17" customFormat="1" ht="15.75" x14ac:dyDescent="0.25"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</row>
    <row r="12" spans="1:108" s="17" customFormat="1" ht="15.75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BU12" s="51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1"/>
      <c r="CJ12" s="51"/>
      <c r="CK12" s="51"/>
      <c r="CL12" s="51"/>
      <c r="CM12" s="51"/>
      <c r="CN12" s="51"/>
      <c r="CO12" s="51"/>
      <c r="CP12" s="51"/>
      <c r="CQ12" s="51"/>
      <c r="CR12" s="51"/>
      <c r="CS12" s="51"/>
      <c r="CT12" s="51"/>
      <c r="CU12" s="51"/>
      <c r="CV12" s="51"/>
      <c r="CW12" s="51"/>
      <c r="CX12" s="51"/>
      <c r="CY12" s="51"/>
      <c r="CZ12" s="51"/>
      <c r="DA12" s="51"/>
      <c r="DB12" s="51"/>
      <c r="DC12" s="51"/>
      <c r="DD12" s="51"/>
    </row>
    <row r="13" spans="1:108" s="17" customFormat="1" ht="15.75" x14ac:dyDescent="0.25"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</row>
    <row r="14" spans="1:108" s="17" customFormat="1" ht="15.75" x14ac:dyDescent="0.25"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BU14" s="51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1"/>
      <c r="CJ14" s="51"/>
      <c r="CK14" s="51"/>
      <c r="CL14" s="51"/>
      <c r="CM14" s="51"/>
      <c r="CN14" s="51"/>
      <c r="CO14" s="51"/>
      <c r="CP14" s="51"/>
      <c r="CQ14" s="51"/>
      <c r="CR14" s="51"/>
      <c r="CS14" s="51"/>
      <c r="CT14" s="51"/>
      <c r="CU14" s="51"/>
      <c r="CV14" s="51"/>
      <c r="CW14" s="51"/>
      <c r="CX14" s="51"/>
      <c r="CY14" s="51"/>
      <c r="CZ14" s="51"/>
      <c r="DA14" s="51"/>
      <c r="DB14" s="51"/>
      <c r="DC14" s="51"/>
      <c r="DD14" s="51"/>
    </row>
  </sheetData>
  <mergeCells count="36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BU3:BW3"/>
    <mergeCell ref="CA3:CC3"/>
    <mergeCell ref="CJ3:CL3"/>
    <mergeCell ref="CM3:CO3"/>
    <mergeCell ref="CP3:CR3"/>
    <mergeCell ref="CY3:DA3"/>
    <mergeCell ref="DB3:DD3"/>
    <mergeCell ref="BX3:BZ3"/>
    <mergeCell ref="CD3:CF3"/>
    <mergeCell ref="CG3:CI3"/>
    <mergeCell ref="CV3:CX3"/>
    <mergeCell ref="CS3:CU3"/>
  </mergeCells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3"/>
  <sheetViews>
    <sheetView topLeftCell="G3" workbookViewId="0">
      <selection activeCell="Q14" sqref="Q14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7.1406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59" t="s">
        <v>542</v>
      </c>
      <c r="C1" s="76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6"/>
      <c r="D2" s="34"/>
      <c r="E2" s="33"/>
      <c r="F2" s="34"/>
      <c r="G2" s="33"/>
      <c r="H2" s="2"/>
      <c r="I2" s="2"/>
      <c r="J2" s="355" t="s">
        <v>7</v>
      </c>
      <c r="K2" s="355"/>
      <c r="L2" s="355"/>
      <c r="M2" s="355"/>
      <c r="N2" s="356" t="s">
        <v>8</v>
      </c>
      <c r="O2" s="356"/>
      <c r="P2" s="356"/>
      <c r="Q2" s="351" t="s">
        <v>322</v>
      </c>
      <c r="R2" s="351" t="s">
        <v>323</v>
      </c>
      <c r="S2" s="350" t="s">
        <v>11</v>
      </c>
      <c r="T2" s="350" t="s">
        <v>12</v>
      </c>
      <c r="U2" s="351" t="s">
        <v>324</v>
      </c>
    </row>
    <row r="3" spans="1:21" x14ac:dyDescent="0.3">
      <c r="A3" s="156" t="s">
        <v>6</v>
      </c>
      <c r="B3" s="156" t="s">
        <v>5</v>
      </c>
      <c r="C3" s="205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50"/>
      <c r="R3" s="350"/>
      <c r="S3" s="350"/>
      <c r="T3" s="350"/>
      <c r="U3" s="350"/>
    </row>
    <row r="4" spans="1:21" x14ac:dyDescent="0.3">
      <c r="A4" s="2">
        <v>1</v>
      </c>
      <c r="B4" s="1" t="s">
        <v>438</v>
      </c>
      <c r="C4" s="34" t="s">
        <v>483</v>
      </c>
      <c r="D4" s="191" t="s">
        <v>439</v>
      </c>
      <c r="E4" s="3" t="s">
        <v>484</v>
      </c>
      <c r="F4" s="3" t="s">
        <v>485</v>
      </c>
      <c r="G4" s="33"/>
      <c r="H4" s="2" t="s">
        <v>53</v>
      </c>
      <c r="I4" s="2" t="s">
        <v>450</v>
      </c>
      <c r="J4" s="1">
        <v>0</v>
      </c>
      <c r="K4" s="1">
        <v>11</v>
      </c>
      <c r="L4" s="1">
        <v>11</v>
      </c>
      <c r="M4" s="1">
        <v>10</v>
      </c>
      <c r="N4" s="1">
        <v>12</v>
      </c>
      <c r="O4" s="1">
        <v>4</v>
      </c>
      <c r="P4" s="1">
        <v>14</v>
      </c>
      <c r="Q4" s="1">
        <v>32</v>
      </c>
      <c r="R4" s="1">
        <v>30</v>
      </c>
      <c r="S4" s="1">
        <v>140</v>
      </c>
      <c r="T4" s="1">
        <v>90</v>
      </c>
      <c r="U4" s="193">
        <v>230</v>
      </c>
    </row>
    <row r="5" spans="1:21" s="186" customFormat="1" x14ac:dyDescent="0.3">
      <c r="A5" s="185">
        <v>2</v>
      </c>
      <c r="B5" s="186" t="s">
        <v>549</v>
      </c>
      <c r="C5" s="283"/>
      <c r="D5" s="187"/>
      <c r="E5" s="189"/>
      <c r="F5" s="187"/>
      <c r="G5" s="284"/>
      <c r="H5" s="185" t="s">
        <v>53</v>
      </c>
      <c r="I5" s="185" t="s">
        <v>562</v>
      </c>
      <c r="U5" s="325"/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446</v>
      </c>
      <c r="I6" s="2" t="s">
        <v>554</v>
      </c>
      <c r="U6" s="193"/>
    </row>
    <row r="7" spans="1:21" x14ac:dyDescent="0.3">
      <c r="A7" s="178">
        <v>4</v>
      </c>
      <c r="B7" s="208" t="s">
        <v>555</v>
      </c>
      <c r="C7" s="180" t="s">
        <v>565</v>
      </c>
      <c r="D7" s="180" t="s">
        <v>560</v>
      </c>
      <c r="E7" s="181" t="s">
        <v>564</v>
      </c>
      <c r="F7" s="180" t="s">
        <v>566</v>
      </c>
      <c r="G7" s="182"/>
      <c r="H7" s="178" t="s">
        <v>221</v>
      </c>
      <c r="I7" s="178" t="s">
        <v>563</v>
      </c>
      <c r="J7" s="179">
        <v>4</v>
      </c>
      <c r="K7" s="179">
        <v>18</v>
      </c>
      <c r="L7" s="179">
        <v>10</v>
      </c>
      <c r="M7" s="179">
        <v>10</v>
      </c>
      <c r="N7" s="179">
        <v>13</v>
      </c>
      <c r="O7" s="179">
        <v>6</v>
      </c>
      <c r="P7" s="179">
        <v>11</v>
      </c>
      <c r="Q7" s="179">
        <v>42</v>
      </c>
      <c r="R7" s="179">
        <v>30</v>
      </c>
      <c r="S7" s="179">
        <v>195</v>
      </c>
      <c r="T7" s="179">
        <v>90</v>
      </c>
      <c r="U7" s="326">
        <v>285</v>
      </c>
    </row>
    <row r="8" spans="1:21" ht="37.5" x14ac:dyDescent="0.3">
      <c r="A8" s="209">
        <v>5</v>
      </c>
      <c r="B8" s="246" t="s">
        <v>568</v>
      </c>
      <c r="C8" s="247" t="s">
        <v>569</v>
      </c>
      <c r="D8" s="245" t="s">
        <v>567</v>
      </c>
      <c r="E8" s="248" t="s">
        <v>570</v>
      </c>
      <c r="F8" s="247" t="s">
        <v>571</v>
      </c>
      <c r="G8" s="2"/>
      <c r="H8" s="178" t="s">
        <v>221</v>
      </c>
      <c r="I8" s="178" t="s">
        <v>563</v>
      </c>
      <c r="U8" s="193"/>
    </row>
    <row r="9" spans="1:21" x14ac:dyDescent="0.3">
      <c r="A9" s="2">
        <v>6</v>
      </c>
      <c r="B9" s="1" t="s">
        <v>557</v>
      </c>
      <c r="C9" s="1" t="s">
        <v>572</v>
      </c>
      <c r="D9" s="180" t="s">
        <v>561</v>
      </c>
      <c r="E9" s="1" t="s">
        <v>573</v>
      </c>
      <c r="F9" s="1" t="s">
        <v>566</v>
      </c>
      <c r="G9" s="2"/>
      <c r="H9" s="178" t="s">
        <v>221</v>
      </c>
      <c r="I9" s="178" t="s">
        <v>563</v>
      </c>
      <c r="J9" s="1">
        <v>2</v>
      </c>
      <c r="K9" s="1">
        <v>13</v>
      </c>
      <c r="L9" s="1">
        <v>13</v>
      </c>
      <c r="M9" s="1">
        <v>10</v>
      </c>
      <c r="N9" s="1">
        <v>20</v>
      </c>
      <c r="O9" s="1">
        <v>3</v>
      </c>
      <c r="P9" s="1">
        <v>20</v>
      </c>
      <c r="Q9" s="1">
        <v>38</v>
      </c>
      <c r="R9" s="1">
        <v>43</v>
      </c>
      <c r="S9" s="1">
        <v>175</v>
      </c>
      <c r="T9" s="1">
        <v>170</v>
      </c>
      <c r="U9" s="193">
        <v>345</v>
      </c>
    </row>
    <row r="13" spans="1:21" x14ac:dyDescent="0.3">
      <c r="S13" s="15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3"/>
  <sheetViews>
    <sheetView topLeftCell="F1" zoomScale="90" zoomScaleNormal="90" workbookViewId="0">
      <selection sqref="A1:U3"/>
    </sheetView>
  </sheetViews>
  <sheetFormatPr defaultRowHeight="18.75" x14ac:dyDescent="0.3"/>
  <cols>
    <col min="1" max="1" width="9.140625" style="2"/>
    <col min="2" max="2" width="29.7109375" style="1" customWidth="1"/>
    <col min="3" max="3" width="16.85546875" style="76" customWidth="1"/>
    <col min="4" max="4" width="18.85546875" style="1" customWidth="1"/>
    <col min="5" max="5" width="42.5703125" style="1" customWidth="1"/>
    <col min="6" max="6" width="43.140625" style="1" customWidth="1"/>
    <col min="7" max="7" width="15.28515625" style="1" customWidth="1"/>
    <col min="8" max="8" width="10.5703125" style="2" customWidth="1"/>
    <col min="9" max="9" width="17.140625" style="2" customWidth="1"/>
    <col min="10" max="16384" width="9.140625" style="1"/>
  </cols>
  <sheetData>
    <row r="1" spans="1:21" x14ac:dyDescent="0.3">
      <c r="A1" s="173"/>
      <c r="B1" s="308" t="s">
        <v>619</v>
      </c>
      <c r="C1" s="309"/>
      <c r="D1" s="307"/>
      <c r="E1" s="307"/>
      <c r="F1" s="303"/>
      <c r="G1" s="307"/>
      <c r="H1" s="173"/>
      <c r="I1" s="173"/>
      <c r="J1" s="173"/>
      <c r="K1" s="173"/>
      <c r="L1" s="173"/>
      <c r="M1" s="173"/>
      <c r="N1" s="173"/>
      <c r="O1" s="173"/>
      <c r="P1" s="173"/>
      <c r="Q1" s="249"/>
      <c r="R1" s="249"/>
      <c r="S1" s="249"/>
      <c r="T1" s="249"/>
      <c r="U1" s="249"/>
    </row>
    <row r="2" spans="1:21" x14ac:dyDescent="0.3">
      <c r="A2" s="173"/>
      <c r="B2" s="249"/>
      <c r="C2" s="309"/>
      <c r="D2" s="303"/>
      <c r="E2" s="307"/>
      <c r="F2" s="303"/>
      <c r="G2" s="307"/>
      <c r="H2" s="173"/>
      <c r="I2" s="173"/>
      <c r="J2" s="364" t="s">
        <v>7</v>
      </c>
      <c r="K2" s="364"/>
      <c r="L2" s="364"/>
      <c r="M2" s="364"/>
      <c r="N2" s="365" t="s">
        <v>8</v>
      </c>
      <c r="O2" s="365"/>
      <c r="P2" s="365"/>
      <c r="Q2" s="351" t="s">
        <v>322</v>
      </c>
      <c r="R2" s="351" t="s">
        <v>323</v>
      </c>
      <c r="S2" s="350" t="s">
        <v>11</v>
      </c>
      <c r="T2" s="350" t="s">
        <v>12</v>
      </c>
      <c r="U2" s="351" t="s">
        <v>324</v>
      </c>
    </row>
    <row r="3" spans="1:21" s="2" customFormat="1" x14ac:dyDescent="0.3">
      <c r="A3" s="310" t="s">
        <v>6</v>
      </c>
      <c r="B3" s="310" t="s">
        <v>5</v>
      </c>
      <c r="C3" s="311" t="s">
        <v>4</v>
      </c>
      <c r="D3" s="312" t="s">
        <v>3</v>
      </c>
      <c r="E3" s="313" t="s">
        <v>117</v>
      </c>
      <c r="F3" s="312" t="s">
        <v>71</v>
      </c>
      <c r="G3" s="312" t="s">
        <v>106</v>
      </c>
      <c r="H3" s="310" t="s">
        <v>2</v>
      </c>
      <c r="I3" s="310" t="s">
        <v>173</v>
      </c>
      <c r="J3" s="314" t="s">
        <v>14</v>
      </c>
      <c r="K3" s="315" t="s">
        <v>15</v>
      </c>
      <c r="L3" s="316" t="s">
        <v>16</v>
      </c>
      <c r="M3" s="317" t="s">
        <v>17</v>
      </c>
      <c r="N3" s="318" t="s">
        <v>18</v>
      </c>
      <c r="O3" s="319" t="s">
        <v>19</v>
      </c>
      <c r="P3" s="320" t="s">
        <v>20</v>
      </c>
      <c r="Q3" s="350"/>
      <c r="R3" s="350"/>
      <c r="S3" s="350"/>
      <c r="T3" s="350"/>
      <c r="U3" s="350"/>
    </row>
    <row r="4" spans="1:21" s="249" customFormat="1" ht="37.5" x14ac:dyDescent="0.25">
      <c r="A4" s="173">
        <v>1</v>
      </c>
      <c r="B4" s="249" t="s">
        <v>546</v>
      </c>
      <c r="C4" s="303" t="s">
        <v>580</v>
      </c>
      <c r="D4" s="304" t="s">
        <v>547</v>
      </c>
      <c r="E4" s="305" t="s">
        <v>581</v>
      </c>
      <c r="F4" s="306" t="s">
        <v>579</v>
      </c>
      <c r="G4" s="307"/>
      <c r="H4" s="173" t="s">
        <v>53</v>
      </c>
      <c r="I4" s="173" t="s">
        <v>599</v>
      </c>
    </row>
    <row r="5" spans="1:21" s="295" customFormat="1" x14ac:dyDescent="0.25">
      <c r="A5" s="294">
        <v>2</v>
      </c>
      <c r="B5" s="295" t="s">
        <v>600</v>
      </c>
      <c r="C5" s="296">
        <v>31051</v>
      </c>
      <c r="D5" s="251" t="s">
        <v>602</v>
      </c>
      <c r="E5" s="297" t="s">
        <v>664</v>
      </c>
      <c r="F5" s="251" t="s">
        <v>665</v>
      </c>
      <c r="G5" s="298"/>
      <c r="H5" s="294" t="s">
        <v>53</v>
      </c>
      <c r="I5" s="294" t="s">
        <v>331</v>
      </c>
    </row>
    <row r="6" spans="1:21" s="179" customFormat="1" x14ac:dyDescent="0.3">
      <c r="A6" s="294">
        <v>3</v>
      </c>
      <c r="B6" s="295" t="s">
        <v>601</v>
      </c>
      <c r="C6" s="251" t="s">
        <v>663</v>
      </c>
      <c r="D6" s="251" t="s">
        <v>603</v>
      </c>
      <c r="E6" s="321" t="s">
        <v>666</v>
      </c>
      <c r="F6" s="251" t="s">
        <v>665</v>
      </c>
      <c r="G6" s="298"/>
      <c r="H6" s="294" t="s">
        <v>53</v>
      </c>
      <c r="I6" s="294" t="s">
        <v>331</v>
      </c>
      <c r="J6" s="295"/>
      <c r="K6" s="295"/>
      <c r="L6" s="295"/>
      <c r="M6" s="295"/>
      <c r="N6" s="295"/>
      <c r="O6" s="295"/>
      <c r="P6" s="295"/>
      <c r="Q6" s="295"/>
      <c r="R6" s="295"/>
      <c r="S6" s="295"/>
      <c r="T6" s="295"/>
      <c r="U6" s="295"/>
    </row>
    <row r="7" spans="1:21" x14ac:dyDescent="0.3">
      <c r="A7" s="322">
        <v>4</v>
      </c>
      <c r="B7" s="323" t="s">
        <v>606</v>
      </c>
      <c r="C7" s="250" t="s">
        <v>681</v>
      </c>
      <c r="D7" s="251" t="s">
        <v>608</v>
      </c>
      <c r="E7" s="324" t="s">
        <v>682</v>
      </c>
      <c r="F7" s="249" t="s">
        <v>683</v>
      </c>
      <c r="G7" s="173"/>
      <c r="H7" s="173" t="s">
        <v>53</v>
      </c>
      <c r="I7" s="173"/>
      <c r="J7" s="249"/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</row>
    <row r="8" spans="1:21" s="249" customFormat="1" x14ac:dyDescent="0.25">
      <c r="A8" s="173">
        <v>5</v>
      </c>
      <c r="B8" s="249" t="s">
        <v>607</v>
      </c>
      <c r="C8" s="250" t="s">
        <v>692</v>
      </c>
      <c r="D8" s="251" t="s">
        <v>609</v>
      </c>
      <c r="E8" s="252" t="s">
        <v>693</v>
      </c>
      <c r="F8" s="249" t="s">
        <v>683</v>
      </c>
      <c r="G8" s="173"/>
      <c r="H8" s="173" t="s">
        <v>53</v>
      </c>
      <c r="I8" s="173"/>
    </row>
    <row r="9" spans="1:21" x14ac:dyDescent="0.3">
      <c r="A9" s="173">
        <v>6</v>
      </c>
      <c r="B9" s="249" t="s">
        <v>610</v>
      </c>
      <c r="C9" s="309" t="s">
        <v>87</v>
      </c>
      <c r="D9" s="251" t="s">
        <v>612</v>
      </c>
      <c r="E9" s="249" t="s">
        <v>684</v>
      </c>
      <c r="F9" s="249" t="s">
        <v>579</v>
      </c>
      <c r="G9" s="249"/>
      <c r="H9" s="173" t="s">
        <v>53</v>
      </c>
      <c r="I9" s="173" t="s">
        <v>614</v>
      </c>
      <c r="J9" s="249"/>
      <c r="K9" s="249"/>
      <c r="L9" s="249"/>
      <c r="M9" s="249"/>
      <c r="N9" s="249"/>
      <c r="O9" s="249"/>
      <c r="P9" s="249"/>
      <c r="Q9" s="249"/>
      <c r="R9" s="249"/>
      <c r="S9" s="249"/>
      <c r="T9" s="249"/>
      <c r="U9" s="249"/>
    </row>
    <row r="10" spans="1:21" x14ac:dyDescent="0.3">
      <c r="A10" s="173">
        <v>7</v>
      </c>
      <c r="B10" s="249" t="s">
        <v>611</v>
      </c>
      <c r="C10" s="250">
        <v>36436</v>
      </c>
      <c r="D10" s="251" t="s">
        <v>613</v>
      </c>
      <c r="E10" s="249" t="s">
        <v>660</v>
      </c>
      <c r="F10" s="249" t="s">
        <v>579</v>
      </c>
      <c r="G10" s="249"/>
      <c r="H10" s="173" t="s">
        <v>53</v>
      </c>
      <c r="I10" s="173" t="s">
        <v>614</v>
      </c>
      <c r="J10" s="249"/>
      <c r="K10" s="249"/>
      <c r="L10" s="249"/>
      <c r="M10" s="249"/>
      <c r="N10" s="249"/>
      <c r="O10" s="249"/>
      <c r="P10" s="249"/>
      <c r="Q10" s="249"/>
      <c r="R10" s="249"/>
      <c r="S10" s="249"/>
      <c r="T10" s="249"/>
      <c r="U10" s="249"/>
    </row>
    <row r="11" spans="1:21" x14ac:dyDescent="0.3">
      <c r="A11" s="173">
        <v>8</v>
      </c>
      <c r="B11" s="249" t="s">
        <v>617</v>
      </c>
      <c r="C11" s="250">
        <v>35947</v>
      </c>
      <c r="D11" s="251" t="s">
        <v>618</v>
      </c>
      <c r="E11" s="249" t="s">
        <v>678</v>
      </c>
      <c r="F11" s="249" t="s">
        <v>679</v>
      </c>
      <c r="G11" s="249"/>
      <c r="H11" s="173" t="s">
        <v>53</v>
      </c>
      <c r="I11" s="173"/>
      <c r="J11" s="249"/>
      <c r="K11" s="249"/>
      <c r="L11" s="249"/>
      <c r="M11" s="249"/>
      <c r="N11" s="249"/>
      <c r="O11" s="249"/>
      <c r="P11" s="249"/>
      <c r="Q11" s="249"/>
      <c r="R11" s="249"/>
      <c r="S11" s="249"/>
      <c r="T11" s="249"/>
      <c r="U11" s="249"/>
    </row>
    <row r="12" spans="1:21" ht="37.5" x14ac:dyDescent="0.3">
      <c r="A12" s="173">
        <v>9</v>
      </c>
      <c r="B12" s="249" t="s">
        <v>628</v>
      </c>
      <c r="C12" s="309" t="s">
        <v>403</v>
      </c>
      <c r="D12" s="251" t="s">
        <v>630</v>
      </c>
      <c r="E12" s="252" t="s">
        <v>686</v>
      </c>
      <c r="F12" s="249" t="s">
        <v>673</v>
      </c>
      <c r="G12" s="249"/>
      <c r="H12" s="173" t="s">
        <v>53</v>
      </c>
      <c r="I12" s="173" t="s">
        <v>331</v>
      </c>
      <c r="J12" s="249"/>
      <c r="K12" s="249"/>
      <c r="L12" s="249"/>
      <c r="M12" s="249"/>
      <c r="N12" s="249"/>
      <c r="O12" s="249"/>
      <c r="P12" s="249"/>
      <c r="Q12" s="249"/>
      <c r="R12" s="249"/>
      <c r="S12" s="249"/>
      <c r="T12" s="249"/>
      <c r="U12" s="249"/>
    </row>
    <row r="13" spans="1:21" s="249" customFormat="1" ht="37.5" x14ac:dyDescent="0.25">
      <c r="A13" s="173">
        <v>10</v>
      </c>
      <c r="B13" s="249" t="s">
        <v>629</v>
      </c>
      <c r="C13" s="250">
        <v>35377</v>
      </c>
      <c r="D13" s="251" t="s">
        <v>631</v>
      </c>
      <c r="E13" s="252" t="s">
        <v>685</v>
      </c>
      <c r="F13" s="249" t="s">
        <v>673</v>
      </c>
      <c r="H13" s="173" t="s">
        <v>53</v>
      </c>
      <c r="I13" s="173" t="s">
        <v>331</v>
      </c>
    </row>
    <row r="14" spans="1:21" x14ac:dyDescent="0.3">
      <c r="A14" s="173">
        <v>11</v>
      </c>
      <c r="B14" s="249" t="s">
        <v>632</v>
      </c>
      <c r="C14" s="309" t="s">
        <v>690</v>
      </c>
      <c r="D14" s="251" t="s">
        <v>635</v>
      </c>
      <c r="E14" s="249" t="s">
        <v>689</v>
      </c>
      <c r="F14" s="249" t="s">
        <v>675</v>
      </c>
      <c r="G14" s="249"/>
      <c r="H14" s="173" t="s">
        <v>53</v>
      </c>
      <c r="I14" s="173" t="s">
        <v>331</v>
      </c>
      <c r="J14" s="249"/>
      <c r="K14" s="249"/>
      <c r="L14" s="249"/>
      <c r="M14" s="249"/>
      <c r="N14" s="249"/>
      <c r="O14" s="249"/>
      <c r="P14" s="249"/>
      <c r="Q14" s="249"/>
      <c r="R14" s="249"/>
      <c r="S14" s="249"/>
      <c r="T14" s="249"/>
      <c r="U14" s="249"/>
    </row>
    <row r="15" spans="1:21" x14ac:dyDescent="0.3">
      <c r="A15" s="173">
        <v>12</v>
      </c>
      <c r="B15" s="249" t="s">
        <v>633</v>
      </c>
      <c r="C15" s="250">
        <v>35776</v>
      </c>
      <c r="D15" s="251" t="s">
        <v>636</v>
      </c>
      <c r="E15" s="249" t="s">
        <v>691</v>
      </c>
      <c r="F15" s="249" t="s">
        <v>675</v>
      </c>
      <c r="G15" s="249"/>
      <c r="H15" s="173" t="s">
        <v>53</v>
      </c>
      <c r="I15" s="173" t="s">
        <v>331</v>
      </c>
      <c r="J15" s="249"/>
      <c r="K15" s="249"/>
      <c r="L15" s="249"/>
      <c r="M15" s="249"/>
      <c r="N15" s="249"/>
      <c r="O15" s="249"/>
      <c r="P15" s="249"/>
      <c r="Q15" s="249"/>
      <c r="R15" s="249"/>
      <c r="S15" s="249"/>
      <c r="T15" s="249"/>
      <c r="U15" s="249"/>
    </row>
    <row r="16" spans="1:21" x14ac:dyDescent="0.3">
      <c r="A16" s="173">
        <v>13</v>
      </c>
      <c r="B16" s="249" t="s">
        <v>634</v>
      </c>
      <c r="C16" s="309" t="s">
        <v>687</v>
      </c>
      <c r="D16" s="251" t="s">
        <v>637</v>
      </c>
      <c r="E16" s="249" t="s">
        <v>688</v>
      </c>
      <c r="F16" s="249" t="s">
        <v>675</v>
      </c>
      <c r="G16" s="249"/>
      <c r="H16" s="173" t="s">
        <v>53</v>
      </c>
      <c r="I16" s="173" t="s">
        <v>331</v>
      </c>
      <c r="J16" s="249"/>
      <c r="K16" s="249"/>
      <c r="L16" s="249"/>
      <c r="M16" s="249"/>
      <c r="N16" s="249"/>
      <c r="O16" s="249"/>
      <c r="P16" s="249"/>
      <c r="Q16" s="249"/>
      <c r="R16" s="249"/>
      <c r="S16" s="249"/>
      <c r="T16" s="249"/>
      <c r="U16" s="249"/>
    </row>
    <row r="17" spans="1:21" x14ac:dyDescent="0.3">
      <c r="A17" s="173">
        <v>14</v>
      </c>
      <c r="B17" s="249" t="s">
        <v>624</v>
      </c>
      <c r="C17" s="309" t="s">
        <v>670</v>
      </c>
      <c r="D17" s="251" t="s">
        <v>625</v>
      </c>
      <c r="E17" s="249" t="s">
        <v>671</v>
      </c>
      <c r="F17" s="249"/>
      <c r="G17" s="249"/>
      <c r="H17" s="173" t="s">
        <v>53</v>
      </c>
      <c r="I17" s="173" t="s">
        <v>331</v>
      </c>
      <c r="J17" s="249"/>
      <c r="K17" s="249"/>
      <c r="L17" s="249"/>
      <c r="M17" s="249"/>
      <c r="N17" s="249"/>
      <c r="O17" s="249"/>
      <c r="P17" s="249"/>
      <c r="Q17" s="249"/>
      <c r="R17" s="249"/>
      <c r="S17" s="249"/>
      <c r="T17" s="249"/>
      <c r="U17" s="249"/>
    </row>
    <row r="18" spans="1:21" x14ac:dyDescent="0.3">
      <c r="A18" s="173">
        <v>15</v>
      </c>
      <c r="B18" s="249" t="s">
        <v>626</v>
      </c>
      <c r="C18" s="309" t="s">
        <v>667</v>
      </c>
      <c r="D18" s="251" t="s">
        <v>627</v>
      </c>
      <c r="E18" s="249" t="s">
        <v>668</v>
      </c>
      <c r="F18" s="249" t="s">
        <v>669</v>
      </c>
      <c r="G18" s="249"/>
      <c r="H18" s="173" t="s">
        <v>53</v>
      </c>
      <c r="I18" s="173" t="s">
        <v>331</v>
      </c>
      <c r="J18" s="249"/>
      <c r="K18" s="249"/>
      <c r="L18" s="249"/>
      <c r="M18" s="249"/>
      <c r="N18" s="249"/>
      <c r="O18" s="249"/>
      <c r="P18" s="249"/>
      <c r="Q18" s="249"/>
      <c r="R18" s="249"/>
      <c r="S18" s="249"/>
      <c r="T18" s="249"/>
      <c r="U18" s="249"/>
    </row>
    <row r="19" spans="1:21" x14ac:dyDescent="0.3">
      <c r="A19" s="173">
        <v>16</v>
      </c>
      <c r="B19" s="249" t="s">
        <v>638</v>
      </c>
      <c r="C19" s="309" t="s">
        <v>674</v>
      </c>
      <c r="D19" s="251" t="s">
        <v>640</v>
      </c>
      <c r="E19" s="249" t="s">
        <v>677</v>
      </c>
      <c r="F19" s="249" t="s">
        <v>675</v>
      </c>
      <c r="G19" s="249"/>
      <c r="H19" s="173" t="s">
        <v>53</v>
      </c>
      <c r="I19" s="173" t="s">
        <v>331</v>
      </c>
      <c r="J19" s="249"/>
      <c r="K19" s="249"/>
      <c r="L19" s="249"/>
      <c r="M19" s="249"/>
      <c r="N19" s="249"/>
      <c r="O19" s="249"/>
      <c r="P19" s="249"/>
      <c r="Q19" s="249"/>
      <c r="R19" s="249"/>
      <c r="S19" s="249"/>
      <c r="T19" s="249"/>
      <c r="U19" s="249"/>
    </row>
    <row r="20" spans="1:21" x14ac:dyDescent="0.3">
      <c r="A20" s="173">
        <v>17</v>
      </c>
      <c r="B20" s="249" t="s">
        <v>639</v>
      </c>
      <c r="C20" s="309" t="s">
        <v>676</v>
      </c>
      <c r="D20" s="251" t="s">
        <v>641</v>
      </c>
      <c r="E20" s="249" t="s">
        <v>677</v>
      </c>
      <c r="F20" s="249" t="s">
        <v>675</v>
      </c>
      <c r="G20" s="249"/>
      <c r="H20" s="173" t="s">
        <v>53</v>
      </c>
      <c r="I20" s="173" t="s">
        <v>331</v>
      </c>
      <c r="J20" s="249"/>
      <c r="K20" s="249"/>
      <c r="L20" s="249"/>
      <c r="M20" s="249"/>
      <c r="N20" s="249"/>
      <c r="O20" s="249"/>
      <c r="P20" s="249"/>
      <c r="Q20" s="249"/>
      <c r="R20" s="249"/>
      <c r="S20" s="249"/>
      <c r="T20" s="249"/>
      <c r="U20" s="249"/>
    </row>
    <row r="21" spans="1:21" x14ac:dyDescent="0.3">
      <c r="A21" s="173">
        <v>18</v>
      </c>
      <c r="B21" s="249" t="s">
        <v>642</v>
      </c>
      <c r="C21" s="250">
        <v>36344</v>
      </c>
      <c r="D21" s="251" t="s">
        <v>643</v>
      </c>
      <c r="E21" s="249" t="s">
        <v>672</v>
      </c>
      <c r="F21" s="249" t="s">
        <v>673</v>
      </c>
      <c r="G21" s="249"/>
      <c r="H21" s="173" t="s">
        <v>53</v>
      </c>
      <c r="I21" s="173" t="s">
        <v>331</v>
      </c>
      <c r="J21" s="249"/>
      <c r="K21" s="249"/>
      <c r="L21" s="249"/>
      <c r="M21" s="249"/>
      <c r="N21" s="249"/>
      <c r="O21" s="249"/>
      <c r="P21" s="249"/>
      <c r="Q21" s="249"/>
      <c r="R21" s="249"/>
      <c r="S21" s="249"/>
      <c r="T21" s="249"/>
      <c r="U21" s="249"/>
    </row>
    <row r="22" spans="1:21" ht="37.5" x14ac:dyDescent="0.3">
      <c r="A22" s="173">
        <v>19</v>
      </c>
      <c r="B22" s="249" t="s">
        <v>644</v>
      </c>
      <c r="C22" s="250">
        <v>35106</v>
      </c>
      <c r="D22" s="251" t="s">
        <v>645</v>
      </c>
      <c r="E22" s="252" t="s">
        <v>680</v>
      </c>
      <c r="F22" s="249" t="s">
        <v>579</v>
      </c>
      <c r="G22" s="249"/>
      <c r="H22" s="173" t="s">
        <v>53</v>
      </c>
      <c r="I22" s="173" t="s">
        <v>614</v>
      </c>
      <c r="J22" s="249"/>
      <c r="K22" s="249"/>
      <c r="L22" s="249"/>
      <c r="M22" s="249"/>
      <c r="N22" s="249"/>
      <c r="O22" s="249"/>
      <c r="P22" s="249"/>
      <c r="Q22" s="249"/>
      <c r="R22" s="249"/>
      <c r="S22" s="249"/>
      <c r="T22" s="249"/>
      <c r="U22" s="249"/>
    </row>
    <row r="23" spans="1:21" x14ac:dyDescent="0.3">
      <c r="A23" s="173">
        <v>20</v>
      </c>
      <c r="B23" s="249" t="s">
        <v>694</v>
      </c>
      <c r="C23" s="309" t="s">
        <v>695</v>
      </c>
      <c r="D23" s="251" t="s">
        <v>696</v>
      </c>
      <c r="E23" s="249" t="s">
        <v>697</v>
      </c>
      <c r="F23" s="249"/>
      <c r="G23" s="249"/>
      <c r="H23" s="173" t="s">
        <v>53</v>
      </c>
      <c r="I23" s="173" t="s">
        <v>331</v>
      </c>
      <c r="J23" s="249"/>
      <c r="K23" s="249"/>
      <c r="L23" s="249"/>
      <c r="M23" s="249"/>
      <c r="N23" s="249"/>
      <c r="O23" s="249"/>
      <c r="P23" s="249"/>
      <c r="Q23" s="249"/>
      <c r="R23" s="249"/>
      <c r="S23" s="249"/>
      <c r="T23" s="249"/>
      <c r="U23" s="249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4"/>
  <sheetViews>
    <sheetView workbookViewId="0">
      <selection activeCell="D12" sqref="D12"/>
    </sheetView>
  </sheetViews>
  <sheetFormatPr defaultRowHeight="18.75" x14ac:dyDescent="0.3"/>
  <cols>
    <col min="1" max="1" width="9.140625" style="2"/>
    <col min="2" max="2" width="29.7109375" style="1" customWidth="1"/>
    <col min="3" max="3" width="18.140625" style="2" customWidth="1"/>
    <col min="4" max="4" width="20.85546875" style="1" customWidth="1"/>
    <col min="5" max="5" width="51.42578125" style="1" customWidth="1"/>
    <col min="6" max="6" width="43.140625" style="1" customWidth="1"/>
    <col min="7" max="7" width="19.5703125" style="1" customWidth="1"/>
    <col min="8" max="8" width="13" style="2" customWidth="1"/>
    <col min="9" max="9" width="19.140625" style="2" customWidth="1"/>
    <col min="10" max="16384" width="9.140625" style="1"/>
  </cols>
  <sheetData>
    <row r="1" spans="1:21" x14ac:dyDescent="0.3">
      <c r="B1" s="159" t="s">
        <v>620</v>
      </c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D2" s="34"/>
      <c r="E2" s="33"/>
      <c r="F2" s="34"/>
      <c r="G2" s="33"/>
      <c r="J2" s="355" t="s">
        <v>7</v>
      </c>
      <c r="K2" s="355"/>
      <c r="L2" s="355"/>
      <c r="M2" s="355"/>
      <c r="N2" s="356" t="s">
        <v>8</v>
      </c>
      <c r="O2" s="356"/>
      <c r="P2" s="356"/>
      <c r="Q2" s="351" t="s">
        <v>322</v>
      </c>
      <c r="R2" s="351" t="s">
        <v>323</v>
      </c>
      <c r="S2" s="350" t="s">
        <v>11</v>
      </c>
      <c r="T2" s="350" t="s">
        <v>12</v>
      </c>
      <c r="U2" s="351" t="s">
        <v>324</v>
      </c>
    </row>
    <row r="3" spans="1:21" x14ac:dyDescent="0.3">
      <c r="A3" s="156" t="s">
        <v>6</v>
      </c>
      <c r="B3" s="156" t="s">
        <v>5</v>
      </c>
      <c r="C3" s="300" t="s">
        <v>4</v>
      </c>
      <c r="D3" s="157" t="s">
        <v>3</v>
      </c>
      <c r="E3" s="206" t="s">
        <v>117</v>
      </c>
      <c r="F3" s="157" t="s">
        <v>71</v>
      </c>
      <c r="G3" s="157" t="s">
        <v>106</v>
      </c>
      <c r="H3" s="156" t="s">
        <v>2</v>
      </c>
      <c r="I3" s="156" t="s">
        <v>173</v>
      </c>
      <c r="J3" s="160" t="s">
        <v>14</v>
      </c>
      <c r="K3" s="161" t="s">
        <v>15</v>
      </c>
      <c r="L3" s="162" t="s">
        <v>16</v>
      </c>
      <c r="M3" s="163" t="s">
        <v>17</v>
      </c>
      <c r="N3" s="164" t="s">
        <v>18</v>
      </c>
      <c r="O3" s="165" t="s">
        <v>19</v>
      </c>
      <c r="P3" s="166" t="s">
        <v>20</v>
      </c>
      <c r="Q3" s="350"/>
      <c r="R3" s="350"/>
      <c r="S3" s="350"/>
      <c r="T3" s="350"/>
      <c r="U3" s="350"/>
    </row>
    <row r="4" spans="1:21" x14ac:dyDescent="0.3">
      <c r="A4" s="2">
        <v>1</v>
      </c>
      <c r="B4" s="1" t="s">
        <v>596</v>
      </c>
      <c r="C4" s="33" t="s">
        <v>646</v>
      </c>
      <c r="D4" s="191" t="s">
        <v>709</v>
      </c>
      <c r="E4" s="3" t="s">
        <v>647</v>
      </c>
      <c r="F4" s="3" t="s">
        <v>579</v>
      </c>
      <c r="G4" s="33"/>
      <c r="H4" s="2" t="s">
        <v>53</v>
      </c>
      <c r="I4" s="2" t="s">
        <v>359</v>
      </c>
    </row>
    <row r="5" spans="1:21" s="179" customFormat="1" x14ac:dyDescent="0.3">
      <c r="A5" s="178">
        <v>2</v>
      </c>
      <c r="B5" s="179" t="s">
        <v>597</v>
      </c>
      <c r="C5" s="301" t="s">
        <v>648</v>
      </c>
      <c r="D5" s="180" t="s">
        <v>598</v>
      </c>
      <c r="E5" s="181" t="s">
        <v>649</v>
      </c>
      <c r="F5" s="180" t="s">
        <v>650</v>
      </c>
      <c r="G5" s="182"/>
      <c r="H5" s="178" t="s">
        <v>53</v>
      </c>
      <c r="I5" s="178" t="s">
        <v>345</v>
      </c>
      <c r="J5" s="211">
        <v>2</v>
      </c>
      <c r="K5" s="211">
        <v>9</v>
      </c>
      <c r="L5" s="211">
        <v>9</v>
      </c>
      <c r="M5" s="211">
        <v>8</v>
      </c>
      <c r="N5" s="211">
        <v>14</v>
      </c>
      <c r="O5" s="211">
        <v>3</v>
      </c>
      <c r="P5" s="211">
        <v>9</v>
      </c>
      <c r="Q5" s="211">
        <v>28</v>
      </c>
      <c r="R5" s="211">
        <v>26</v>
      </c>
      <c r="S5" s="211">
        <v>120</v>
      </c>
      <c r="T5" s="211">
        <v>65</v>
      </c>
      <c r="U5" s="211">
        <v>185</v>
      </c>
    </row>
    <row r="6" spans="1:21" x14ac:dyDescent="0.3">
      <c r="A6" s="2">
        <v>3</v>
      </c>
      <c r="B6" s="1" t="s">
        <v>658</v>
      </c>
      <c r="C6" s="33" t="s">
        <v>656</v>
      </c>
      <c r="D6" s="34" t="s">
        <v>604</v>
      </c>
      <c r="E6" s="3" t="s">
        <v>660</v>
      </c>
      <c r="F6" s="34"/>
      <c r="G6" s="33"/>
      <c r="H6" s="2" t="s">
        <v>53</v>
      </c>
      <c r="I6" s="2" t="s">
        <v>331</v>
      </c>
      <c r="J6" s="211">
        <v>5</v>
      </c>
      <c r="K6" s="211">
        <v>9</v>
      </c>
      <c r="L6" s="211">
        <v>15</v>
      </c>
      <c r="M6" s="211">
        <v>10</v>
      </c>
      <c r="N6" s="211">
        <v>20</v>
      </c>
      <c r="O6" s="211">
        <v>4</v>
      </c>
      <c r="P6" s="211">
        <v>24</v>
      </c>
      <c r="Q6" s="211">
        <v>39</v>
      </c>
      <c r="R6" s="211">
        <v>48</v>
      </c>
      <c r="S6" s="211">
        <v>180</v>
      </c>
      <c r="T6" s="211">
        <v>200</v>
      </c>
      <c r="U6" s="211">
        <v>380</v>
      </c>
    </row>
    <row r="7" spans="1:21" x14ac:dyDescent="0.3">
      <c r="A7" s="178">
        <v>4</v>
      </c>
      <c r="B7" s="208" t="s">
        <v>659</v>
      </c>
      <c r="C7" s="182" t="s">
        <v>657</v>
      </c>
      <c r="D7" s="180" t="s">
        <v>605</v>
      </c>
      <c r="E7" s="181" t="s">
        <v>661</v>
      </c>
      <c r="F7" s="180" t="s">
        <v>662</v>
      </c>
      <c r="G7" s="182"/>
      <c r="H7" s="178" t="s">
        <v>53</v>
      </c>
      <c r="I7" s="178" t="s">
        <v>331</v>
      </c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</row>
    <row r="8" spans="1:21" x14ac:dyDescent="0.3">
      <c r="A8" s="209">
        <v>5</v>
      </c>
      <c r="B8" s="246" t="s">
        <v>615</v>
      </c>
      <c r="C8" s="302" t="s">
        <v>651</v>
      </c>
      <c r="D8" s="245" t="s">
        <v>616</v>
      </c>
      <c r="E8" s="248" t="s">
        <v>653</v>
      </c>
      <c r="F8" s="247" t="s">
        <v>652</v>
      </c>
      <c r="G8" s="2"/>
      <c r="H8" s="178" t="s">
        <v>53</v>
      </c>
      <c r="I8" s="178" t="s">
        <v>331</v>
      </c>
    </row>
    <row r="9" spans="1:21" x14ac:dyDescent="0.3">
      <c r="A9" s="2">
        <v>6</v>
      </c>
      <c r="B9" s="1" t="s">
        <v>621</v>
      </c>
      <c r="C9" s="75">
        <v>31478</v>
      </c>
      <c r="D9" s="180" t="s">
        <v>622</v>
      </c>
      <c r="E9" s="1" t="s">
        <v>654</v>
      </c>
      <c r="F9" s="1" t="s">
        <v>655</v>
      </c>
      <c r="G9" s="2"/>
      <c r="H9" s="178" t="s">
        <v>446</v>
      </c>
      <c r="I9" s="178" t="s">
        <v>623</v>
      </c>
    </row>
    <row r="10" spans="1:21" x14ac:dyDescent="0.3">
      <c r="A10" s="2">
        <v>7</v>
      </c>
      <c r="B10" s="1" t="s">
        <v>549</v>
      </c>
      <c r="C10" s="2">
        <v>1987</v>
      </c>
      <c r="D10" s="180" t="s">
        <v>714</v>
      </c>
      <c r="F10" s="1" t="s">
        <v>715</v>
      </c>
      <c r="H10" s="2" t="s">
        <v>53</v>
      </c>
      <c r="I10" s="2" t="s">
        <v>308</v>
      </c>
    </row>
    <row r="11" spans="1:21" x14ac:dyDescent="0.3">
      <c r="A11" s="2">
        <v>8</v>
      </c>
      <c r="B11" s="1" t="s">
        <v>698</v>
      </c>
      <c r="C11" s="2" t="s">
        <v>699</v>
      </c>
      <c r="D11" s="180" t="s">
        <v>700</v>
      </c>
      <c r="E11" s="1" t="s">
        <v>701</v>
      </c>
      <c r="F11" s="1" t="s">
        <v>702</v>
      </c>
      <c r="H11" s="2" t="s">
        <v>53</v>
      </c>
      <c r="I11" s="2" t="s">
        <v>308</v>
      </c>
    </row>
    <row r="12" spans="1:21" x14ac:dyDescent="0.3">
      <c r="A12" s="2">
        <v>9</v>
      </c>
      <c r="B12" s="1" t="s">
        <v>703</v>
      </c>
      <c r="C12" s="2" t="s">
        <v>706</v>
      </c>
      <c r="D12" s="180" t="s">
        <v>708</v>
      </c>
      <c r="E12" s="1" t="s">
        <v>707</v>
      </c>
      <c r="F12" s="1" t="s">
        <v>579</v>
      </c>
      <c r="H12" s="2" t="s">
        <v>53</v>
      </c>
      <c r="I12" s="2" t="s">
        <v>345</v>
      </c>
    </row>
    <row r="13" spans="1:21" x14ac:dyDescent="0.3">
      <c r="A13" s="2">
        <v>10</v>
      </c>
      <c r="B13" s="1" t="s">
        <v>704</v>
      </c>
      <c r="D13" s="180" t="s">
        <v>705</v>
      </c>
      <c r="H13" s="2" t="s">
        <v>53</v>
      </c>
      <c r="I13" s="2" t="s">
        <v>331</v>
      </c>
    </row>
    <row r="14" spans="1:21" x14ac:dyDescent="0.3">
      <c r="A14" s="2">
        <v>11</v>
      </c>
      <c r="B14" s="1" t="s">
        <v>710</v>
      </c>
      <c r="C14" s="75">
        <v>35373</v>
      </c>
      <c r="D14" s="180" t="s">
        <v>711</v>
      </c>
      <c r="E14" s="1" t="s">
        <v>713</v>
      </c>
      <c r="H14" s="2" t="s">
        <v>53</v>
      </c>
      <c r="I14" s="2" t="s">
        <v>712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V33"/>
  <sheetViews>
    <sheetView topLeftCell="A13" workbookViewId="0">
      <selection activeCell="L31" sqref="L31"/>
    </sheetView>
  </sheetViews>
  <sheetFormatPr defaultRowHeight="15" x14ac:dyDescent="0.25"/>
  <cols>
    <col min="1" max="1" width="4" customWidth="1"/>
    <col min="2" max="2" width="35.140625" bestFit="1" customWidth="1"/>
    <col min="5" max="5" width="7" bestFit="1" customWidth="1"/>
    <col min="6" max="6" width="15" customWidth="1"/>
    <col min="7" max="8" width="13.7109375" customWidth="1"/>
    <col min="9" max="9" width="10.28515625" customWidth="1"/>
    <col min="10" max="10" width="14" customWidth="1"/>
    <col min="11" max="11" width="12" customWidth="1"/>
    <col min="12" max="12" width="13.7109375" customWidth="1"/>
    <col min="14" max="15" width="11.7109375" customWidth="1"/>
  </cols>
  <sheetData>
    <row r="1" spans="1:22" x14ac:dyDescent="0.25">
      <c r="A1" s="366"/>
      <c r="B1" s="367" t="s">
        <v>716</v>
      </c>
      <c r="C1" s="368"/>
      <c r="D1" s="395" t="s">
        <v>727</v>
      </c>
      <c r="E1" s="397" t="s">
        <v>728</v>
      </c>
      <c r="F1" s="397"/>
      <c r="G1" s="397"/>
      <c r="H1" s="397"/>
      <c r="I1" s="397"/>
      <c r="J1" s="397"/>
      <c r="K1" s="366"/>
      <c r="L1" s="366"/>
      <c r="M1" s="366"/>
      <c r="N1" s="366"/>
      <c r="O1" s="366"/>
      <c r="P1" s="366"/>
      <c r="Q1" s="366"/>
      <c r="R1" s="371"/>
      <c r="S1" s="371"/>
      <c r="T1" s="371"/>
      <c r="U1" s="371"/>
      <c r="V1" s="371"/>
    </row>
    <row r="2" spans="1:22" x14ac:dyDescent="0.25">
      <c r="A2" s="366"/>
      <c r="B2" s="367"/>
      <c r="C2" s="368"/>
      <c r="D2" s="395"/>
      <c r="E2" s="397"/>
      <c r="F2" s="397"/>
      <c r="G2" s="397"/>
      <c r="H2" s="397"/>
      <c r="I2" s="397"/>
      <c r="J2" s="397"/>
      <c r="K2" s="366"/>
      <c r="L2" s="366"/>
      <c r="M2" s="366"/>
      <c r="N2" s="366"/>
      <c r="O2" s="366"/>
      <c r="P2" s="366"/>
      <c r="Q2" s="366"/>
      <c r="R2" s="371"/>
      <c r="S2" s="371"/>
      <c r="T2" s="371"/>
      <c r="U2" s="371"/>
      <c r="V2" s="371"/>
    </row>
    <row r="3" spans="1:22" x14ac:dyDescent="0.25">
      <c r="A3" s="366"/>
      <c r="B3" s="367"/>
      <c r="C3" s="368"/>
      <c r="D3" s="369"/>
      <c r="E3" s="369"/>
      <c r="F3" s="370"/>
      <c r="G3" s="369"/>
      <c r="H3" s="369"/>
      <c r="I3" s="366"/>
      <c r="J3" s="366"/>
      <c r="K3" s="366"/>
      <c r="L3" s="366"/>
      <c r="M3" s="366"/>
      <c r="N3" s="366"/>
      <c r="O3" s="366"/>
      <c r="P3" s="366"/>
      <c r="Q3" s="366"/>
      <c r="R3" s="371"/>
      <c r="S3" s="371"/>
      <c r="T3" s="371"/>
      <c r="U3" s="371"/>
      <c r="V3" s="371"/>
    </row>
    <row r="4" spans="1:22" x14ac:dyDescent="0.25">
      <c r="A4" s="383" t="s">
        <v>6</v>
      </c>
      <c r="B4" s="383" t="s">
        <v>5</v>
      </c>
      <c r="C4" s="385" t="s">
        <v>4</v>
      </c>
      <c r="D4" s="385" t="s">
        <v>3</v>
      </c>
      <c r="E4" s="385" t="s">
        <v>117</v>
      </c>
      <c r="F4" s="385" t="s">
        <v>71</v>
      </c>
      <c r="G4" s="385" t="s">
        <v>106</v>
      </c>
      <c r="H4" s="385" t="s">
        <v>725</v>
      </c>
      <c r="I4" s="383" t="s">
        <v>2</v>
      </c>
      <c r="J4" s="383" t="s">
        <v>173</v>
      </c>
      <c r="K4" s="372" t="s">
        <v>7</v>
      </c>
      <c r="L4" s="372"/>
      <c r="M4" s="372"/>
      <c r="N4" s="372"/>
      <c r="O4" s="373" t="s">
        <v>8</v>
      </c>
      <c r="P4" s="373"/>
      <c r="Q4" s="373"/>
      <c r="R4" s="374" t="s">
        <v>322</v>
      </c>
      <c r="S4" s="374" t="s">
        <v>323</v>
      </c>
      <c r="T4" s="375" t="s">
        <v>11</v>
      </c>
      <c r="U4" s="375" t="s">
        <v>12</v>
      </c>
      <c r="V4" s="374" t="s">
        <v>324</v>
      </c>
    </row>
    <row r="5" spans="1:22" x14ac:dyDescent="0.25">
      <c r="A5" s="384"/>
      <c r="B5" s="384"/>
      <c r="C5" s="386"/>
      <c r="D5" s="386"/>
      <c r="E5" s="386"/>
      <c r="F5" s="386"/>
      <c r="G5" s="386"/>
      <c r="H5" s="386"/>
      <c r="I5" s="384"/>
      <c r="J5" s="384"/>
      <c r="K5" s="376" t="s">
        <v>14</v>
      </c>
      <c r="L5" s="377" t="s">
        <v>15</v>
      </c>
      <c r="M5" s="378" t="s">
        <v>16</v>
      </c>
      <c r="N5" s="379" t="s">
        <v>17</v>
      </c>
      <c r="O5" s="380" t="s">
        <v>18</v>
      </c>
      <c r="P5" s="381" t="s">
        <v>19</v>
      </c>
      <c r="Q5" s="382" t="s">
        <v>20</v>
      </c>
      <c r="R5" s="375"/>
      <c r="S5" s="375"/>
      <c r="T5" s="375"/>
      <c r="U5" s="375"/>
      <c r="V5" s="375"/>
    </row>
    <row r="6" spans="1:22" x14ac:dyDescent="0.25">
      <c r="A6" s="19">
        <v>1</v>
      </c>
      <c r="B6" s="22"/>
      <c r="C6" s="22"/>
      <c r="D6" s="22"/>
      <c r="E6" s="22"/>
      <c r="F6" s="22"/>
      <c r="G6" s="22"/>
      <c r="H6" s="394"/>
      <c r="I6" s="388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</row>
    <row r="7" spans="1:22" x14ac:dyDescent="0.25">
      <c r="A7" s="19">
        <v>2</v>
      </c>
      <c r="B7" s="22"/>
      <c r="C7" s="22"/>
      <c r="D7" s="22"/>
      <c r="E7" s="22"/>
      <c r="F7" s="22"/>
      <c r="G7" s="22"/>
      <c r="H7" s="394"/>
      <c r="I7" s="388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</row>
    <row r="8" spans="1:22" x14ac:dyDescent="0.25">
      <c r="A8" s="19">
        <v>3</v>
      </c>
      <c r="B8" s="22"/>
      <c r="C8" s="22"/>
      <c r="D8" s="22"/>
      <c r="E8" s="22"/>
      <c r="F8" s="22"/>
      <c r="G8" s="22"/>
      <c r="H8" s="394"/>
      <c r="I8" s="388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</row>
    <row r="9" spans="1:22" x14ac:dyDescent="0.25">
      <c r="A9" s="19">
        <v>4</v>
      </c>
      <c r="B9" s="22"/>
      <c r="C9" s="22"/>
      <c r="D9" s="22"/>
      <c r="E9" s="22"/>
      <c r="F9" s="22"/>
      <c r="G9" s="22"/>
      <c r="H9" s="394"/>
      <c r="I9" s="388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</row>
    <row r="10" spans="1:22" x14ac:dyDescent="0.25">
      <c r="A10" s="19">
        <v>5</v>
      </c>
      <c r="B10" s="22"/>
      <c r="C10" s="22"/>
      <c r="D10" s="22"/>
      <c r="E10" s="22"/>
      <c r="F10" s="22"/>
      <c r="G10" s="22"/>
      <c r="H10" s="394"/>
      <c r="I10" s="388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</row>
    <row r="11" spans="1:22" x14ac:dyDescent="0.25">
      <c r="A11" s="19">
        <v>6</v>
      </c>
      <c r="B11" s="22"/>
      <c r="C11" s="22"/>
      <c r="D11" s="22"/>
      <c r="E11" s="22"/>
      <c r="F11" s="22"/>
      <c r="G11" s="22"/>
      <c r="H11" s="394"/>
      <c r="I11" s="388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</row>
    <row r="12" spans="1:22" x14ac:dyDescent="0.25">
      <c r="A12" s="19">
        <v>7</v>
      </c>
      <c r="B12" s="22"/>
      <c r="C12" s="22"/>
      <c r="D12" s="22"/>
      <c r="E12" s="22"/>
      <c r="F12" s="22"/>
      <c r="G12" s="22"/>
      <c r="H12" s="394"/>
      <c r="I12" s="388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</row>
    <row r="13" spans="1:22" x14ac:dyDescent="0.25">
      <c r="A13" s="19">
        <v>8</v>
      </c>
      <c r="B13" s="22"/>
      <c r="C13" s="22"/>
      <c r="D13" s="22"/>
      <c r="E13" s="22"/>
      <c r="F13" s="22"/>
      <c r="G13" s="22"/>
      <c r="H13" s="394"/>
      <c r="I13" s="388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</row>
    <row r="14" spans="1:22" x14ac:dyDescent="0.25">
      <c r="A14" s="19">
        <v>9</v>
      </c>
      <c r="B14" s="22"/>
      <c r="C14" s="22"/>
      <c r="D14" s="22"/>
      <c r="E14" s="22"/>
      <c r="F14" s="22"/>
      <c r="G14" s="22"/>
      <c r="H14" s="22"/>
      <c r="I14" s="388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</row>
    <row r="15" spans="1:22" x14ac:dyDescent="0.25">
      <c r="A15" s="19">
        <v>10</v>
      </c>
      <c r="B15" s="22"/>
      <c r="C15" s="22"/>
      <c r="D15" s="22"/>
      <c r="E15" s="22"/>
      <c r="F15" s="22"/>
      <c r="G15" s="22"/>
      <c r="H15" s="22"/>
      <c r="I15" s="388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</row>
    <row r="16" spans="1:22" x14ac:dyDescent="0.25">
      <c r="A16" s="19">
        <v>11</v>
      </c>
      <c r="B16" s="22"/>
      <c r="C16" s="22"/>
      <c r="D16" s="22"/>
      <c r="E16" s="22"/>
      <c r="F16" s="22"/>
      <c r="G16" s="22"/>
      <c r="H16" s="22"/>
      <c r="I16" s="388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</row>
    <row r="17" spans="1:22" x14ac:dyDescent="0.25">
      <c r="A17" s="19">
        <v>12</v>
      </c>
      <c r="B17" s="22"/>
      <c r="C17" s="22"/>
      <c r="D17" s="22"/>
      <c r="E17" s="22"/>
      <c r="F17" s="22"/>
      <c r="G17" s="22"/>
      <c r="H17" s="22"/>
      <c r="I17" s="388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</row>
    <row r="18" spans="1:22" x14ac:dyDescent="0.25">
      <c r="A18" s="19">
        <v>13</v>
      </c>
      <c r="B18" s="22"/>
      <c r="C18" s="22"/>
      <c r="D18" s="22"/>
      <c r="E18" s="22"/>
      <c r="F18" s="22"/>
      <c r="G18" s="22"/>
      <c r="H18" s="22"/>
      <c r="I18" s="388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</row>
    <row r="19" spans="1:22" x14ac:dyDescent="0.25">
      <c r="A19" s="19">
        <v>14</v>
      </c>
      <c r="B19" s="22"/>
      <c r="C19" s="22"/>
      <c r="D19" s="22"/>
      <c r="E19" s="22"/>
      <c r="F19" s="22"/>
      <c r="G19" s="22"/>
      <c r="H19" s="22"/>
      <c r="I19" s="388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</row>
    <row r="20" spans="1:22" x14ac:dyDescent="0.25">
      <c r="A20" s="19">
        <v>15</v>
      </c>
      <c r="B20" s="22"/>
      <c r="C20" s="22"/>
      <c r="D20" s="22"/>
      <c r="E20" s="22"/>
      <c r="F20" s="22"/>
      <c r="G20" s="22"/>
      <c r="H20" s="22"/>
      <c r="I20" s="388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</row>
    <row r="21" spans="1:22" x14ac:dyDescent="0.25">
      <c r="A21" s="19">
        <v>16</v>
      </c>
      <c r="B21" s="22"/>
      <c r="C21" s="22"/>
      <c r="D21" s="22"/>
      <c r="E21" s="22"/>
      <c r="F21" s="22"/>
      <c r="G21" s="22"/>
      <c r="H21" s="22"/>
      <c r="I21" s="388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</row>
    <row r="22" spans="1:22" x14ac:dyDescent="0.25">
      <c r="A22" s="19">
        <v>17</v>
      </c>
      <c r="B22" s="22"/>
      <c r="C22" s="22"/>
      <c r="D22" s="22"/>
      <c r="E22" s="22"/>
      <c r="F22" s="22"/>
      <c r="G22" s="22"/>
      <c r="H22" s="22"/>
      <c r="I22" s="388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</row>
    <row r="23" spans="1:22" x14ac:dyDescent="0.25">
      <c r="A23" s="19">
        <v>18</v>
      </c>
      <c r="B23" s="22"/>
      <c r="C23" s="22"/>
      <c r="D23" s="22"/>
      <c r="E23" s="22"/>
      <c r="F23" s="22"/>
      <c r="G23" s="22"/>
      <c r="H23" s="22"/>
      <c r="I23" s="388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</row>
    <row r="24" spans="1:22" x14ac:dyDescent="0.25">
      <c r="A24" s="19">
        <v>19</v>
      </c>
      <c r="B24" s="22"/>
      <c r="C24" s="22"/>
      <c r="D24" s="22"/>
      <c r="E24" s="22"/>
      <c r="F24" s="22"/>
      <c r="G24" s="22"/>
      <c r="H24" s="22"/>
      <c r="I24" s="388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</row>
    <row r="25" spans="1:22" x14ac:dyDescent="0.25">
      <c r="A25" s="19">
        <v>20</v>
      </c>
      <c r="B25" s="22"/>
      <c r="C25" s="22"/>
      <c r="D25" s="22"/>
      <c r="E25" s="22"/>
      <c r="F25" s="22"/>
      <c r="G25" s="22"/>
      <c r="H25" s="22"/>
      <c r="I25" s="388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</row>
    <row r="27" spans="1:22" x14ac:dyDescent="0.25">
      <c r="F27" s="387" t="s">
        <v>722</v>
      </c>
      <c r="G27" s="387" t="s">
        <v>719</v>
      </c>
      <c r="H27" s="387" t="s">
        <v>720</v>
      </c>
      <c r="I27" s="387" t="s">
        <v>721</v>
      </c>
      <c r="J27" s="387" t="s">
        <v>723</v>
      </c>
      <c r="K27" s="387" t="s">
        <v>724</v>
      </c>
    </row>
    <row r="28" spans="1:22" x14ac:dyDescent="0.25">
      <c r="F28" s="22" t="s">
        <v>308</v>
      </c>
      <c r="G28" s="19">
        <f>COUNTIF($J$6:$J$25,F28)</f>
        <v>0</v>
      </c>
      <c r="H28" s="390">
        <f>SUMIF($J$6:$J$25, F28, $I$6:$I$25)</f>
        <v>0</v>
      </c>
      <c r="I28" s="390">
        <f>H28*5%</f>
        <v>0</v>
      </c>
      <c r="J28" s="22"/>
      <c r="K28" s="388">
        <f>I28-J28</f>
        <v>0</v>
      </c>
    </row>
    <row r="29" spans="1:22" x14ac:dyDescent="0.25">
      <c r="F29" s="22" t="s">
        <v>345</v>
      </c>
      <c r="G29" s="19">
        <f>COUNTIF($J$6:$J$25,F29)</f>
        <v>0</v>
      </c>
      <c r="H29" s="390">
        <f>SUMIF($J$6:$J$25, F29, $I$6:$I$25)</f>
        <v>0</v>
      </c>
      <c r="I29" s="390">
        <f>H29*5%</f>
        <v>0</v>
      </c>
      <c r="J29" s="22"/>
      <c r="K29" s="388">
        <f t="shared" ref="K29:K32" si="0">I29-J29</f>
        <v>0</v>
      </c>
    </row>
    <row r="30" spans="1:22" x14ac:dyDescent="0.25">
      <c r="F30" s="22" t="s">
        <v>331</v>
      </c>
      <c r="G30" s="19">
        <f>COUNTIF($J$6:$J$25,F30)</f>
        <v>0</v>
      </c>
      <c r="H30" s="390">
        <f>SUMIF($J$6:$J$25, F30, $I$6:$I$25)</f>
        <v>0</v>
      </c>
      <c r="I30" s="390">
        <f>H30*5%</f>
        <v>0</v>
      </c>
      <c r="J30" s="22"/>
      <c r="K30" s="388">
        <f t="shared" si="0"/>
        <v>0</v>
      </c>
    </row>
    <row r="31" spans="1:22" x14ac:dyDescent="0.25">
      <c r="F31" s="22" t="s">
        <v>717</v>
      </c>
      <c r="G31" s="19">
        <f>COUNTIF($J$6:$J$25,F31)</f>
        <v>0</v>
      </c>
      <c r="H31" s="390">
        <f>SUMIF($J$6:$J$25, F31, $I$6:$I$25)</f>
        <v>0</v>
      </c>
      <c r="I31" s="390">
        <f>H31*5%</f>
        <v>0</v>
      </c>
      <c r="J31" s="22"/>
      <c r="K31" s="388">
        <f>I31-J31</f>
        <v>0</v>
      </c>
    </row>
    <row r="32" spans="1:22" x14ac:dyDescent="0.25">
      <c r="F32" s="389" t="s">
        <v>718</v>
      </c>
      <c r="G32" s="19">
        <f>COUNTIF($J$6:$J$25,F32)</f>
        <v>0</v>
      </c>
      <c r="H32" s="390">
        <f>SUMIF($J$6:$J$25, F32, $I$6:$I$25)</f>
        <v>0</v>
      </c>
      <c r="I32" s="390">
        <f>H32*5%</f>
        <v>0</v>
      </c>
      <c r="J32" s="22"/>
      <c r="K32" s="388">
        <f t="shared" si="0"/>
        <v>0</v>
      </c>
    </row>
    <row r="33" spans="6:11" x14ac:dyDescent="0.25">
      <c r="F33" s="22" t="s">
        <v>599</v>
      </c>
      <c r="G33" s="19">
        <f>COUNTIF($J$6:$J$25,F33)</f>
        <v>0</v>
      </c>
      <c r="H33" s="391"/>
      <c r="I33" s="391"/>
      <c r="J33" s="392"/>
      <c r="K33" s="393"/>
    </row>
  </sheetData>
  <mergeCells count="19">
    <mergeCell ref="H4:H5"/>
    <mergeCell ref="D1:D2"/>
    <mergeCell ref="E1:J2"/>
    <mergeCell ref="V4:V5"/>
    <mergeCell ref="A4:A5"/>
    <mergeCell ref="B4:B5"/>
    <mergeCell ref="C4:C5"/>
    <mergeCell ref="D4:D5"/>
    <mergeCell ref="E4:E5"/>
    <mergeCell ref="F4:F5"/>
    <mergeCell ref="G4:G5"/>
    <mergeCell ref="I4:I5"/>
    <mergeCell ref="J4:J5"/>
    <mergeCell ref="K4:N4"/>
    <mergeCell ref="O4:Q4"/>
    <mergeCell ref="R4:R5"/>
    <mergeCell ref="S4:S5"/>
    <mergeCell ref="T4:T5"/>
    <mergeCell ref="U4:U5"/>
  </mergeCells>
  <dataValidations count="1">
    <dataValidation type="list" allowBlank="1" showInputMessage="1" showErrorMessage="1" prompt="Chọn người tư vấn" sqref="J6:J25">
      <formula1>$F$28:$F$33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V33"/>
  <sheetViews>
    <sheetView tabSelected="1" workbookViewId="0">
      <selection activeCell="G8" sqref="G8"/>
    </sheetView>
  </sheetViews>
  <sheetFormatPr defaultRowHeight="15" x14ac:dyDescent="0.25"/>
  <cols>
    <col min="1" max="1" width="4" customWidth="1"/>
    <col min="2" max="2" width="35.140625" bestFit="1" customWidth="1"/>
    <col min="5" max="5" width="7" bestFit="1" customWidth="1"/>
    <col min="6" max="6" width="15" customWidth="1"/>
    <col min="7" max="8" width="13.7109375" customWidth="1"/>
    <col min="9" max="9" width="10.28515625" customWidth="1"/>
    <col min="10" max="10" width="14" customWidth="1"/>
    <col min="11" max="11" width="12" customWidth="1"/>
    <col min="12" max="12" width="13.7109375" customWidth="1"/>
    <col min="14" max="15" width="11.7109375" customWidth="1"/>
  </cols>
  <sheetData>
    <row r="1" spans="1:22" ht="14.25" customHeight="1" x14ac:dyDescent="0.25">
      <c r="A1" s="366"/>
      <c r="B1" s="367" t="s">
        <v>726</v>
      </c>
      <c r="C1" s="368"/>
      <c r="D1" s="395" t="s">
        <v>727</v>
      </c>
      <c r="E1" s="396" t="s">
        <v>729</v>
      </c>
      <c r="F1" s="396"/>
      <c r="G1" s="396"/>
      <c r="H1" s="396"/>
      <c r="I1" s="396"/>
      <c r="J1" s="396"/>
      <c r="K1" s="366"/>
      <c r="L1" s="366"/>
      <c r="M1" s="366"/>
      <c r="N1" s="366"/>
      <c r="O1" s="366"/>
      <c r="P1" s="366"/>
      <c r="Q1" s="366"/>
      <c r="R1" s="371"/>
      <c r="S1" s="371"/>
      <c r="T1" s="371"/>
      <c r="U1" s="371"/>
      <c r="V1" s="371"/>
    </row>
    <row r="2" spans="1:22" ht="14.25" customHeight="1" x14ac:dyDescent="0.25">
      <c r="A2" s="366"/>
      <c r="B2" s="367"/>
      <c r="C2" s="368"/>
      <c r="D2" s="395"/>
      <c r="E2" s="396"/>
      <c r="F2" s="396"/>
      <c r="G2" s="396"/>
      <c r="H2" s="396"/>
      <c r="I2" s="396"/>
      <c r="J2" s="396"/>
      <c r="K2" s="366"/>
      <c r="L2" s="366"/>
      <c r="M2" s="366"/>
      <c r="N2" s="366"/>
      <c r="O2" s="366"/>
      <c r="P2" s="366"/>
      <c r="Q2" s="366"/>
      <c r="R2" s="371"/>
      <c r="S2" s="371"/>
      <c r="T2" s="371"/>
      <c r="U2" s="371"/>
      <c r="V2" s="371"/>
    </row>
    <row r="3" spans="1:22" x14ac:dyDescent="0.25">
      <c r="A3" s="366"/>
      <c r="B3" s="367"/>
      <c r="C3" s="368"/>
      <c r="D3" s="369"/>
      <c r="E3" s="369"/>
      <c r="F3" s="370"/>
      <c r="G3" s="369"/>
      <c r="H3" s="369"/>
      <c r="I3" s="366"/>
      <c r="J3" s="366"/>
      <c r="K3" s="366"/>
      <c r="L3" s="366"/>
      <c r="M3" s="366"/>
      <c r="N3" s="366"/>
      <c r="O3" s="366"/>
      <c r="P3" s="366"/>
      <c r="Q3" s="366"/>
      <c r="R3" s="371"/>
      <c r="S3" s="371"/>
      <c r="T3" s="371"/>
      <c r="U3" s="371"/>
      <c r="V3" s="371"/>
    </row>
    <row r="4" spans="1:22" x14ac:dyDescent="0.25">
      <c r="A4" s="383" t="s">
        <v>6</v>
      </c>
      <c r="B4" s="383" t="s">
        <v>5</v>
      </c>
      <c r="C4" s="385" t="s">
        <v>4</v>
      </c>
      <c r="D4" s="385" t="s">
        <v>3</v>
      </c>
      <c r="E4" s="385" t="s">
        <v>117</v>
      </c>
      <c r="F4" s="385" t="s">
        <v>71</v>
      </c>
      <c r="G4" s="385" t="s">
        <v>106</v>
      </c>
      <c r="H4" s="385" t="s">
        <v>725</v>
      </c>
      <c r="I4" s="383" t="s">
        <v>2</v>
      </c>
      <c r="J4" s="383" t="s">
        <v>173</v>
      </c>
      <c r="K4" s="372" t="s">
        <v>7</v>
      </c>
      <c r="L4" s="372"/>
      <c r="M4" s="372"/>
      <c r="N4" s="372"/>
      <c r="O4" s="373" t="s">
        <v>8</v>
      </c>
      <c r="P4" s="373"/>
      <c r="Q4" s="373"/>
      <c r="R4" s="374" t="s">
        <v>322</v>
      </c>
      <c r="S4" s="374" t="s">
        <v>323</v>
      </c>
      <c r="T4" s="375" t="s">
        <v>11</v>
      </c>
      <c r="U4" s="375" t="s">
        <v>12</v>
      </c>
      <c r="V4" s="374" t="s">
        <v>324</v>
      </c>
    </row>
    <row r="5" spans="1:22" x14ac:dyDescent="0.25">
      <c r="A5" s="384"/>
      <c r="B5" s="384"/>
      <c r="C5" s="386"/>
      <c r="D5" s="386"/>
      <c r="E5" s="386"/>
      <c r="F5" s="386"/>
      <c r="G5" s="386"/>
      <c r="H5" s="386"/>
      <c r="I5" s="384"/>
      <c r="J5" s="384"/>
      <c r="K5" s="376" t="s">
        <v>14</v>
      </c>
      <c r="L5" s="377" t="s">
        <v>15</v>
      </c>
      <c r="M5" s="378" t="s">
        <v>16</v>
      </c>
      <c r="N5" s="379" t="s">
        <v>17</v>
      </c>
      <c r="O5" s="380" t="s">
        <v>18</v>
      </c>
      <c r="P5" s="381" t="s">
        <v>19</v>
      </c>
      <c r="Q5" s="382" t="s">
        <v>20</v>
      </c>
      <c r="R5" s="375"/>
      <c r="S5" s="375"/>
      <c r="T5" s="375"/>
      <c r="U5" s="375"/>
      <c r="V5" s="375"/>
    </row>
    <row r="6" spans="1:22" x14ac:dyDescent="0.25">
      <c r="A6" s="19">
        <v>1</v>
      </c>
      <c r="B6" s="22"/>
      <c r="C6" s="22"/>
      <c r="D6" s="22"/>
      <c r="E6" s="22"/>
      <c r="F6" s="22"/>
      <c r="G6" s="22"/>
      <c r="H6" s="394"/>
      <c r="I6" s="388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</row>
    <row r="7" spans="1:22" x14ac:dyDescent="0.25">
      <c r="A7" s="19">
        <v>2</v>
      </c>
      <c r="B7" s="22"/>
      <c r="C7" s="22"/>
      <c r="D7" s="22"/>
      <c r="E7" s="22"/>
      <c r="F7" s="22"/>
      <c r="G7" s="22"/>
      <c r="H7" s="394"/>
      <c r="I7" s="388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</row>
    <row r="8" spans="1:22" x14ac:dyDescent="0.25">
      <c r="A8" s="19">
        <v>3</v>
      </c>
      <c r="B8" s="22"/>
      <c r="C8" s="22"/>
      <c r="D8" s="22"/>
      <c r="E8" s="22"/>
      <c r="F8" s="22"/>
      <c r="G8" s="22"/>
      <c r="H8" s="394"/>
      <c r="I8" s="388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</row>
    <row r="9" spans="1:22" x14ac:dyDescent="0.25">
      <c r="A9" s="19">
        <v>4</v>
      </c>
      <c r="B9" s="22"/>
      <c r="C9" s="22"/>
      <c r="D9" s="22"/>
      <c r="E9" s="22"/>
      <c r="F9" s="22"/>
      <c r="G9" s="22"/>
      <c r="H9" s="394"/>
      <c r="I9" s="388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</row>
    <row r="10" spans="1:22" x14ac:dyDescent="0.25">
      <c r="A10" s="19">
        <v>5</v>
      </c>
      <c r="B10" s="22"/>
      <c r="C10" s="22"/>
      <c r="D10" s="22"/>
      <c r="E10" s="22"/>
      <c r="F10" s="22"/>
      <c r="G10" s="22"/>
      <c r="H10" s="394"/>
      <c r="I10" s="388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</row>
    <row r="11" spans="1:22" x14ac:dyDescent="0.25">
      <c r="A11" s="19">
        <v>6</v>
      </c>
      <c r="B11" s="22"/>
      <c r="C11" s="22"/>
      <c r="D11" s="22"/>
      <c r="E11" s="22"/>
      <c r="F11" s="22"/>
      <c r="G11" s="22"/>
      <c r="H11" s="394"/>
      <c r="I11" s="388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</row>
    <row r="12" spans="1:22" x14ac:dyDescent="0.25">
      <c r="A12" s="19">
        <v>7</v>
      </c>
      <c r="B12" s="22"/>
      <c r="C12" s="22"/>
      <c r="D12" s="22"/>
      <c r="E12" s="22"/>
      <c r="F12" s="22"/>
      <c r="G12" s="22"/>
      <c r="H12" s="394"/>
      <c r="I12" s="388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</row>
    <row r="13" spans="1:22" x14ac:dyDescent="0.25">
      <c r="A13" s="19">
        <v>8</v>
      </c>
      <c r="B13" s="22"/>
      <c r="C13" s="22"/>
      <c r="D13" s="22"/>
      <c r="E13" s="22"/>
      <c r="F13" s="22"/>
      <c r="G13" s="22"/>
      <c r="H13" s="394"/>
      <c r="I13" s="388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</row>
    <row r="14" spans="1:22" x14ac:dyDescent="0.25">
      <c r="A14" s="19">
        <v>9</v>
      </c>
      <c r="B14" s="22"/>
      <c r="C14" s="22"/>
      <c r="D14" s="22"/>
      <c r="E14" s="22"/>
      <c r="F14" s="22"/>
      <c r="G14" s="22"/>
      <c r="H14" s="22"/>
      <c r="I14" s="388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</row>
    <row r="15" spans="1:22" x14ac:dyDescent="0.25">
      <c r="A15" s="19">
        <v>10</v>
      </c>
      <c r="B15" s="22"/>
      <c r="C15" s="22"/>
      <c r="D15" s="22"/>
      <c r="E15" s="22"/>
      <c r="F15" s="22"/>
      <c r="G15" s="22"/>
      <c r="H15" s="22"/>
      <c r="I15" s="388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</row>
    <row r="16" spans="1:22" x14ac:dyDescent="0.25">
      <c r="A16" s="19">
        <v>11</v>
      </c>
      <c r="B16" s="22"/>
      <c r="C16" s="22"/>
      <c r="D16" s="22"/>
      <c r="E16" s="22"/>
      <c r="F16" s="22"/>
      <c r="G16" s="22"/>
      <c r="H16" s="22"/>
      <c r="I16" s="388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</row>
    <row r="17" spans="1:22" x14ac:dyDescent="0.25">
      <c r="A17" s="19">
        <v>12</v>
      </c>
      <c r="B17" s="22"/>
      <c r="C17" s="22"/>
      <c r="D17" s="22"/>
      <c r="E17" s="22"/>
      <c r="F17" s="22"/>
      <c r="G17" s="22"/>
      <c r="H17" s="22"/>
      <c r="I17" s="388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</row>
    <row r="18" spans="1:22" x14ac:dyDescent="0.25">
      <c r="A18" s="19">
        <v>13</v>
      </c>
      <c r="B18" s="22"/>
      <c r="C18" s="22"/>
      <c r="D18" s="22"/>
      <c r="E18" s="22"/>
      <c r="F18" s="22"/>
      <c r="G18" s="22"/>
      <c r="H18" s="22"/>
      <c r="I18" s="388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</row>
    <row r="19" spans="1:22" x14ac:dyDescent="0.25">
      <c r="A19" s="19">
        <v>14</v>
      </c>
      <c r="B19" s="22"/>
      <c r="C19" s="22"/>
      <c r="D19" s="22"/>
      <c r="E19" s="22"/>
      <c r="F19" s="22"/>
      <c r="G19" s="22"/>
      <c r="H19" s="22"/>
      <c r="I19" s="388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</row>
    <row r="20" spans="1:22" x14ac:dyDescent="0.25">
      <c r="A20" s="19">
        <v>15</v>
      </c>
      <c r="B20" s="22"/>
      <c r="C20" s="22"/>
      <c r="D20" s="22"/>
      <c r="E20" s="22"/>
      <c r="F20" s="22"/>
      <c r="G20" s="22"/>
      <c r="H20" s="22"/>
      <c r="I20" s="388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</row>
    <row r="21" spans="1:22" x14ac:dyDescent="0.25">
      <c r="A21" s="19">
        <v>16</v>
      </c>
      <c r="B21" s="22"/>
      <c r="C21" s="22"/>
      <c r="D21" s="22"/>
      <c r="E21" s="22"/>
      <c r="F21" s="22"/>
      <c r="G21" s="22"/>
      <c r="H21" s="22"/>
      <c r="I21" s="388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</row>
    <row r="22" spans="1:22" x14ac:dyDescent="0.25">
      <c r="A22" s="19">
        <v>17</v>
      </c>
      <c r="B22" s="22"/>
      <c r="C22" s="22"/>
      <c r="D22" s="22"/>
      <c r="E22" s="22"/>
      <c r="F22" s="22"/>
      <c r="G22" s="22"/>
      <c r="H22" s="22"/>
      <c r="I22" s="388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</row>
    <row r="23" spans="1:22" x14ac:dyDescent="0.25">
      <c r="A23" s="19">
        <v>18</v>
      </c>
      <c r="B23" s="22"/>
      <c r="C23" s="22"/>
      <c r="D23" s="22"/>
      <c r="E23" s="22"/>
      <c r="F23" s="22"/>
      <c r="G23" s="22"/>
      <c r="H23" s="22"/>
      <c r="I23" s="388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</row>
    <row r="24" spans="1:22" x14ac:dyDescent="0.25">
      <c r="A24" s="19">
        <v>19</v>
      </c>
      <c r="B24" s="22"/>
      <c r="C24" s="22"/>
      <c r="D24" s="22"/>
      <c r="E24" s="22"/>
      <c r="F24" s="22"/>
      <c r="G24" s="22"/>
      <c r="H24" s="22"/>
      <c r="I24" s="388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</row>
    <row r="25" spans="1:22" x14ac:dyDescent="0.25">
      <c r="A25" s="19">
        <v>20</v>
      </c>
      <c r="B25" s="22"/>
      <c r="C25" s="22"/>
      <c r="D25" s="22"/>
      <c r="E25" s="22"/>
      <c r="F25" s="22"/>
      <c r="G25" s="22"/>
      <c r="H25" s="22"/>
      <c r="I25" s="388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</row>
    <row r="27" spans="1:22" x14ac:dyDescent="0.25">
      <c r="F27" s="387" t="s">
        <v>722</v>
      </c>
      <c r="G27" s="387" t="s">
        <v>719</v>
      </c>
      <c r="H27" s="387" t="s">
        <v>720</v>
      </c>
      <c r="I27" s="387" t="s">
        <v>721</v>
      </c>
      <c r="J27" s="387" t="s">
        <v>723</v>
      </c>
      <c r="K27" s="387" t="s">
        <v>724</v>
      </c>
    </row>
    <row r="28" spans="1:22" x14ac:dyDescent="0.25">
      <c r="F28" s="22" t="s">
        <v>308</v>
      </c>
      <c r="G28" s="19">
        <f>COUNTIF($J$6:$J$25,F28)</f>
        <v>0</v>
      </c>
      <c r="H28" s="390">
        <f>SUMIF($J$6:$J$25, F28, $I$6:$I$25)</f>
        <v>0</v>
      </c>
      <c r="I28" s="390">
        <f>H28*5%</f>
        <v>0</v>
      </c>
      <c r="J28" s="22"/>
      <c r="K28" s="388">
        <f>I28-J28</f>
        <v>0</v>
      </c>
    </row>
    <row r="29" spans="1:22" x14ac:dyDescent="0.25">
      <c r="F29" s="22" t="s">
        <v>345</v>
      </c>
      <c r="G29" s="19">
        <f>COUNTIF($J$6:$J$25,F29)</f>
        <v>0</v>
      </c>
      <c r="H29" s="390">
        <f>SUMIF($J$6:$J$25, F29, $I$6:$I$25)</f>
        <v>0</v>
      </c>
      <c r="I29" s="390">
        <f>H29*5%</f>
        <v>0</v>
      </c>
      <c r="J29" s="22"/>
      <c r="K29" s="388">
        <f t="shared" ref="K29:K32" si="0">I29-J29</f>
        <v>0</v>
      </c>
    </row>
    <row r="30" spans="1:22" x14ac:dyDescent="0.25">
      <c r="F30" s="22" t="s">
        <v>331</v>
      </c>
      <c r="G30" s="19">
        <f>COUNTIF($J$6:$J$25,F30)</f>
        <v>0</v>
      </c>
      <c r="H30" s="390">
        <f>SUMIF($J$6:$J$25, F30, $I$6:$I$25)</f>
        <v>0</v>
      </c>
      <c r="I30" s="390">
        <f>H30*5%</f>
        <v>0</v>
      </c>
      <c r="J30" s="22"/>
      <c r="K30" s="388">
        <f t="shared" si="0"/>
        <v>0</v>
      </c>
    </row>
    <row r="31" spans="1:22" x14ac:dyDescent="0.25">
      <c r="F31" s="22" t="s">
        <v>717</v>
      </c>
      <c r="G31" s="19">
        <f>COUNTIF($J$6:$J$25,F31)</f>
        <v>0</v>
      </c>
      <c r="H31" s="390">
        <f>SUMIF($J$6:$J$25, F31, $I$6:$I$25)</f>
        <v>0</v>
      </c>
      <c r="I31" s="390">
        <f>H31*5%</f>
        <v>0</v>
      </c>
      <c r="J31" s="22"/>
      <c r="K31" s="388">
        <f>I31-J31</f>
        <v>0</v>
      </c>
    </row>
    <row r="32" spans="1:22" x14ac:dyDescent="0.25">
      <c r="F32" s="389" t="s">
        <v>718</v>
      </c>
      <c r="G32" s="19">
        <f>COUNTIF($J$6:$J$25,F32)</f>
        <v>0</v>
      </c>
      <c r="H32" s="390">
        <f>SUMIF($J$6:$J$25, F32, $I$6:$I$25)</f>
        <v>0</v>
      </c>
      <c r="I32" s="390">
        <f>H32*5%</f>
        <v>0</v>
      </c>
      <c r="J32" s="22"/>
      <c r="K32" s="388">
        <f t="shared" si="0"/>
        <v>0</v>
      </c>
    </row>
    <row r="33" spans="6:11" x14ac:dyDescent="0.25">
      <c r="F33" s="22" t="s">
        <v>599</v>
      </c>
      <c r="G33" s="19">
        <f>COUNTIF($J$6:$J$25,F33)</f>
        <v>0</v>
      </c>
      <c r="H33" s="391"/>
      <c r="I33" s="391"/>
      <c r="J33" s="392"/>
      <c r="K33" s="393"/>
    </row>
  </sheetData>
  <mergeCells count="19">
    <mergeCell ref="D1:D2"/>
    <mergeCell ref="E1:J2"/>
    <mergeCell ref="R4:R5"/>
    <mergeCell ref="S4:S5"/>
    <mergeCell ref="T4:T5"/>
    <mergeCell ref="U4:U5"/>
    <mergeCell ref="V4:V5"/>
    <mergeCell ref="G4:G5"/>
    <mergeCell ref="H4:H5"/>
    <mergeCell ref="I4:I5"/>
    <mergeCell ref="J4:J5"/>
    <mergeCell ref="K4:N4"/>
    <mergeCell ref="O4:Q4"/>
    <mergeCell ref="A4:A5"/>
    <mergeCell ref="B4:B5"/>
    <mergeCell ref="C4:C5"/>
    <mergeCell ref="D4:D5"/>
    <mergeCell ref="E4:E5"/>
    <mergeCell ref="F4:F5"/>
  </mergeCells>
  <dataValidations count="1">
    <dataValidation type="list" allowBlank="1" showInputMessage="1" showErrorMessage="1" prompt="Chọn người tư vấn" sqref="J6:J25">
      <formula1>$F$28:$F$33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AK10-Vang+Btap</vt:lpstr>
      <vt:lpstr>TOEIC BK8</vt:lpstr>
      <vt:lpstr>TOEIC AK11</vt:lpstr>
      <vt:lpstr>TOEIC BK9</vt:lpstr>
      <vt:lpstr>AK12</vt:lpstr>
      <vt:lpstr>B10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2018-08-20T15:16:20Z</dcterms:modified>
</cp:coreProperties>
</file>