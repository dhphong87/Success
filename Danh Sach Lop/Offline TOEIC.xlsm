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6" activeTab="2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  <sheet name="AK12" sheetId="38" r:id="rId22"/>
    <sheet name="B10" sheetId="39" r:id="rId2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G33" i="39" l="1"/>
  <c r="H32" i="39"/>
  <c r="I32" i="39" s="1"/>
  <c r="K32" i="39" s="1"/>
  <c r="G32" i="39"/>
  <c r="H31" i="39"/>
  <c r="I31" i="39" s="1"/>
  <c r="K31" i="39" s="1"/>
  <c r="G31" i="39"/>
  <c r="H30" i="39"/>
  <c r="I30" i="39" s="1"/>
  <c r="K30" i="39" s="1"/>
  <c r="G30" i="39"/>
  <c r="H29" i="39"/>
  <c r="I29" i="39" s="1"/>
  <c r="K29" i="39" s="1"/>
  <c r="G29" i="39"/>
  <c r="H28" i="39"/>
  <c r="I28" i="39" s="1"/>
  <c r="K28" i="39" s="1"/>
  <c r="G28" i="39"/>
  <c r="G28" i="38"/>
  <c r="G29" i="38"/>
  <c r="G30" i="38"/>
  <c r="G31" i="38"/>
  <c r="G32" i="38"/>
  <c r="G33" i="38"/>
  <c r="H32" i="38"/>
  <c r="I32" i="38" s="1"/>
  <c r="K32" i="38" s="1"/>
  <c r="H29" i="38"/>
  <c r="I29" i="38" s="1"/>
  <c r="K29" i="38" s="1"/>
  <c r="H30" i="38"/>
  <c r="I30" i="38" s="1"/>
  <c r="K30" i="38" s="1"/>
  <c r="H31" i="38"/>
  <c r="I31" i="38" s="1"/>
  <c r="K31" i="38" s="1"/>
  <c r="H28" i="38"/>
  <c r="I28" i="38" s="1"/>
  <c r="K28" i="38" s="1"/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comments1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sharedStrings.xml><?xml version="1.0" encoding="utf-8"?>
<sst xmlns="http://schemas.openxmlformats.org/spreadsheetml/2006/main" count="2869" uniqueCount="739">
  <si>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</si>
  <si>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</si>
  <si>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</si>
  <si>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</si>
  <si>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</si>
  <si>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</si>
  <si>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</si>
  <si>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</si>
  <si>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</si>
  <si>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</si>
  <si>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</si>
  <si>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</si>
  <si>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</si>
  <si>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</si>
  <si>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</si>
  <si>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</si>
  <si>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</si>
  <si>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</si>
  <si>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</si>
  <si>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</si>
  <si>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</si>
  <si>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</si>
  <si>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</si>
  <si>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</si>
  <si>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</si>
  <si>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</si>
  <si>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</si>
  <si>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</si>
  <si>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</si>
  <si>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</si>
  <si>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</si>
  <si>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</si>
  <si>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</si>
  <si>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</si>
  <si>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</si>
  <si>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</si>
  <si>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</si>
  <si>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</si>
  <si>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</si>
  <si>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</si>
  <si>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</si>
  <si>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</si>
  <si>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</si>
  <si>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</si>
  <si>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</si>
  <si>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</si>
  <si>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</si>
  <si>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</si>
  <si>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</si>
  <si>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</si>
  <si>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</si>
  <si>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</si>
  <si>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</si>
  <si>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</si>
  <si>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</si>
  <si>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</si>
  <si>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</si>
  <si>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</si>
  <si>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</si>
  <si>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</si>
  <si>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</si>
  <si>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</si>
  <si>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</si>
  <si>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</si>
  <si>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</si>
  <si>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</si>
  <si>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</si>
  <si>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</si>
  <si>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</si>
  <si>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</si>
  <si>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</si>
  <si>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</si>
  <si>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</si>
  <si>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</si>
  <si>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</si>
  <si>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</si>
  <si>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</si>
  <si>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</si>
  <si>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</si>
  <si>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</si>
  <si>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</si>
  <si>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</si>
  <si>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</si>
  <si>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</si>
  <si>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</si>
  <si>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</si>
  <si>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</si>
  <si>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</si>
  <si>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</si>
  <si>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</si>
  <si>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</si>
  <si>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</si>
  <si>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</si>
  <si>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</si>
  <si>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</si>
  <si>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</si>
  <si>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</si>
  <si>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</si>
  <si>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</si>
  <si>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</si>
  <si>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</si>
  <si>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</si>
  <si>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</si>
  <si>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</si>
  <si>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</si>
  <si>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</si>
  <si>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</si>
  <si>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</si>
  <si>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</si>
  <si>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</si>
  <si>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</si>
  <si>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</si>
  <si>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</si>
  <si>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</si>
  <si>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</si>
  <si>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</si>
  <si>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</si>
  <si>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</si>
  <si>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</si>
  <si>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</si>
  <si>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</si>
  <si>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</si>
  <si>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</si>
  <si>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</si>
  <si>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</si>
  <si>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</si>
  <si>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</si>
  <si>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</si>
  <si>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</si>
  <si>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</si>
  <si>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</si>
  <si>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</si>
  <si>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</si>
  <si>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</si>
  <si>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</si>
  <si>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</si>
  <si>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</si>
  <si>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</si>
  <si>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</si>
  <si>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</si>
  <si>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</si>
  <si>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</si>
  <si>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</si>
  <si>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</si>
  <si>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</si>
  <si>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</si>
  <si>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</si>
  <si>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</si>
  <si>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</si>
  <si>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</si>
  <si>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</si>
  <si>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</si>
  <si>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</si>
  <si>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</si>
  <si>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</si>
  <si>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</si>
  <si>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</si>
  <si>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</si>
  <si>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</si>
  <si>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</si>
  <si>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</si>
  <si>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</si>
  <si>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</si>
  <si>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</si>
  <si>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</si>
  <si>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</si>
  <si>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</si>
  <si>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</si>
  <si>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</si>
  <si>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</si>
  <si>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</si>
  <si>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</si>
  <si>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</si>
  <si>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</si>
  <si>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</si>
  <si>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</si>
  <si>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</si>
  <si>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</si>
  <si>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</si>
  <si>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</si>
  <si>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</si>
  <si>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</si>
  <si>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</si>
  <si>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</si>
  <si>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</si>
  <si>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</si>
  <si>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</si>
  <si>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</si>
  <si>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</si>
  <si>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</si>
  <si>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</si>
  <si>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</si>
  <si>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</si>
  <si>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</si>
  <si>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</si>
  <si>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</si>
  <si>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</si>
  <si>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</si>
  <si>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</si>
  <si>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</si>
  <si>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</si>
  <si>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</si>
  <si>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</si>
  <si>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</si>
  <si>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</si>
  <si>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</si>
  <si>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</si>
  <si>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</si>
  <si>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</si>
  <si>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</si>
  <si>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</si>
  <si>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</si>
  <si>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</si>
  <si>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</si>
  <si>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</si>
  <si>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</si>
  <si>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</si>
  <si>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</si>
  <si>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</si>
  <si>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</si>
  <si>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</si>
  <si>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</si>
  <si>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</si>
  <si>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</si>
  <si>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</si>
  <si>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</si>
  <si>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</si>
  <si>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</si>
  <si>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</si>
  <si>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</si>
  <si>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</si>
  <si>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</si>
  <si>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</si>
  <si>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</si>
  <si>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</si>
  <si>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</si>
  <si>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</si>
  <si>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</si>
  <si>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</si>
  <si>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</si>
  <si>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</si>
  <si>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</si>
  <si>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</si>
  <si>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</si>
  <si>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</si>
  <si>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</si>
  <si>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</si>
  <si>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</si>
  <si>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</si>
  <si>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</si>
  <si>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</si>
  <si>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</si>
  <si>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</si>
  <si>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</si>
  <si>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</si>
  <si>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</si>
  <si>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</si>
  <si>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</si>
  <si>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</si>
  <si>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</si>
  <si>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</si>
  <si>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</si>
  <si>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</si>
  <si>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</si>
  <si>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</si>
  <si>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</si>
  <si>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</si>
  <si>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</si>
  <si>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</si>
  <si>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</si>
  <si>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</si>
  <si>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</si>
  <si>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</si>
  <si>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</si>
  <si>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</si>
  <si>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</si>
  <si>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</si>
  <si>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</si>
  <si>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</si>
  <si>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</si>
  <si>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</si>
  <si>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</si>
  <si>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</si>
  <si>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</si>
  <si>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</si>
  <si>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</si>
  <si>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</si>
  <si>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</si>
  <si>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</si>
  <si>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</si>
  <si>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</si>
  <si>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</si>
  <si>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</si>
  <si>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</si>
  <si>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</si>
  <si>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</si>
  <si>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</si>
  <si>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</si>
  <si>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</si>
  <si>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</si>
  <si>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</si>
  <si>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</si>
  <si>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</si>
  <si>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</si>
  <si>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</si>
  <si>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</si>
  <si>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</si>
  <si>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</si>
  <si>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</si>
  <si>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</si>
  <si>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</si>
  <si>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</si>
  <si>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</si>
  <si>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</si>
  <si>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</si>
  <si>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</si>
  <si>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</si>
  <si>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</si>
  <si>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</si>
  <si>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</si>
  <si>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</si>
  <si>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</si>
  <si>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</si>
  <si>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</si>
  <si>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</si>
  <si>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</si>
  <si>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</si>
  <si>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</si>
  <si>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</si>
  <si>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</si>
  <si>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</si>
  <si>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</si>
  <si>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</si>
  <si>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</si>
  <si>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</si>
  <si>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</si>
  <si>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</si>
  <si>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</si>
  <si>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</si>
  <si>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</si>
  <si>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</si>
  <si>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</si>
  <si>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</si>
  <si>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</si>
  <si>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</si>
  <si>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</si>
  <si>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</si>
  <si>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</si>
  <si>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</si>
  <si>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</si>
  <si>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</si>
  <si>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</si>
  <si>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</si>
  <si>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</si>
  <si>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</si>
  <si>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</si>
  <si>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</si>
  <si>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</si>
  <si>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</si>
  <si>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</si>
  <si>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</si>
  <si>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</si>
  <si>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</si>
  <si>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</si>
  <si>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</si>
  <si>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</si>
  <si>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</si>
  <si>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</si>
  <si>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</si>
  <si>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</si>
  <si>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</si>
  <si>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</si>
  <si>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</si>
  <si>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</si>
  <si>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</si>
  <si>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</si>
  <si>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</si>
  <si>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</si>
  <si>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</si>
  <si>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</si>
  <si>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</si>
  <si>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</si>
  <si>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</si>
  <si>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</si>
  <si>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</si>
  <si>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</si>
  <si>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</si>
  <si>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</si>
  <si>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</si>
  <si>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</si>
  <si>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</si>
  <si>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</si>
  <si>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</si>
  <si>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</si>
  <si>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</si>
  <si>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</si>
  <si>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</si>
  <si>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</si>
  <si>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</si>
  <si>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</si>
  <si>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</si>
  <si>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</si>
  <si>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</si>
  <si>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</si>
  <si>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</si>
  <si>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</si>
  <si>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</si>
  <si>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</si>
  <si>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</si>
  <si>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</si>
  <si>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</si>
  <si>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</si>
  <si>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</si>
  <si>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</si>
  <si>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</si>
  <si>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</si>
  <si>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</si>
  <si>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</si>
  <si>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</si>
  <si>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</si>
  <si>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</si>
  <si>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</si>
  <si>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</si>
  <si>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</si>
  <si>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</si>
  <si>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</si>
  <si>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</si>
  <si>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</si>
  <si>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</si>
  <si>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</si>
  <si>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</si>
  <si>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</si>
  <si>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</si>
  <si>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</si>
  <si>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</si>
  <si>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</si>
  <si>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</si>
  <si>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</si>
  <si>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</si>
  <si>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</si>
  <si>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</si>
  <si>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</si>
  <si>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</si>
  <si>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</si>
  <si>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</si>
  <si>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</si>
  <si>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</si>
  <si>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</si>
  <si>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</si>
  <si>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</si>
  <si>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</si>
  <si>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</si>
  <si>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</si>
  <si>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</si>
  <si>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</si>
  <si>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</si>
  <si>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</si>
  <si>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</si>
  <si>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</si>
  <si>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</si>
  <si>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</si>
  <si>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</si>
  <si>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</si>
  <si>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</si>
  <si>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</si>
  <si>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</si>
  <si>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</si>
  <si>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</si>
  <si>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</si>
  <si>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</si>
  <si>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</si>
  <si>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</si>
  <si>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</si>
  <si>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</si>
  <si>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</si>
  <si>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</si>
  <si>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</si>
  <si>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</si>
  <si>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</si>
  <si>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</si>
  <si>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</si>
  <si>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</si>
  <si>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</si>
  <si>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</si>
  <si>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</si>
  <si>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</si>
  <si>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</si>
  <si>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</si>
  <si>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</si>
  <si>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</si>
  <si>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</si>
  <si>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</si>
  <si>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</si>
  <si>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</si>
  <si>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</si>
  <si>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</si>
  <si>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</si>
  <si>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</si>
  <si>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</si>
  <si>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</si>
  <si>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</si>
  <si>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</si>
  <si>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</si>
  <si>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</si>
  <si>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</si>
  <si>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</si>
  <si>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</si>
  <si>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</si>
  <si>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</si>
  <si>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</si>
  <si>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</si>
  <si>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</si>
  <si>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</si>
  <si>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</si>
  <si>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</si>
  <si>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</si>
  <si>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</si>
  <si>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</si>
  <si>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</si>
  <si>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</si>
  <si>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</si>
  <si>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</si>
  <si>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</si>
  <si>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</si>
  <si>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</si>
  <si>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</si>
  <si>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</si>
  <si>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</si>
  <si>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</si>
  <si>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</si>
  <si>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</si>
  <si>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</si>
  <si>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</si>
  <si>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</si>
  <si>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</si>
  <si>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</si>
  <si>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</si>
  <si>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</si>
  <si>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</si>
  <si>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</si>
  <si>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</si>
  <si>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</si>
  <si>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</si>
  <si>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</si>
  <si>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</si>
  <si>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</si>
  <si>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</si>
  <si>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</si>
  <si>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</si>
  <si>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</si>
  <si>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</si>
  <si>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</si>
  <si>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</si>
  <si>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</si>
  <si>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</si>
  <si>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</si>
  <si>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</si>
  <si>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</si>
  <si>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</si>
  <si>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</si>
  <si>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</si>
  <si>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</si>
  <si>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</si>
  <si>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</si>
  <si>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</si>
  <si>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</si>
  <si>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</si>
  <si>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</si>
  <si>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</si>
  <si>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</si>
  <si>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</si>
  <si>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</si>
  <si>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</si>
  <si>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</si>
  <si>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</si>
  <si>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</si>
  <si>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</si>
  <si>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</si>
  <si>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</si>
  <si>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</si>
  <si>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</si>
  <si>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</si>
  <si>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</si>
  <si>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</si>
  <si>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</si>
  <si>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</si>
  <si>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</si>
  <si>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</si>
  <si>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</si>
  <si>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</si>
  <si>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</si>
  <si>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</si>
  <si>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</si>
  <si>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</si>
  <si>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</si>
  <si>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</si>
  <si>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</si>
  <si>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</si>
  <si>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</si>
  <si>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</si>
  <si>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</si>
  <si>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</si>
  <si>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</si>
  <si>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</si>
  <si>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</si>
  <si>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</si>
  <si>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</si>
  <si>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</si>
  <si>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</si>
  <si>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</si>
  <si>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</si>
  <si>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</si>
  <si>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</si>
  <si>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</si>
  <si>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</si>
  <si>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</si>
  <si>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</si>
  <si>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</si>
  <si>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</si>
  <si>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</si>
  <si>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</si>
  <si>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</si>
  <si>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</si>
  <si>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</si>
  <si>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</si>
  <si>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</si>
  <si>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</si>
  <si>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</si>
  <si>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</si>
  <si>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</si>
  <si>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</si>
  <si>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</si>
  <si>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</si>
  <si>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</si>
  <si>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</si>
  <si>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</si>
  <si>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</si>
  <si>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</si>
  <si>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</si>
  <si>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</si>
  <si>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</si>
  <si>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</si>
  <si>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</si>
  <si>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</si>
  <si>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</si>
  <si>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</si>
  <si>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</si>
  <si>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</si>
  <si>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</si>
  <si>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</si>
  <si>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</si>
  <si>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</si>
  <si>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</si>
  <si>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</si>
  <si>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</si>
  <si>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</si>
  <si>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</si>
  <si>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</si>
  <si>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</si>
  <si>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</si>
  <si>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</si>
  <si>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</si>
  <si>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</si>
  <si>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</si>
  <si>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</si>
  <si>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</si>
  <si>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</si>
  <si>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</si>
  <si>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</si>
  <si>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</si>
  <si>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</si>
  <si>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</si>
  <si>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</si>
  <si>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</si>
  <si>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</si>
  <si>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</si>
  <si>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</si>
  <si>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</si>
  <si>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</si>
  <si>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</si>
  <si>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</si>
  <si>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</si>
  <si>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</si>
  <si>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</si>
  <si>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</si>
  <si>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</si>
  <si>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</si>
  <si>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</si>
  <si>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</si>
  <si>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</si>
  <si>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</si>
  <si>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</si>
  <si>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</si>
  <si>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</si>
  <si>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</si>
  <si>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</si>
  <si>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</si>
  <si>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</si>
  <si>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</si>
  <si>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</si>
  <si>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</si>
  <si>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</si>
  <si>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</si>
  <si>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</si>
  <si>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</si>
  <si>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</si>
  <si>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</si>
  <si>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</si>
  <si>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</si>
  <si>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</si>
  <si>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</si>
  <si>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</si>
  <si>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</si>
  <si>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</si>
  <si>
    <t>0903528152</t>
  </si>
  <si>
    <t>Ngân hàng Agribank</t>
  </si>
  <si>
    <t>Khóa TOEIC A K12 (9/5/2018 - 10/2018)</t>
  </si>
  <si>
    <t>Lập</t>
  </si>
  <si>
    <t>Khác</t>
  </si>
  <si>
    <t>Số Lượng</t>
  </si>
  <si>
    <t>Doanh Thu</t>
  </si>
  <si>
    <t>Bonus</t>
  </si>
  <si>
    <t>Tư Vấn</t>
  </si>
  <si>
    <t>Thanh Toán 1</t>
  </si>
  <si>
    <t>Thanh Toán 2</t>
  </si>
  <si>
    <t>Ngày đăng ký</t>
  </si>
  <si>
    <t>Khóa TOEIC B K10 (9/5/2018 - 10/2018)</t>
  </si>
  <si>
    <t>Lưu ý</t>
  </si>
  <si>
    <r>
      <t xml:space="preserve">Nếu danh sách đăng ký một lớp kéo dài 2 hoặc nhiều tháng, </t>
    </r>
    <r>
      <rPr>
        <b/>
        <sz val="11"/>
        <color theme="0"/>
        <rFont val="Calibri"/>
        <family val="2"/>
        <scheme val="minor"/>
      </rPr>
      <t>chốt bonus vào ngày cuối của tháng</t>
    </r>
    <r>
      <rPr>
        <sz val="11"/>
        <color theme="0"/>
        <rFont val="Calibri"/>
        <family val="2"/>
        <scheme val="minor"/>
      </rPr>
      <t xml:space="preserve"> ở bảng phụ phía dưới danh sách lớp</t>
    </r>
  </si>
  <si>
    <r>
      <t xml:space="preserve">Nếu danh sách đăng ký một lớp kéo dài 2 hoặc nhiều tháng, </t>
    </r>
    <r>
      <rPr>
        <b/>
        <sz val="11"/>
        <color theme="1"/>
        <rFont val="Calibri"/>
        <family val="2"/>
        <scheme val="minor"/>
      </rPr>
      <t>chốt bonus vào ngày cuối của mỗi tháng</t>
    </r>
    <r>
      <rPr>
        <sz val="11"/>
        <color theme="1"/>
        <rFont val="Calibri"/>
        <family val="2"/>
        <scheme val="minor"/>
      </rPr>
      <t xml:space="preserve"> ở bảng phụ phía dưới danh sách lớp</t>
    </r>
  </si>
  <si>
    <t>Hồ Thị Mỹ Linh</t>
  </si>
  <si>
    <t>Võ Thị Minh Thư</t>
  </si>
  <si>
    <t>Trần Hữu Hoài Nguyên</t>
  </si>
  <si>
    <t>Hồ Công Tiến</t>
  </si>
  <si>
    <t>Đào Quang Hàng</t>
  </si>
  <si>
    <t>Phạm Bá Hoàng</t>
  </si>
  <si>
    <t>Tôn Thất Trường Phát</t>
  </si>
  <si>
    <t>Nguyễn Phan Ngọc Anh</t>
  </si>
  <si>
    <t>Hồ Thị Diệu Hòa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</si>
</sst>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10000]mm/dd/yyyy;@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9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 applyAlignment="1"/>
    <xf numFmtId="14" fontId="0" fillId="0" borderId="0" xfId="0" applyNumberFormat="1"/>
    <xf numFmtId="164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4" fontId="13" fillId="0" borderId="1" xfId="0" applyNumberFormat="1" applyFont="1" applyFill="1" applyBorder="1"/>
    <xf numFmtId="164" fontId="0" fillId="0" borderId="0" xfId="0" applyNumberFormat="1" applyAlignment="1"/>
    <xf numFmtId="164" fontId="0" fillId="0" borderId="0" xfId="0" applyNumberFormat="1"/>
    <xf numFmtId="0" fontId="14" fillId="4" borderId="1" xfId="3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4" fontId="14" fillId="4" borderId="1" xfId="3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4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4" fontId="13" fillId="0" borderId="7" xfId="0" applyNumberFormat="1" applyFont="1" applyBorder="1"/>
    <xf numFmtId="0" fontId="13" fillId="0" borderId="7" xfId="0" applyFont="1" applyFill="1" applyBorder="1"/>
    <xf numFmtId="164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4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4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4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4" fontId="13" fillId="0" borderId="16" xfId="0" applyNumberFormat="1" applyFont="1" applyBorder="1"/>
    <xf numFmtId="164" fontId="13" fillId="0" borderId="9" xfId="0" applyNumberFormat="1" applyFont="1" applyBorder="1"/>
    <xf numFmtId="164" fontId="13" fillId="0" borderId="18" xfId="0" applyNumberFormat="1" applyFont="1" applyBorder="1"/>
    <xf numFmtId="164" fontId="13" fillId="0" borderId="17" xfId="0" applyNumberFormat="1" applyFont="1" applyBorder="1" applyAlignment="1">
      <alignment horizontal="right"/>
    </xf>
    <xf numFmtId="164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24" fillId="16" borderId="0" xfId="0" applyFont="1" applyFill="1"/>
    <xf numFmtId="0" fontId="24" fillId="0" borderId="0" xfId="0" applyFont="1" applyFill="1"/>
    <xf numFmtId="0" fontId="24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4" borderId="1" xfId="3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6" fillId="6" borderId="1" xfId="5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0" fontId="0" fillId="9" borderId="1" xfId="8" applyFont="1" applyBorder="1" applyAlignment="1">
      <alignment horizontal="center" vertical="center"/>
    </xf>
    <xf numFmtId="0" fontId="0" fillId="10" borderId="1" xfId="9" applyFont="1" applyBorder="1" applyAlignment="1">
      <alignment horizontal="center" vertical="center"/>
    </xf>
    <xf numFmtId="0" fontId="6" fillId="11" borderId="1" xfId="10" applyFont="1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3" fontId="0" fillId="0" borderId="1" xfId="0" applyNumberFormat="1" applyBorder="1"/>
    <xf numFmtId="0" fontId="0" fillId="0" borderId="20" xfId="0" applyFill="1" applyBorder="1"/>
    <xf numFmtId="3" fontId="0" fillId="0" borderId="1" xfId="0" applyNumberFormat="1" applyBorder="1" applyAlignment="1">
      <alignment horizontal="center"/>
    </xf>
    <xf numFmtId="0" fontId="0" fillId="15" borderId="1" xfId="0" applyFill="1" applyBorder="1" applyAlignment="1">
      <alignment horizontal="center"/>
    </xf>
    <xf numFmtId="3" fontId="0" fillId="15" borderId="1" xfId="0" applyNumberFormat="1" applyFill="1" applyBorder="1"/>
    <xf numFmtId="14" fontId="0" fillId="0" borderId="1" xfId="0" applyNumberFormat="1" applyBorder="1"/>
    <xf numFmtId="49" fontId="23" fillId="0" borderId="0" xfId="0" applyNumberFormat="1" applyFont="1" applyFill="1" applyAlignment="1">
      <alignment horizontal="left" vertical="center"/>
    </xf>
    <xf numFmtId="14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49" fontId="26" fillId="17" borderId="5" xfId="0" applyNumberFormat="1" applyFont="1" applyFill="1" applyBorder="1" applyAlignment="1">
      <alignment horizontal="center" vertical="center"/>
    </xf>
    <xf numFmtId="49" fontId="26" fillId="17" borderId="7" xfId="0" applyNumberFormat="1" applyFont="1" applyFill="1" applyBorder="1" applyAlignment="1">
      <alignment horizontal="center" vertical="center"/>
    </xf>
    <xf numFmtId="49" fontId="6" fillId="14" borderId="0" xfId="0" applyNumberFormat="1" applyFont="1" applyFill="1" applyAlignment="1">
      <alignment horizontal="center" vertical="center"/>
    </xf>
    <xf numFmtId="49" fontId="6" fillId="20" borderId="0" xfId="0" applyNumberFormat="1" applyFont="1" applyFill="1" applyAlignment="1">
      <alignment horizontal="left" vertical="center" wrapText="1"/>
    </xf>
    <xf numFmtId="0" fontId="26" fillId="17" borderId="5" xfId="0" applyFont="1" applyFill="1" applyBorder="1" applyAlignment="1">
      <alignment horizontal="center" vertical="center"/>
    </xf>
    <xf numFmtId="0" fontId="26" fillId="17" borderId="7" xfId="0" applyFont="1" applyFill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6" fillId="7" borderId="1" xfId="6" applyFont="1" applyBorder="1" applyAlignment="1">
      <alignment horizontal="center" vertical="center"/>
    </xf>
    <xf numFmtId="49" fontId="0" fillId="22" borderId="0" xfId="0" applyNumberFormat="1" applyFont="1" applyFill="1" applyAlignment="1">
      <alignment horizontal="left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0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50" t="s">
        <v>165</v>
      </c>
      <c r="B2" s="350"/>
      <c r="C2" s="350"/>
      <c r="D2" s="350"/>
      <c r="E2" s="350"/>
      <c r="F2" s="350"/>
      <c r="G2" s="38"/>
    </row>
    <row r="3" spans="1:8" x14ac:dyDescent="0.25">
      <c r="B3" s="68" t="s">
        <v>166</v>
      </c>
      <c r="C3" s="69">
        <f ca="1">MONTH(TODAY())</f>
        <v>8</v>
      </c>
      <c r="D3" s="79"/>
      <c r="E3" s="66" t="s">
        <v>167</v>
      </c>
      <c r="G3" t="s">
        <v>227</v>
      </c>
      <c r="H3" s="70">
        <f ca="1">TODAY()</f>
        <v>43342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>Chuẩn bị tổ chức</v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52" t="s">
        <v>7</v>
      </c>
      <c r="K2" s="352"/>
      <c r="L2" s="352"/>
      <c r="M2" s="352"/>
      <c r="N2" s="353" t="s">
        <v>8</v>
      </c>
      <c r="O2" s="353"/>
      <c r="P2" s="353"/>
      <c r="Q2" s="354" t="s">
        <v>9</v>
      </c>
      <c r="R2" s="354" t="s">
        <v>10</v>
      </c>
      <c r="S2" s="354" t="s">
        <v>11</v>
      </c>
      <c r="T2" s="354" t="s">
        <v>12</v>
      </c>
      <c r="U2" s="35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54"/>
      <c r="R3" s="354"/>
      <c r="S3" s="354"/>
      <c r="T3" s="354"/>
      <c r="U3" s="35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58" t="s">
        <v>6</v>
      </c>
      <c r="B3" s="358" t="s">
        <v>5</v>
      </c>
      <c r="C3" s="24"/>
      <c r="D3" s="24"/>
      <c r="E3" s="24"/>
      <c r="F3" s="24"/>
      <c r="G3" s="360"/>
      <c r="H3" s="360"/>
      <c r="I3" s="360"/>
      <c r="J3" s="355"/>
      <c r="K3" s="356"/>
      <c r="L3" s="357"/>
      <c r="M3" s="355"/>
      <c r="N3" s="356"/>
      <c r="O3" s="357"/>
      <c r="P3" s="355"/>
      <c r="Q3" s="356"/>
      <c r="R3" s="357"/>
      <c r="S3" s="355"/>
      <c r="T3" s="356"/>
      <c r="U3" s="357"/>
      <c r="V3" s="355"/>
      <c r="W3" s="356"/>
      <c r="X3" s="357"/>
      <c r="Y3" s="355"/>
      <c r="Z3" s="356"/>
      <c r="AA3" s="357"/>
      <c r="AB3" s="355"/>
      <c r="AC3" s="356"/>
      <c r="AD3" s="357"/>
      <c r="AE3" s="355"/>
      <c r="AF3" s="356"/>
      <c r="AG3" s="357"/>
      <c r="AH3" s="355"/>
      <c r="AI3" s="356"/>
      <c r="AJ3" s="357"/>
      <c r="AK3" s="355"/>
      <c r="AL3" s="356"/>
      <c r="AM3" s="357"/>
      <c r="AN3" s="355"/>
      <c r="AO3" s="356"/>
      <c r="AP3" s="357"/>
      <c r="AQ3" s="355"/>
      <c r="AR3" s="356"/>
      <c r="AS3" s="357"/>
      <c r="AT3" s="355"/>
      <c r="AU3" s="356"/>
      <c r="AV3" s="357"/>
      <c r="AW3" s="355"/>
      <c r="AX3" s="356"/>
      <c r="AY3" s="357"/>
      <c r="AZ3" s="355"/>
      <c r="BA3" s="356"/>
      <c r="BB3" s="357"/>
      <c r="BC3" s="362" t="s">
        <v>116</v>
      </c>
      <c r="BD3" s="363"/>
      <c r="BE3" s="364"/>
      <c r="BF3" s="361">
        <v>42930</v>
      </c>
      <c r="BG3" s="356"/>
      <c r="BH3" s="357"/>
      <c r="BI3" s="355" t="s">
        <v>147</v>
      </c>
      <c r="BJ3" s="356"/>
      <c r="BK3" s="357"/>
      <c r="BL3" s="355" t="s">
        <v>148</v>
      </c>
      <c r="BM3" s="356"/>
      <c r="BN3" s="357"/>
      <c r="BO3" s="355" t="s">
        <v>170</v>
      </c>
      <c r="BP3" s="356"/>
      <c r="BQ3" s="357"/>
      <c r="BR3" s="361">
        <v>42940</v>
      </c>
      <c r="BS3" s="356"/>
      <c r="BT3" s="357"/>
      <c r="BU3" s="361">
        <v>42942</v>
      </c>
      <c r="BV3" s="356"/>
      <c r="BW3" s="357"/>
      <c r="BX3" s="361">
        <v>42944</v>
      </c>
      <c r="BY3" s="356"/>
      <c r="BZ3" s="357"/>
      <c r="CA3" s="361">
        <v>42947</v>
      </c>
      <c r="CB3" s="356"/>
      <c r="CC3" s="357"/>
      <c r="CD3" s="26"/>
    </row>
    <row r="4" spans="1:82" s="17" customFormat="1" ht="21" customHeight="1" x14ac:dyDescent="0.25">
      <c r="A4" s="359"/>
      <c r="B4" s="35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52" t="s">
        <v>7</v>
      </c>
      <c r="K2" s="352"/>
      <c r="L2" s="352"/>
      <c r="M2" s="352"/>
      <c r="N2" s="353" t="s">
        <v>8</v>
      </c>
      <c r="O2" s="353"/>
      <c r="P2" s="353"/>
      <c r="Q2" s="354" t="s">
        <v>9</v>
      </c>
      <c r="R2" s="354" t="s">
        <v>10</v>
      </c>
      <c r="S2" s="354" t="s">
        <v>11</v>
      </c>
      <c r="T2" s="354" t="s">
        <v>12</v>
      </c>
      <c r="U2" s="35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54"/>
      <c r="R3" s="354"/>
      <c r="S3" s="354"/>
      <c r="T3" s="354"/>
      <c r="U3" s="35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58" t="s">
        <v>6</v>
      </c>
      <c r="B3" s="35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60" t="s">
        <v>31</v>
      </c>
      <c r="H3" s="360"/>
      <c r="I3" s="360"/>
      <c r="J3" s="355" t="s">
        <v>32</v>
      </c>
      <c r="K3" s="356"/>
      <c r="L3" s="357"/>
      <c r="M3" s="355" t="s">
        <v>33</v>
      </c>
      <c r="N3" s="356"/>
      <c r="O3" s="357"/>
      <c r="P3" s="355" t="s">
        <v>34</v>
      </c>
      <c r="Q3" s="356"/>
      <c r="R3" s="357"/>
      <c r="S3" s="355" t="s">
        <v>35</v>
      </c>
      <c r="T3" s="356"/>
      <c r="U3" s="357"/>
      <c r="V3" s="355" t="s">
        <v>36</v>
      </c>
      <c r="W3" s="356"/>
      <c r="X3" s="357"/>
      <c r="Y3" s="355" t="s">
        <v>37</v>
      </c>
      <c r="Z3" s="356"/>
      <c r="AA3" s="357"/>
      <c r="AB3" s="355" t="s">
        <v>38</v>
      </c>
      <c r="AC3" s="356"/>
      <c r="AD3" s="357"/>
      <c r="AE3" s="355" t="s">
        <v>39</v>
      </c>
      <c r="AF3" s="356"/>
      <c r="AG3" s="357"/>
      <c r="AH3" s="355" t="s">
        <v>40</v>
      </c>
      <c r="AI3" s="356"/>
      <c r="AJ3" s="357"/>
      <c r="AK3" s="355" t="s">
        <v>41</v>
      </c>
      <c r="AL3" s="356"/>
      <c r="AM3" s="357"/>
      <c r="AN3" s="355" t="s">
        <v>42</v>
      </c>
      <c r="AO3" s="356"/>
      <c r="AP3" s="357"/>
      <c r="AQ3" s="355" t="s">
        <v>43</v>
      </c>
      <c r="AR3" s="356"/>
      <c r="AS3" s="357"/>
      <c r="AT3" s="355" t="s">
        <v>44</v>
      </c>
      <c r="AU3" s="356"/>
      <c r="AV3" s="357"/>
      <c r="AW3" s="355" t="s">
        <v>45</v>
      </c>
      <c r="AX3" s="356"/>
      <c r="AY3" s="357"/>
      <c r="AZ3" s="355" t="s">
        <v>46</v>
      </c>
      <c r="BA3" s="356"/>
      <c r="BB3" s="357"/>
      <c r="BC3" s="355" t="s">
        <v>47</v>
      </c>
      <c r="BD3" s="356"/>
      <c r="BE3" s="357"/>
      <c r="BF3" s="355" t="s">
        <v>48</v>
      </c>
      <c r="BG3" s="356"/>
      <c r="BH3" s="357"/>
      <c r="BI3" s="355" t="s">
        <v>49</v>
      </c>
      <c r="BJ3" s="356"/>
      <c r="BK3" s="357"/>
      <c r="BL3" s="355"/>
      <c r="BM3" s="356"/>
      <c r="BN3" s="357"/>
      <c r="BO3" s="355"/>
      <c r="BP3" s="356"/>
      <c r="BQ3" s="357"/>
      <c r="BR3" s="355"/>
      <c r="BS3" s="356"/>
      <c r="BT3" s="35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58"/>
      <c r="B4" s="35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66" t="s">
        <v>7</v>
      </c>
      <c r="P2" s="366"/>
      <c r="Q2" s="366"/>
      <c r="R2" s="366"/>
      <c r="S2" s="367" t="s">
        <v>8</v>
      </c>
      <c r="T2" s="367"/>
      <c r="U2" s="367"/>
      <c r="V2" s="368" t="s">
        <v>9</v>
      </c>
      <c r="W2" s="368" t="s">
        <v>10</v>
      </c>
      <c r="X2" s="368" t="s">
        <v>11</v>
      </c>
      <c r="Y2" s="368" t="s">
        <v>12</v>
      </c>
      <c r="Z2" s="365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68"/>
      <c r="W3" s="368"/>
      <c r="X3" s="368"/>
      <c r="Y3" s="368"/>
      <c r="Z3" s="365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58" t="s">
        <v>6</v>
      </c>
      <c r="B3" s="358" t="s">
        <v>5</v>
      </c>
      <c r="C3" s="60"/>
      <c r="D3" s="60"/>
      <c r="E3" s="60"/>
      <c r="F3" s="60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  <c r="S3" s="360"/>
      <c r="T3" s="360"/>
      <c r="U3" s="360"/>
      <c r="V3" s="360"/>
      <c r="W3" s="360"/>
      <c r="X3" s="360"/>
      <c r="Y3" s="360"/>
      <c r="Z3" s="360"/>
      <c r="AA3" s="360"/>
      <c r="AB3" s="360"/>
      <c r="AC3" s="360"/>
      <c r="AD3" s="360"/>
      <c r="AE3" s="360"/>
      <c r="AF3" s="360"/>
      <c r="AG3" s="360"/>
      <c r="AH3" s="360"/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/>
      <c r="BB3" s="360"/>
      <c r="BC3" s="369"/>
      <c r="BD3" s="369"/>
      <c r="BE3" s="369"/>
      <c r="BF3" s="370">
        <v>42976</v>
      </c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70"/>
      <c r="BS3" s="360"/>
      <c r="BT3" s="360"/>
      <c r="BU3" s="360"/>
      <c r="BV3" s="360"/>
      <c r="BW3" s="360"/>
      <c r="BX3" s="360"/>
      <c r="BY3" s="360"/>
      <c r="BZ3" s="360"/>
      <c r="CA3" s="360"/>
      <c r="CB3" s="360"/>
      <c r="CC3" s="360"/>
      <c r="CD3" s="26"/>
    </row>
    <row r="4" spans="1:82" s="17" customFormat="1" ht="21" customHeight="1" x14ac:dyDescent="0.25">
      <c r="A4" s="358"/>
      <c r="B4" s="358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71" t="s">
        <v>224</v>
      </c>
      <c r="C1" s="371"/>
      <c r="D1" s="371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52" t="s">
        <v>7</v>
      </c>
      <c r="O2" s="352"/>
      <c r="P2" s="352"/>
      <c r="Q2" s="352"/>
      <c r="R2" s="353" t="s">
        <v>8</v>
      </c>
      <c r="S2" s="353"/>
      <c r="T2" s="353"/>
      <c r="U2" s="354" t="s">
        <v>9</v>
      </c>
      <c r="V2" s="354" t="s">
        <v>10</v>
      </c>
      <c r="W2" s="354" t="s">
        <v>11</v>
      </c>
      <c r="X2" s="354" t="s">
        <v>12</v>
      </c>
      <c r="Y2" s="351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54"/>
      <c r="V3" s="354"/>
      <c r="W3" s="354"/>
      <c r="X3" s="354"/>
      <c r="Y3" s="351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75" t="s">
        <v>430</v>
      </c>
      <c r="B1" s="376"/>
      <c r="C1" s="376"/>
      <c r="D1" s="376"/>
      <c r="E1" s="376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76"/>
      <c r="B2" s="376"/>
      <c r="C2" s="376"/>
      <c r="D2" s="376"/>
      <c r="E2" s="376"/>
      <c r="F2" s="196"/>
      <c r="G2" s="196"/>
      <c r="H2" s="49"/>
      <c r="I2" s="49"/>
      <c r="J2" s="204"/>
      <c r="K2" s="377" t="s">
        <v>7</v>
      </c>
      <c r="L2" s="377"/>
      <c r="M2" s="377"/>
      <c r="N2" s="377"/>
      <c r="O2" s="378" t="s">
        <v>8</v>
      </c>
      <c r="P2" s="378"/>
      <c r="Q2" s="378"/>
      <c r="R2" s="373" t="s">
        <v>322</v>
      </c>
      <c r="S2" s="373" t="s">
        <v>323</v>
      </c>
      <c r="T2" s="372" t="s">
        <v>11</v>
      </c>
      <c r="U2" s="372" t="s">
        <v>12</v>
      </c>
      <c r="V2" s="373" t="s">
        <v>324</v>
      </c>
      <c r="W2" s="194"/>
      <c r="X2" s="377" t="s">
        <v>7</v>
      </c>
      <c r="Y2" s="377"/>
      <c r="Z2" s="377"/>
      <c r="AA2" s="377"/>
      <c r="AB2" s="378" t="s">
        <v>8</v>
      </c>
      <c r="AC2" s="378"/>
      <c r="AD2" s="378"/>
      <c r="AE2" s="373" t="s">
        <v>322</v>
      </c>
      <c r="AF2" s="373" t="s">
        <v>323</v>
      </c>
      <c r="AG2" s="372" t="s">
        <v>11</v>
      </c>
      <c r="AH2" s="372" t="s">
        <v>12</v>
      </c>
      <c r="AI2" s="373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72"/>
      <c r="S3" s="372"/>
      <c r="T3" s="372"/>
      <c r="U3" s="372"/>
      <c r="V3" s="372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72"/>
      <c r="AF3" s="372"/>
      <c r="AG3" s="372"/>
      <c r="AH3" s="372"/>
      <c r="AI3" s="372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74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74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74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74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74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74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74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74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74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74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74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74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74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74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74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74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74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74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74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74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66" t="s">
        <v>7</v>
      </c>
      <c r="L2" s="366"/>
      <c r="M2" s="366"/>
      <c r="N2" s="366"/>
      <c r="O2" s="367" t="s">
        <v>8</v>
      </c>
      <c r="P2" s="367"/>
      <c r="Q2" s="367"/>
      <c r="R2" s="368" t="s">
        <v>9</v>
      </c>
      <c r="S2" s="368" t="s">
        <v>10</v>
      </c>
      <c r="T2" s="368" t="s">
        <v>11</v>
      </c>
      <c r="U2" s="368" t="s">
        <v>12</v>
      </c>
      <c r="V2" s="368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68"/>
      <c r="S3" s="368"/>
      <c r="T3" s="368"/>
      <c r="U3" s="368"/>
      <c r="V3" s="368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66" t="s">
        <v>7</v>
      </c>
      <c r="L2" s="366"/>
      <c r="M2" s="366"/>
      <c r="N2" s="366"/>
      <c r="O2" s="367" t="s">
        <v>8</v>
      </c>
      <c r="P2" s="367"/>
      <c r="Q2" s="367"/>
      <c r="R2" s="379" t="s">
        <v>322</v>
      </c>
      <c r="S2" s="379" t="s">
        <v>323</v>
      </c>
      <c r="T2" s="368" t="s">
        <v>11</v>
      </c>
      <c r="U2" s="368" t="s">
        <v>12</v>
      </c>
      <c r="V2" s="379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68"/>
      <c r="S3" s="368"/>
      <c r="T3" s="368"/>
      <c r="U3" s="368"/>
      <c r="V3" s="368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77" t="s">
        <v>7</v>
      </c>
      <c r="L2" s="377"/>
      <c r="M2" s="377"/>
      <c r="N2" s="377"/>
      <c r="O2" s="378" t="s">
        <v>8</v>
      </c>
      <c r="P2" s="378"/>
      <c r="Q2" s="378"/>
      <c r="R2" s="373" t="s">
        <v>322</v>
      </c>
      <c r="S2" s="373" t="s">
        <v>323</v>
      </c>
      <c r="T2" s="372" t="s">
        <v>11</v>
      </c>
      <c r="U2" s="372" t="s">
        <v>12</v>
      </c>
      <c r="V2" s="373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72"/>
      <c r="S3" s="372"/>
      <c r="T3" s="372"/>
      <c r="U3" s="372"/>
      <c r="V3" s="372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82" t="s">
        <v>7</v>
      </c>
      <c r="L2" s="382"/>
      <c r="M2" s="382"/>
      <c r="N2" s="382"/>
      <c r="O2" s="383" t="s">
        <v>8</v>
      </c>
      <c r="P2" s="383"/>
      <c r="Q2" s="383"/>
      <c r="R2" s="381" t="s">
        <v>322</v>
      </c>
      <c r="S2" s="381" t="s">
        <v>323</v>
      </c>
      <c r="T2" s="380" t="s">
        <v>11</v>
      </c>
      <c r="U2" s="380" t="s">
        <v>12</v>
      </c>
      <c r="V2" s="381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80"/>
      <c r="S3" s="380"/>
      <c r="T3" s="380"/>
      <c r="U3" s="380"/>
      <c r="V3" s="380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10" sqref="D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  <c r="J4" s="2">
        <v>6</v>
      </c>
      <c r="K4" s="2">
        <v>18</v>
      </c>
      <c r="L4" s="2">
        <v>22</v>
      </c>
      <c r="M4" s="2">
        <v>10</v>
      </c>
      <c r="N4" s="2">
        <v>27</v>
      </c>
      <c r="O4" s="2">
        <v>7</v>
      </c>
      <c r="P4" s="2">
        <v>27</v>
      </c>
      <c r="Q4" s="2">
        <v>56</v>
      </c>
      <c r="R4" s="2">
        <v>61</v>
      </c>
      <c r="S4" s="2">
        <v>290</v>
      </c>
      <c r="T4" s="2">
        <v>208</v>
      </c>
      <c r="U4" s="327">
        <v>570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58" t="s">
        <v>6</v>
      </c>
      <c r="B3" s="358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60" t="s">
        <v>31</v>
      </c>
      <c r="H3" s="360"/>
      <c r="I3" s="360"/>
      <c r="J3" s="360" t="s">
        <v>32</v>
      </c>
      <c r="K3" s="360"/>
      <c r="L3" s="360"/>
      <c r="M3" s="360" t="s">
        <v>33</v>
      </c>
      <c r="N3" s="360"/>
      <c r="O3" s="360"/>
      <c r="P3" s="360" t="s">
        <v>34</v>
      </c>
      <c r="Q3" s="360"/>
      <c r="R3" s="360"/>
      <c r="S3" s="360" t="s">
        <v>35</v>
      </c>
      <c r="T3" s="360"/>
      <c r="U3" s="360"/>
      <c r="V3" s="360" t="s">
        <v>36</v>
      </c>
      <c r="W3" s="360"/>
      <c r="X3" s="360"/>
      <c r="Y3" s="360" t="s">
        <v>37</v>
      </c>
      <c r="Z3" s="360"/>
      <c r="AA3" s="360"/>
      <c r="AB3" s="360" t="s">
        <v>38</v>
      </c>
      <c r="AC3" s="360"/>
      <c r="AD3" s="360"/>
      <c r="AE3" s="360" t="s">
        <v>39</v>
      </c>
      <c r="AF3" s="360"/>
      <c r="AG3" s="360"/>
      <c r="AH3" s="360" t="s">
        <v>40</v>
      </c>
      <c r="AI3" s="360"/>
      <c r="AJ3" s="360"/>
      <c r="AK3" s="360" t="s">
        <v>41</v>
      </c>
      <c r="AL3" s="360"/>
      <c r="AM3" s="360"/>
      <c r="AN3" s="360" t="s">
        <v>42</v>
      </c>
      <c r="AO3" s="360"/>
      <c r="AP3" s="360"/>
      <c r="AQ3" s="360" t="s">
        <v>43</v>
      </c>
      <c r="AR3" s="360"/>
      <c r="AS3" s="360"/>
      <c r="AT3" s="360" t="s">
        <v>44</v>
      </c>
      <c r="AU3" s="360"/>
      <c r="AV3" s="360"/>
      <c r="AW3" s="360" t="s">
        <v>45</v>
      </c>
      <c r="AX3" s="360"/>
      <c r="AY3" s="360"/>
      <c r="AZ3" s="360" t="s">
        <v>46</v>
      </c>
      <c r="BA3" s="360"/>
      <c r="BB3" s="360"/>
      <c r="BC3" s="360" t="s">
        <v>47</v>
      </c>
      <c r="BD3" s="360"/>
      <c r="BE3" s="360"/>
      <c r="BF3" s="360" t="s">
        <v>48</v>
      </c>
      <c r="BG3" s="360"/>
      <c r="BH3" s="360"/>
      <c r="BI3" s="360" t="s">
        <v>49</v>
      </c>
      <c r="BJ3" s="360"/>
      <c r="BK3" s="360"/>
      <c r="BL3" s="370">
        <v>43244</v>
      </c>
      <c r="BM3" s="360"/>
      <c r="BN3" s="360"/>
      <c r="BO3" s="370">
        <v>43246</v>
      </c>
      <c r="BP3" s="360"/>
      <c r="BQ3" s="360"/>
      <c r="BR3" s="370">
        <v>43249</v>
      </c>
      <c r="BS3" s="360"/>
      <c r="BT3" s="360"/>
      <c r="BU3" s="370">
        <v>43256</v>
      </c>
      <c r="BV3" s="360"/>
      <c r="BW3" s="360"/>
      <c r="BX3" s="361">
        <v>43258</v>
      </c>
      <c r="BY3" s="356"/>
      <c r="BZ3" s="357"/>
      <c r="CA3" s="361">
        <v>43260</v>
      </c>
      <c r="CB3" s="356"/>
      <c r="CC3" s="357"/>
      <c r="CD3" s="361">
        <v>43263</v>
      </c>
      <c r="CE3" s="356"/>
      <c r="CF3" s="357"/>
      <c r="CG3" s="361">
        <v>43265</v>
      </c>
      <c r="CH3" s="356"/>
      <c r="CI3" s="357"/>
      <c r="CJ3" s="361">
        <v>43267</v>
      </c>
      <c r="CK3" s="356"/>
      <c r="CL3" s="357"/>
      <c r="CM3" s="361">
        <v>43270</v>
      </c>
      <c r="CN3" s="356"/>
      <c r="CO3" s="357"/>
      <c r="CP3" s="361">
        <v>43272</v>
      </c>
      <c r="CQ3" s="356"/>
      <c r="CR3" s="357"/>
      <c r="CS3" s="361">
        <v>43277</v>
      </c>
      <c r="CT3" s="384"/>
      <c r="CU3" s="385"/>
      <c r="CV3" s="361">
        <v>43279</v>
      </c>
      <c r="CW3" s="384"/>
      <c r="CX3" s="385"/>
      <c r="CY3" s="361">
        <v>43281</v>
      </c>
      <c r="CZ3" s="384"/>
      <c r="DA3" s="385"/>
      <c r="DB3" s="361">
        <v>43277</v>
      </c>
      <c r="DC3" s="384"/>
      <c r="DD3" s="385"/>
    </row>
    <row r="4" spans="1:108" s="17" customFormat="1" ht="21" customHeight="1" x14ac:dyDescent="0.25">
      <c r="A4" s="358"/>
      <c r="B4" s="358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opLeftCell="G3" workbookViewId="0">
      <selection activeCell="Q14" sqref="Q1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  <c r="J4" s="1">
        <v>0</v>
      </c>
      <c r="K4" s="1">
        <v>11</v>
      </c>
      <c r="L4" s="1">
        <v>11</v>
      </c>
      <c r="M4" s="1">
        <v>10</v>
      </c>
      <c r="N4" s="1">
        <v>12</v>
      </c>
      <c r="O4" s="1">
        <v>4</v>
      </c>
      <c r="P4" s="1">
        <v>14</v>
      </c>
      <c r="Q4" s="1">
        <v>32</v>
      </c>
      <c r="R4" s="1">
        <v>30</v>
      </c>
      <c r="S4" s="1">
        <v>140</v>
      </c>
      <c r="T4" s="1">
        <v>90</v>
      </c>
      <c r="U4" s="193">
        <v>230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  <c r="U5" s="325"/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  <c r="U6" s="193"/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>
        <v>4</v>
      </c>
      <c r="K7" s="179">
        <v>18</v>
      </c>
      <c r="L7" s="179">
        <v>10</v>
      </c>
      <c r="M7" s="179">
        <v>10</v>
      </c>
      <c r="N7" s="179">
        <v>13</v>
      </c>
      <c r="O7" s="179">
        <v>6</v>
      </c>
      <c r="P7" s="179">
        <v>11</v>
      </c>
      <c r="Q7" s="179">
        <v>42</v>
      </c>
      <c r="R7" s="179">
        <v>30</v>
      </c>
      <c r="S7" s="179">
        <v>195</v>
      </c>
      <c r="T7" s="179">
        <v>90</v>
      </c>
      <c r="U7" s="326">
        <v>285</v>
      </c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  <c r="U8" s="193"/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  <c r="J9" s="1">
        <v>2</v>
      </c>
      <c r="K9" s="1">
        <v>13</v>
      </c>
      <c r="L9" s="1">
        <v>13</v>
      </c>
      <c r="M9" s="1">
        <v>10</v>
      </c>
      <c r="N9" s="1">
        <v>20</v>
      </c>
      <c r="O9" s="1">
        <v>3</v>
      </c>
      <c r="P9" s="1">
        <v>20</v>
      </c>
      <c r="Q9" s="1">
        <v>38</v>
      </c>
      <c r="R9" s="1">
        <v>43</v>
      </c>
      <c r="S9" s="1">
        <v>175</v>
      </c>
      <c r="T9" s="1">
        <v>170</v>
      </c>
      <c r="U9" s="193">
        <v>345</v>
      </c>
    </row>
    <row r="13" spans="1:21" x14ac:dyDescent="0.3">
      <c r="S13" s="15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zoomScale="90" zoomScaleNormal="90" workbookViewId="0">
      <selection activeCell="D11" sqref="D11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86" t="s">
        <v>7</v>
      </c>
      <c r="K2" s="386"/>
      <c r="L2" s="386"/>
      <c r="M2" s="386"/>
      <c r="N2" s="387" t="s">
        <v>8</v>
      </c>
      <c r="O2" s="387"/>
      <c r="P2" s="387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72"/>
      <c r="R3" s="372"/>
      <c r="S3" s="372"/>
      <c r="T3" s="372"/>
      <c r="U3" s="372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348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348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348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348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348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348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348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348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348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348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348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348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348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348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348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348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348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348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348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workbookViewId="0">
      <selection activeCell="F14" sqref="F14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C10" s="2">
        <v>1987</v>
      </c>
      <c r="D10" s="180" t="s">
        <v>714</v>
      </c>
      <c r="F10" s="1" t="s">
        <v>715</v>
      </c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workbookViewId="0">
      <selection activeCell="B6" sqref="B6:J13"/>
    </sheetView>
  </sheetViews>
  <sheetFormatPr defaultRowHeight="15" x14ac:dyDescent="0.25"/>
  <cols>
    <col min="1" max="1" width="4" customWidth="1"/>
    <col min="2" max="2" width="33.85546875" customWidth="1"/>
    <col min="4" max="4" width="13.28515625" customWidth="1"/>
    <col min="5" max="5" width="7" bestFit="1" customWidth="1"/>
    <col min="6" max="6" width="15" customWidth="1"/>
    <col min="7" max="7" width="13.7109375" customWidth="1"/>
    <col min="8" max="8" width="13.7109375" style="59" customWidth="1"/>
    <col min="9" max="9" width="10.28515625" style="59" customWidth="1"/>
    <col min="10" max="10" width="14" style="59" customWidth="1"/>
    <col min="11" max="11" width="12" customWidth="1"/>
    <col min="12" max="12" width="13.7109375" customWidth="1"/>
    <col min="14" max="15" width="11.7109375" customWidth="1"/>
  </cols>
  <sheetData>
    <row r="1" spans="1:22" x14ac:dyDescent="0.25">
      <c r="A1" s="328"/>
      <c r="B1" s="329" t="s">
        <v>716</v>
      </c>
      <c r="C1" s="330"/>
      <c r="D1" s="392" t="s">
        <v>727</v>
      </c>
      <c r="E1" s="393" t="s">
        <v>728</v>
      </c>
      <c r="F1" s="393"/>
      <c r="G1" s="393"/>
      <c r="H1" s="393"/>
      <c r="I1" s="393"/>
      <c r="J1" s="393"/>
      <c r="K1" s="328"/>
      <c r="L1" s="328"/>
      <c r="M1" s="328"/>
      <c r="N1" s="328"/>
      <c r="O1" s="328"/>
      <c r="P1" s="328"/>
      <c r="Q1" s="328"/>
      <c r="R1" s="333"/>
      <c r="S1" s="333"/>
      <c r="T1" s="333"/>
      <c r="U1" s="333"/>
      <c r="V1" s="333"/>
    </row>
    <row r="2" spans="1:22" x14ac:dyDescent="0.25">
      <c r="A2" s="328"/>
      <c r="B2" s="329"/>
      <c r="C2" s="330"/>
      <c r="D2" s="392"/>
      <c r="E2" s="393"/>
      <c r="F2" s="393"/>
      <c r="G2" s="393"/>
      <c r="H2" s="393"/>
      <c r="I2" s="393"/>
      <c r="J2" s="393"/>
      <c r="K2" s="328"/>
      <c r="L2" s="328"/>
      <c r="M2" s="328"/>
      <c r="N2" s="328"/>
      <c r="O2" s="328"/>
      <c r="P2" s="328"/>
      <c r="Q2" s="328"/>
      <c r="R2" s="333"/>
      <c r="S2" s="333"/>
      <c r="T2" s="333"/>
      <c r="U2" s="333"/>
      <c r="V2" s="333"/>
    </row>
    <row r="3" spans="1:22" x14ac:dyDescent="0.25">
      <c r="A3" s="328"/>
      <c r="B3" s="329"/>
      <c r="C3" s="330"/>
      <c r="D3" s="331"/>
      <c r="E3" s="331"/>
      <c r="F3" s="332"/>
      <c r="G3" s="331"/>
      <c r="H3" s="331"/>
      <c r="I3" s="328"/>
      <c r="J3" s="328"/>
      <c r="K3" s="328"/>
      <c r="L3" s="328"/>
      <c r="M3" s="328"/>
      <c r="N3" s="328"/>
      <c r="O3" s="328"/>
      <c r="P3" s="328"/>
      <c r="Q3" s="328"/>
      <c r="R3" s="333"/>
      <c r="S3" s="333"/>
      <c r="T3" s="333"/>
      <c r="U3" s="333"/>
      <c r="V3" s="333"/>
    </row>
    <row r="4" spans="1:22" x14ac:dyDescent="0.25">
      <c r="A4" s="394" t="s">
        <v>6</v>
      </c>
      <c r="B4" s="394" t="s">
        <v>5</v>
      </c>
      <c r="C4" s="390" t="s">
        <v>4</v>
      </c>
      <c r="D4" s="390" t="s">
        <v>3</v>
      </c>
      <c r="E4" s="390" t="s">
        <v>117</v>
      </c>
      <c r="F4" s="390" t="s">
        <v>71</v>
      </c>
      <c r="G4" s="390" t="s">
        <v>106</v>
      </c>
      <c r="H4" s="390" t="s">
        <v>725</v>
      </c>
      <c r="I4" s="394" t="s">
        <v>2</v>
      </c>
      <c r="J4" s="394" t="s">
        <v>173</v>
      </c>
      <c r="K4" s="396" t="s">
        <v>7</v>
      </c>
      <c r="L4" s="396"/>
      <c r="M4" s="396"/>
      <c r="N4" s="396"/>
      <c r="O4" s="397" t="s">
        <v>8</v>
      </c>
      <c r="P4" s="397"/>
      <c r="Q4" s="397"/>
      <c r="R4" s="388" t="s">
        <v>322</v>
      </c>
      <c r="S4" s="388" t="s">
        <v>323</v>
      </c>
      <c r="T4" s="389" t="s">
        <v>11</v>
      </c>
      <c r="U4" s="389" t="s">
        <v>12</v>
      </c>
      <c r="V4" s="388" t="s">
        <v>324</v>
      </c>
    </row>
    <row r="5" spans="1:22" x14ac:dyDescent="0.25">
      <c r="A5" s="395"/>
      <c r="B5" s="395"/>
      <c r="C5" s="391"/>
      <c r="D5" s="391"/>
      <c r="E5" s="391"/>
      <c r="F5" s="391"/>
      <c r="G5" s="391"/>
      <c r="H5" s="391"/>
      <c r="I5" s="395"/>
      <c r="J5" s="395"/>
      <c r="K5" s="334" t="s">
        <v>14</v>
      </c>
      <c r="L5" s="335" t="s">
        <v>15</v>
      </c>
      <c r="M5" s="336" t="s">
        <v>16</v>
      </c>
      <c r="N5" s="337" t="s">
        <v>17</v>
      </c>
      <c r="O5" s="338" t="s">
        <v>18</v>
      </c>
      <c r="P5" s="339" t="s">
        <v>19</v>
      </c>
      <c r="Q5" s="340" t="s">
        <v>20</v>
      </c>
      <c r="R5" s="389"/>
      <c r="S5" s="389"/>
      <c r="T5" s="389"/>
      <c r="U5" s="389"/>
      <c r="V5" s="389"/>
    </row>
    <row r="6" spans="1:22" x14ac:dyDescent="0.25">
      <c r="A6" s="19">
        <v>1</v>
      </c>
      <c r="B6" s="22" t="s">
        <v>550</v>
      </c>
      <c r="C6" s="347">
        <v>35582</v>
      </c>
      <c r="D6" s="22">
        <v>989270424</v>
      </c>
      <c r="E6" s="22"/>
      <c r="F6" s="22"/>
      <c r="G6" s="22"/>
      <c r="H6" s="349"/>
      <c r="I6" s="344"/>
      <c r="J6" s="19" t="s">
        <v>599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 t="s">
        <v>731</v>
      </c>
      <c r="C7" s="22"/>
      <c r="D7" s="22">
        <v>935749822</v>
      </c>
      <c r="E7" s="22"/>
      <c r="F7" s="22"/>
      <c r="G7" s="22"/>
      <c r="H7" s="349">
        <v>43334</v>
      </c>
      <c r="I7" s="344">
        <v>1491000</v>
      </c>
      <c r="J7" s="19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 t="s">
        <v>730</v>
      </c>
      <c r="C8" s="22"/>
      <c r="D8" s="22">
        <v>965007118</v>
      </c>
      <c r="E8" s="22"/>
      <c r="F8" s="22"/>
      <c r="G8" s="22"/>
      <c r="H8" s="349">
        <v>43335</v>
      </c>
      <c r="I8" s="344">
        <v>1491000</v>
      </c>
      <c r="J8" s="19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 t="s">
        <v>732</v>
      </c>
      <c r="C9" s="22"/>
      <c r="D9" s="22">
        <v>905455520</v>
      </c>
      <c r="E9" s="22"/>
      <c r="F9" s="22"/>
      <c r="G9" s="22"/>
      <c r="H9" s="349">
        <v>43336</v>
      </c>
      <c r="I9" s="344">
        <v>1281000</v>
      </c>
      <c r="J9" s="19" t="s">
        <v>331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 t="s">
        <v>733</v>
      </c>
      <c r="C10" s="22"/>
      <c r="D10" s="22">
        <v>935225872</v>
      </c>
      <c r="E10" s="22"/>
      <c r="F10" s="22"/>
      <c r="G10" s="22"/>
      <c r="H10" s="349">
        <v>43336</v>
      </c>
      <c r="I10" s="344">
        <v>1281000</v>
      </c>
      <c r="J10" s="19" t="s">
        <v>331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 t="s">
        <v>734</v>
      </c>
      <c r="C11" s="22"/>
      <c r="D11" s="22">
        <v>1213323142</v>
      </c>
      <c r="E11" s="22"/>
      <c r="F11" s="22"/>
      <c r="G11" s="22"/>
      <c r="H11" s="349">
        <v>43336</v>
      </c>
      <c r="I11" s="344">
        <v>1281000</v>
      </c>
      <c r="J11" s="19" t="s">
        <v>331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 t="s">
        <v>735</v>
      </c>
      <c r="C12" s="22"/>
      <c r="D12" s="22">
        <v>1668896024</v>
      </c>
      <c r="E12" s="22"/>
      <c r="F12" s="22"/>
      <c r="G12" s="22"/>
      <c r="H12" s="349">
        <v>43341</v>
      </c>
      <c r="I12" s="344">
        <v>1386000</v>
      </c>
      <c r="J12" s="19" t="s">
        <v>718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 t="s">
        <v>736</v>
      </c>
      <c r="C13" s="22"/>
      <c r="D13" s="22">
        <v>985298196</v>
      </c>
      <c r="E13" s="22"/>
      <c r="F13" s="22"/>
      <c r="G13" s="22"/>
      <c r="H13" s="349">
        <v>43341</v>
      </c>
      <c r="I13" s="344">
        <v>1386000</v>
      </c>
      <c r="J13" s="19" t="s">
        <v>718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19"/>
      <c r="I14" s="344"/>
      <c r="J14" s="19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19"/>
      <c r="I15" s="344"/>
      <c r="J15" s="19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19"/>
      <c r="I16" s="344"/>
      <c r="J16" s="19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19"/>
      <c r="I17" s="344"/>
      <c r="J17" s="19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19"/>
      <c r="I18" s="344"/>
      <c r="J18" s="19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19"/>
      <c r="I19" s="344"/>
      <c r="J19" s="19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19"/>
      <c r="I20" s="344"/>
      <c r="J20" s="19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19"/>
      <c r="I21" s="344"/>
      <c r="J21" s="19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19"/>
      <c r="I22" s="344"/>
      <c r="J22" s="19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19"/>
      <c r="I23" s="344"/>
      <c r="J23" s="19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19"/>
      <c r="I24" s="344"/>
      <c r="J24" s="19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19"/>
      <c r="I25" s="344"/>
      <c r="J25" s="19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41" t="s">
        <v>722</v>
      </c>
      <c r="G27" s="341" t="s">
        <v>719</v>
      </c>
      <c r="H27" s="341" t="s">
        <v>720</v>
      </c>
      <c r="I27" s="341" t="s">
        <v>721</v>
      </c>
      <c r="J27" s="341" t="s">
        <v>723</v>
      </c>
      <c r="K27" s="341" t="s">
        <v>724</v>
      </c>
    </row>
    <row r="28" spans="1:22" x14ac:dyDescent="0.25">
      <c r="F28" s="22" t="s">
        <v>308</v>
      </c>
      <c r="G28" s="19">
        <f t="shared" ref="G28:G33" si="0">COUNTIF($J$6:$J$25,F28)</f>
        <v>0</v>
      </c>
      <c r="H28" s="344">
        <f>SUMIF($J$6:$J$25, F28, $I$6:$I$25)</f>
        <v>0</v>
      </c>
      <c r="I28" s="344">
        <f>H28*5%</f>
        <v>0</v>
      </c>
      <c r="J28" s="19"/>
      <c r="K28" s="342">
        <f>I28-J28</f>
        <v>0</v>
      </c>
    </row>
    <row r="29" spans="1:22" x14ac:dyDescent="0.25">
      <c r="F29" s="22" t="s">
        <v>345</v>
      </c>
      <c r="G29" s="19">
        <f t="shared" si="0"/>
        <v>0</v>
      </c>
      <c r="H29" s="344">
        <f>SUMIF($J$6:$J$25, F29, $I$6:$I$25)</f>
        <v>0</v>
      </c>
      <c r="I29" s="344">
        <f>H29*5%</f>
        <v>0</v>
      </c>
      <c r="J29" s="19"/>
      <c r="K29" s="342">
        <f t="shared" ref="K29:K32" si="1">I29-J29</f>
        <v>0</v>
      </c>
    </row>
    <row r="30" spans="1:22" x14ac:dyDescent="0.25">
      <c r="F30" s="22" t="s">
        <v>331</v>
      </c>
      <c r="G30" s="19">
        <f t="shared" si="0"/>
        <v>3</v>
      </c>
      <c r="H30" s="344">
        <f>SUMIF($J$6:$J$25, F30, $I$6:$I$25)</f>
        <v>3843000</v>
      </c>
      <c r="I30" s="344">
        <f>H30*5%</f>
        <v>192150</v>
      </c>
      <c r="J30" s="19"/>
      <c r="K30" s="342">
        <f t="shared" si="1"/>
        <v>192150</v>
      </c>
    </row>
    <row r="31" spans="1:22" x14ac:dyDescent="0.25">
      <c r="F31" s="22" t="s">
        <v>717</v>
      </c>
      <c r="G31" s="19">
        <f t="shared" si="0"/>
        <v>0</v>
      </c>
      <c r="H31" s="344">
        <f>SUMIF($J$6:$J$25, F31, $I$6:$I$25)</f>
        <v>0</v>
      </c>
      <c r="I31" s="344">
        <f>H31*5%</f>
        <v>0</v>
      </c>
      <c r="J31" s="19"/>
      <c r="K31" s="342">
        <f>I31-J31</f>
        <v>0</v>
      </c>
    </row>
    <row r="32" spans="1:22" x14ac:dyDescent="0.25">
      <c r="F32" s="343" t="s">
        <v>718</v>
      </c>
      <c r="G32" s="19">
        <f t="shared" si="0"/>
        <v>2</v>
      </c>
      <c r="H32" s="344">
        <f>SUMIF($J$6:$J$25, F32, $I$6:$I$25)</f>
        <v>2772000</v>
      </c>
      <c r="I32" s="344">
        <f>H32*5%</f>
        <v>138600</v>
      </c>
      <c r="J32" s="19"/>
      <c r="K32" s="342">
        <f t="shared" si="1"/>
        <v>138600</v>
      </c>
    </row>
    <row r="33" spans="6:11" x14ac:dyDescent="0.25">
      <c r="F33" s="22" t="s">
        <v>599</v>
      </c>
      <c r="G33" s="19">
        <f t="shared" si="0"/>
        <v>1</v>
      </c>
      <c r="H33" s="345"/>
      <c r="I33" s="345"/>
      <c r="J33" s="345"/>
      <c r="K33" s="346"/>
    </row>
  </sheetData>
  <mergeCells count="19">
    <mergeCell ref="V4:V5"/>
    <mergeCell ref="A4:A5"/>
    <mergeCell ref="B4:B5"/>
    <mergeCell ref="C4:C5"/>
    <mergeCell ref="D4:D5"/>
    <mergeCell ref="E4:E5"/>
    <mergeCell ref="F4:F5"/>
    <mergeCell ref="G4:G5"/>
    <mergeCell ref="I4:I5"/>
    <mergeCell ref="J4:J5"/>
    <mergeCell ref="K4:N4"/>
    <mergeCell ref="O4:Q4"/>
    <mergeCell ref="R4:R5"/>
    <mergeCell ref="S4:S5"/>
    <mergeCell ref="T4:T5"/>
    <mergeCell ref="U4:U5"/>
    <mergeCell ref="H4:H5"/>
    <mergeCell ref="D1:D2"/>
    <mergeCell ref="E1:J2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tabSelected="1" workbookViewId="0">
      <selection activeCell="B6" sqref="B6:J8"/>
    </sheetView>
  </sheetViews>
  <sheetFormatPr defaultRowHeight="15" x14ac:dyDescent="0.25"/>
  <cols>
    <col min="1" max="1" width="4" customWidth="1"/>
    <col min="2" max="2" width="33.7109375" customWidth="1"/>
    <col min="4" max="4" width="11.42578125" customWidth="1"/>
    <col min="5" max="5" width="7" bestFit="1" customWidth="1"/>
    <col min="6" max="6" width="15" customWidth="1"/>
    <col min="7" max="7" width="13.7109375" customWidth="1"/>
    <col min="8" max="8" width="13.7109375" style="59" customWidth="1"/>
    <col min="9" max="9" width="10.28515625" style="59" customWidth="1"/>
    <col min="10" max="10" width="14" style="59" customWidth="1"/>
    <col min="11" max="11" width="12" customWidth="1"/>
    <col min="12" max="12" width="13.7109375" customWidth="1"/>
    <col min="14" max="15" width="11.7109375" customWidth="1"/>
  </cols>
  <sheetData>
    <row r="1" spans="1:22" ht="14.25" customHeight="1" x14ac:dyDescent="0.25">
      <c r="A1" s="328"/>
      <c r="B1" s="329" t="s">
        <v>726</v>
      </c>
      <c r="C1" s="330"/>
      <c r="D1" s="392" t="s">
        <v>727</v>
      </c>
      <c r="E1" s="398" t="s">
        <v>729</v>
      </c>
      <c r="F1" s="398"/>
      <c r="G1" s="398"/>
      <c r="H1" s="398"/>
      <c r="I1" s="398"/>
      <c r="J1" s="398"/>
      <c r="K1" s="328"/>
      <c r="L1" s="328"/>
      <c r="M1" s="328"/>
      <c r="N1" s="328"/>
      <c r="O1" s="328"/>
      <c r="P1" s="328"/>
      <c r="Q1" s="328"/>
      <c r="R1" s="333"/>
      <c r="S1" s="333"/>
      <c r="T1" s="333"/>
      <c r="U1" s="333"/>
      <c r="V1" s="333"/>
    </row>
    <row r="2" spans="1:22" ht="14.25" customHeight="1" x14ac:dyDescent="0.25">
      <c r="A2" s="328"/>
      <c r="B2" s="329"/>
      <c r="C2" s="330"/>
      <c r="D2" s="392"/>
      <c r="E2" s="398"/>
      <c r="F2" s="398"/>
      <c r="G2" s="398"/>
      <c r="H2" s="398"/>
      <c r="I2" s="398"/>
      <c r="J2" s="398"/>
      <c r="K2" s="328"/>
      <c r="L2" s="328"/>
      <c r="M2" s="328"/>
      <c r="N2" s="328"/>
      <c r="O2" s="328"/>
      <c r="P2" s="328"/>
      <c r="Q2" s="328"/>
      <c r="R2" s="333"/>
      <c r="S2" s="333"/>
      <c r="T2" s="333"/>
      <c r="U2" s="333"/>
      <c r="V2" s="333"/>
    </row>
    <row r="3" spans="1:22" x14ac:dyDescent="0.25">
      <c r="A3" s="328"/>
      <c r="B3" s="329"/>
      <c r="C3" s="330"/>
      <c r="D3" s="331"/>
      <c r="E3" s="331"/>
      <c r="F3" s="332"/>
      <c r="G3" s="331"/>
      <c r="H3" s="331"/>
      <c r="I3" s="328"/>
      <c r="J3" s="328"/>
      <c r="K3" s="328"/>
      <c r="L3" s="328"/>
      <c r="M3" s="328"/>
      <c r="N3" s="328"/>
      <c r="O3" s="328"/>
      <c r="P3" s="328"/>
      <c r="Q3" s="328"/>
      <c r="R3" s="333"/>
      <c r="S3" s="333"/>
      <c r="T3" s="333"/>
      <c r="U3" s="333"/>
      <c r="V3" s="333"/>
    </row>
    <row r="4" spans="1:22" x14ac:dyDescent="0.25">
      <c r="A4" s="394" t="s">
        <v>6</v>
      </c>
      <c r="B4" s="394" t="s">
        <v>5</v>
      </c>
      <c r="C4" s="390" t="s">
        <v>4</v>
      </c>
      <c r="D4" s="390" t="s">
        <v>3</v>
      </c>
      <c r="E4" s="390" t="s">
        <v>117</v>
      </c>
      <c r="F4" s="390" t="s">
        <v>71</v>
      </c>
      <c r="G4" s="390" t="s">
        <v>106</v>
      </c>
      <c r="H4" s="390" t="s">
        <v>725</v>
      </c>
      <c r="I4" s="394" t="s">
        <v>2</v>
      </c>
      <c r="J4" s="394" t="s">
        <v>173</v>
      </c>
      <c r="K4" s="396" t="s">
        <v>7</v>
      </c>
      <c r="L4" s="396"/>
      <c r="M4" s="396"/>
      <c r="N4" s="396"/>
      <c r="O4" s="397" t="s">
        <v>8</v>
      </c>
      <c r="P4" s="397"/>
      <c r="Q4" s="397"/>
      <c r="R4" s="388" t="s">
        <v>322</v>
      </c>
      <c r="S4" s="388" t="s">
        <v>323</v>
      </c>
      <c r="T4" s="389" t="s">
        <v>11</v>
      </c>
      <c r="U4" s="389" t="s">
        <v>12</v>
      </c>
      <c r="V4" s="388" t="s">
        <v>324</v>
      </c>
    </row>
    <row r="5" spans="1:22" x14ac:dyDescent="0.25">
      <c r="A5" s="395"/>
      <c r="B5" s="395"/>
      <c r="C5" s="391"/>
      <c r="D5" s="391"/>
      <c r="E5" s="391"/>
      <c r="F5" s="391"/>
      <c r="G5" s="391"/>
      <c r="H5" s="391"/>
      <c r="I5" s="395"/>
      <c r="J5" s="395"/>
      <c r="K5" s="334" t="s">
        <v>14</v>
      </c>
      <c r="L5" s="335" t="s">
        <v>15</v>
      </c>
      <c r="M5" s="336" t="s">
        <v>16</v>
      </c>
      <c r="N5" s="337" t="s">
        <v>17</v>
      </c>
      <c r="O5" s="338" t="s">
        <v>18</v>
      </c>
      <c r="P5" s="339" t="s">
        <v>19</v>
      </c>
      <c r="Q5" s="340" t="s">
        <v>20</v>
      </c>
      <c r="R5" s="389"/>
      <c r="S5" s="389"/>
      <c r="T5" s="389"/>
      <c r="U5" s="389"/>
      <c r="V5" s="389"/>
    </row>
    <row r="6" spans="1:22" x14ac:dyDescent="0.25">
      <c r="A6" s="19">
        <v>1</v>
      </c>
      <c r="B6" s="22" t="s">
        <v>519</v>
      </c>
      <c r="C6" s="22"/>
      <c r="D6" s="22"/>
      <c r="E6" s="22"/>
      <c r="F6" s="22"/>
      <c r="G6" s="22"/>
      <c r="H6" s="349">
        <v>43336</v>
      </c>
      <c r="I6" s="344"/>
      <c r="J6" s="19" t="s">
        <v>718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 t="s">
        <v>737</v>
      </c>
      <c r="C7" s="22"/>
      <c r="D7" s="22"/>
      <c r="E7" s="22"/>
      <c r="F7" s="22"/>
      <c r="G7" s="22"/>
      <c r="H7" s="349">
        <v>43334</v>
      </c>
      <c r="I7" s="344">
        <v>1584000</v>
      </c>
      <c r="J7" s="19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 t="s">
        <v>738</v>
      </c>
      <c r="C8" s="22"/>
      <c r="D8" s="22"/>
      <c r="E8" s="22"/>
      <c r="F8" s="22"/>
      <c r="G8" s="22"/>
      <c r="H8" s="349">
        <v>43334</v>
      </c>
      <c r="I8" s="344">
        <v>1584000</v>
      </c>
      <c r="J8" s="19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/>
      <c r="C9" s="22"/>
      <c r="D9" s="22"/>
      <c r="E9" s="22"/>
      <c r="F9" s="22"/>
      <c r="G9" s="22"/>
      <c r="H9" s="349"/>
      <c r="I9" s="344"/>
      <c r="J9" s="19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/>
      <c r="C10" s="22"/>
      <c r="D10" s="22"/>
      <c r="E10" s="22"/>
      <c r="F10" s="22"/>
      <c r="G10" s="22"/>
      <c r="H10" s="349"/>
      <c r="I10" s="344"/>
      <c r="J10" s="19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/>
      <c r="C11" s="22"/>
      <c r="D11" s="22"/>
      <c r="E11" s="22"/>
      <c r="F11" s="22"/>
      <c r="G11" s="22"/>
      <c r="H11" s="349"/>
      <c r="I11" s="344"/>
      <c r="J11" s="19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/>
      <c r="C12" s="22"/>
      <c r="D12" s="22"/>
      <c r="E12" s="22"/>
      <c r="F12" s="22"/>
      <c r="G12" s="22"/>
      <c r="H12" s="349"/>
      <c r="I12" s="344"/>
      <c r="J12" s="19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/>
      <c r="C13" s="22"/>
      <c r="D13" s="22"/>
      <c r="E13" s="22"/>
      <c r="F13" s="22"/>
      <c r="G13" s="22"/>
      <c r="H13" s="349"/>
      <c r="I13" s="344"/>
      <c r="J13" s="19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19"/>
      <c r="I14" s="344"/>
      <c r="J14" s="19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19"/>
      <c r="I15" s="344"/>
      <c r="J15" s="19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19"/>
      <c r="I16" s="344"/>
      <c r="J16" s="19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19"/>
      <c r="I17" s="344"/>
      <c r="J17" s="19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19"/>
      <c r="I18" s="344"/>
      <c r="J18" s="19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19"/>
      <c r="I19" s="344"/>
      <c r="J19" s="19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19"/>
      <c r="I20" s="344"/>
      <c r="J20" s="19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19"/>
      <c r="I21" s="344"/>
      <c r="J21" s="19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19"/>
      <c r="I22" s="344"/>
      <c r="J22" s="19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19"/>
      <c r="I23" s="344"/>
      <c r="J23" s="19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19"/>
      <c r="I24" s="344"/>
      <c r="J24" s="19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19"/>
      <c r="I25" s="344"/>
      <c r="J25" s="19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41" t="s">
        <v>722</v>
      </c>
      <c r="G27" s="341" t="s">
        <v>719</v>
      </c>
      <c r="H27" s="341" t="s">
        <v>720</v>
      </c>
      <c r="I27" s="341" t="s">
        <v>721</v>
      </c>
      <c r="J27" s="341" t="s">
        <v>723</v>
      </c>
      <c r="K27" s="341" t="s">
        <v>724</v>
      </c>
    </row>
    <row r="28" spans="1:22" x14ac:dyDescent="0.25">
      <c r="F28" s="22" t="s">
        <v>308</v>
      </c>
      <c r="G28" s="19">
        <f t="shared" ref="G28:G33" si="0">COUNTIF($J$6:$J$25,F28)</f>
        <v>0</v>
      </c>
      <c r="H28" s="344">
        <f>SUMIF($J$6:$J$25, F28, $I$6:$I$25)</f>
        <v>0</v>
      </c>
      <c r="I28" s="344">
        <f>H28*5%</f>
        <v>0</v>
      </c>
      <c r="J28" s="19"/>
      <c r="K28" s="342">
        <f>I28-J28</f>
        <v>0</v>
      </c>
    </row>
    <row r="29" spans="1:22" x14ac:dyDescent="0.25">
      <c r="F29" s="22" t="s">
        <v>345</v>
      </c>
      <c r="G29" s="19">
        <f t="shared" si="0"/>
        <v>0</v>
      </c>
      <c r="H29" s="344">
        <f>SUMIF($J$6:$J$25, F29, $I$6:$I$25)</f>
        <v>0</v>
      </c>
      <c r="I29" s="344">
        <f>H29*5%</f>
        <v>0</v>
      </c>
      <c r="J29" s="19"/>
      <c r="K29" s="342">
        <f t="shared" ref="K29:K32" si="1">I29-J29</f>
        <v>0</v>
      </c>
    </row>
    <row r="30" spans="1:22" x14ac:dyDescent="0.25">
      <c r="F30" s="22" t="s">
        <v>331</v>
      </c>
      <c r="G30" s="19">
        <f t="shared" si="0"/>
        <v>0</v>
      </c>
      <c r="H30" s="344">
        <f>SUMIF($J$6:$J$25, F30, $I$6:$I$25)</f>
        <v>0</v>
      </c>
      <c r="I30" s="344">
        <f>H30*5%</f>
        <v>0</v>
      </c>
      <c r="J30" s="19"/>
      <c r="K30" s="342">
        <f t="shared" si="1"/>
        <v>0</v>
      </c>
    </row>
    <row r="31" spans="1:22" x14ac:dyDescent="0.25">
      <c r="F31" s="22" t="s">
        <v>717</v>
      </c>
      <c r="G31" s="19">
        <f t="shared" si="0"/>
        <v>0</v>
      </c>
      <c r="H31" s="344">
        <f>SUMIF($J$6:$J$25, F31, $I$6:$I$25)</f>
        <v>0</v>
      </c>
      <c r="I31" s="344">
        <f>H31*5%</f>
        <v>0</v>
      </c>
      <c r="J31" s="19"/>
      <c r="K31" s="342">
        <f>I31-J31</f>
        <v>0</v>
      </c>
    </row>
    <row r="32" spans="1:22" x14ac:dyDescent="0.25">
      <c r="F32" s="343" t="s">
        <v>718</v>
      </c>
      <c r="G32" s="19">
        <f t="shared" si="0"/>
        <v>1</v>
      </c>
      <c r="H32" s="344">
        <f>SUMIF($J$6:$J$25, F32, $I$6:$I$25)</f>
        <v>0</v>
      </c>
      <c r="I32" s="344">
        <f>H32*5%</f>
        <v>0</v>
      </c>
      <c r="J32" s="19"/>
      <c r="K32" s="342">
        <f t="shared" si="1"/>
        <v>0</v>
      </c>
    </row>
    <row r="33" spans="6:11" x14ac:dyDescent="0.25">
      <c r="F33" s="22" t="s">
        <v>599</v>
      </c>
      <c r="G33" s="19">
        <f t="shared" si="0"/>
        <v>0</v>
      </c>
      <c r="H33" s="345"/>
      <c r="I33" s="345"/>
      <c r="J33" s="345"/>
      <c r="K33" s="346"/>
    </row>
  </sheetData>
  <mergeCells count="19">
    <mergeCell ref="D1:D2"/>
    <mergeCell ref="E1:J2"/>
    <mergeCell ref="R4:R5"/>
    <mergeCell ref="S4:S5"/>
    <mergeCell ref="T4:T5"/>
    <mergeCell ref="F4:F5"/>
    <mergeCell ref="U4:U5"/>
    <mergeCell ref="V4:V5"/>
    <mergeCell ref="G4:G5"/>
    <mergeCell ref="H4:H5"/>
    <mergeCell ref="I4:I5"/>
    <mergeCell ref="J4:J5"/>
    <mergeCell ref="K4:N4"/>
    <mergeCell ref="O4:Q4"/>
    <mergeCell ref="A4:A5"/>
    <mergeCell ref="B4:B5"/>
    <mergeCell ref="C4:C5"/>
    <mergeCell ref="D4:D5"/>
    <mergeCell ref="E4:E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  <vt:lpstr>AK12</vt:lpstr>
      <vt:lpstr>B10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2018-08-30T03:01:53Z</dcterms:modified>
</cp:coreProperties>
</file>