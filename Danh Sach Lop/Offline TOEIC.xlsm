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1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K4'!$A$3:$Z$3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<sst xmlns="http://schemas.openxmlformats.org/spreadsheetml/2006/main" count="1792" uniqueCount="298">
  <si>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</si>
  <si>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</si>
  <si>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</si>
  <si>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</si>
  <si>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</si>
  <si>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</si>
  <si>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</si>
  <si>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</si>
  <si>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</si>
  <si>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</si>
  <si>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</si>
  <si>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</si>
  <si>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</si>
  <si>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</si>
  <si>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</si>
  <si>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</si>
  <si>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</si>
  <si>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</si>
  <si>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</si>
  <si>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</si>
  <si>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</si>
  <si>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</si>
  <si>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</si>
  <si>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</si>
  <si>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</si>
  <si>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</si>
  <si>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</si>
  <si>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</si>
  <si>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</si>
  <si>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</si>
  <si>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</si>
  <si>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</si>
  <si>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</si>
  <si>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</si>
  <si>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</si>
  <si>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</si>
  <si>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</si>
  <si>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</si>
  <si>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</si>
  <si>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</si>
  <si>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</si>
  <si>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</si>
  <si>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</si>
  <si>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</si>
  <si>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</si>
  <si>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</si>
  <si>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</si>
  <si>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</si>
  <si>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</si>
  <si>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</si>
  <si>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</si>
  <si>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</si>
  <si>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</si>
  <si>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</si>
  <si>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</si>
  <si>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</si>
  <si>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</si>
  <si>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</si>
  <si>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</si>
  <si>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</si>
  <si>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</si>
  <si>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</si>
  <si>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</si>
  <si>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</si>
  <si>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</si>
  <si>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</si>
  <si>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</si>
  <si>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</si>
  <si>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</si>
  <si>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</si>
  <si>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</si>
  <si>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</si>
  <si>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</si>
  <si>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</si>
  <si>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</si>
  <si>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</si>
  <si>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</si>
  <si>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</si>
  <si>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</si>
  <si>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</si>
  <si>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</si>
  <si>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</si>
  <si>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</si>
  <si>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</si>
  <si>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</si>
  <si>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</si>
  <si>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</si>
  <si>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</si>
  <si>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</si>
  <si>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</si>
  <si>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</si>
  <si>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</si>
  <si>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</si>
  <si>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</si>
  <si>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</si>
  <si>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</si>
  <si>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</si>
  <si>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</si>
  <si>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</si>
  <si>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</si>
  <si>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</si>
  <si>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</si>
  <si>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</si>
  <si>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</si>
  <si>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</si>
  <si>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</si>
  <si>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</si>
  <si>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</si>
  <si>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</si>
  <si>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</si>
  <si>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</si>
  <si>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</si>
  <si>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</si>
  <si>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</si>
  <si>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</si>
  <si>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</si>
  <si>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</si>
  <si>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</si>
  <si>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</si>
  <si>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</si>
  <si>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</si>
  <si>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</si>
  <si>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</si>
  <si>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</si>
  <si>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</si>
  <si>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</si>
  <si>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</si>
  <si>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</si>
  <si>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</si>
  <si>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</si>
  <si>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</si>
  <si>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</si>
  <si>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</si>
  <si>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</si>
  <si>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</si>
  <si>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</si>
  <si>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</si>
  <si>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</si>
  <si>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</si>
  <si>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</si>
  <si>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</si>
  <si>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</si>
  <si>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</si>
  <si>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</si>
  <si>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</si>
  <si>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</si>
  <si>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</si>
  <si>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</si>
  <si>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</si>
  <si>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</si>
  <si>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</si>
  <si>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</si>
  <si>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</si>
  <si>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</si>
  <si>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</si>
  <si>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</si>
  <si>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</si>
  <si>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</si>
  <si>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</si>
  <si>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</si>
  <si>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</si>
  <si>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</si>
  <si>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</si>
  <si>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</si>
  <si>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</si>
  <si>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</si>
  <si>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</si>
  <si>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</si>
  <si>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</si>
  <si>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</si>
  <si>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</si>
  <si>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</si>
  <si>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</si>
  <si>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</si>
  <si>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</si>
  <si>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</si>
  <si>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</si>
  <si>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</si>
  <si>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</si>
  <si>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</si>
  <si>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</si>
  <si>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</si>
  <si>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</si>
  <si>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</si>
  <si>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</si>
  <si>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</si>
  <si>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</si>
  <si>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</si>
  <si>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</si>
  <si>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</si>
  <si>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</si>
  <si>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</si>
  <si>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</si>
  <si>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</si>
  <si>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</si>
  <si>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</si>
  <si>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</si>
  <si>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</si>
  <si>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</si>
  <si>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</si>
  <si>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</si>
  <si>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</si>
  <si>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</si>
  <si>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</si>
  <si>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</si>
  <si>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</si>
  <si>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</si>
  <si>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</si>
  <si>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</si>
  <si>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</si>
  <si>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</si>
  <si>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</si>
  <si>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</si>
  <si>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</si>
  <si>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</si>
  <si>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</si>
  <si>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</si>
  <si>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</si>
  <si>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</si>
  <si>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</si>
  <si>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</si>
  <si>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</si>
  <si>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</si>
  <si>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</si>
  <si>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</si>
  <si>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</si>
  <si>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</si>
  <si>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</si>
  <si>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</si>
  <si>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</si>
  <si>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</si>
  <si>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</si>
  <si>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</si>
  <si>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</si>
  <si>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</si>
  <si>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</si>
  <si>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</si>
  <si>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</si>
  <si>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</si>
  <si>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</si>
  <si>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</si>
  <si>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</si>
  <si>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</si>
  <si>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</si>
  <si>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</si>
  <si>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</si>
  <si>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</si>
  <si>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</si>
  <si>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</si>
  <si>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</si>
  <si>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</si>
  <si>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</si>
  <si>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</si>
  <si>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</si>
  <si>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</si>
  <si>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</si>
  <si>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</si>
  <si>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</si>
  <si>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</si>
  <si>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</si>
  <si>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</si>
  <si>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</si>
  <si>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</si>
  <si>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</si>
  <si>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</si>
  <si>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</si>
  <si>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</si>
  <si>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</si>
  <si>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</si>
  <si>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</si>
  <si>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</si>
  <si>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</si>
  <si>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</si>
  <si>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</si>
  <si>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</si>
  <si>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</si>
  <si>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</si>
  <si>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</si>
  <si>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</si>
  <si>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</si>
  <si>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</si>
  <si>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</si>
  <si>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</si>
  <si>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</si>
  <si>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</si>
  <si>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</si>
  <si>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</si>
  <si>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</si>
  <si>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</si>
  <si>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</si>
  <si>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</si>
  <si>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</si>
  <si>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</si>
  <si>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</si>
  <si>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</si>
  <si>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</si>
  <si>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26/04</t>
  </si>
  <si>
    <t>ĐH Phú Xuân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</si>
</sst>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4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7" sqref="G17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8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87"/>
      <c r="E1" s="72"/>
      <c r="F1" s="41"/>
      <c r="G1" s="41"/>
    </row>
    <row r="2" spans="1:8" ht="18.75" x14ac:dyDescent="0.3">
      <c r="A2" s="129" t="s">
        <v>166</v>
      </c>
      <c r="B2" s="129"/>
      <c r="C2" s="129"/>
      <c r="D2" s="129"/>
      <c r="E2" s="129"/>
      <c r="F2" s="129"/>
      <c r="G2" s="41"/>
    </row>
    <row r="3" spans="1:8" x14ac:dyDescent="0.25">
      <c r="B3" s="75" t="s">
        <v>167</v>
      </c>
      <c r="C3" s="76">
        <f ca="1">MONTH(TODAY())</f>
        <v>8</v>
      </c>
      <c r="D3" s="87"/>
      <c r="E3" s="73" t="s">
        <v>168</v>
      </c>
      <c r="G3" t="s">
        <v>230</v>
      </c>
      <c r="H3" s="77">
        <f ca="1">TODAY()</f>
        <v>42972</v>
      </c>
    </row>
    <row r="5" spans="1:8" ht="17.25" x14ac:dyDescent="0.3">
      <c r="A5" s="89" t="s">
        <v>6</v>
      </c>
      <c r="B5" s="89" t="s">
        <v>5</v>
      </c>
      <c r="C5" s="89" t="s">
        <v>164</v>
      </c>
      <c r="D5" s="90" t="s">
        <v>139</v>
      </c>
      <c r="E5" s="91" t="s">
        <v>165</v>
      </c>
      <c r="F5" s="89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1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85">
        <v>4</v>
      </c>
      <c r="B9" s="85" t="s">
        <v>59</v>
      </c>
      <c r="C9" s="85" t="s">
        <v>155</v>
      </c>
      <c r="D9" s="86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35668</v>
      </c>
      <c r="E10" s="74">
        <f ca="1">IF(D10="","",DATE(YEAR(TODAY()),MONTH(D10),DAY(D10)))</f>
        <v>42973</v>
      </c>
      <c r="F10" s="42" t="str">
        <f t="shared" ca="1" si="1"/>
        <v>Chuẩn bị tổ chức</v>
      </c>
      <c r="G10" t="s">
        <v>296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100">
        <v>10</v>
      </c>
      <c r="B15" s="100" t="s">
        <v>135</v>
      </c>
      <c r="C15" s="100" t="s">
        <v>155</v>
      </c>
      <c r="D15" s="101">
        <v>35414</v>
      </c>
      <c r="E15" s="101">
        <f t="shared" ca="1" si="0"/>
        <v>43084</v>
      </c>
      <c r="F15" s="100" t="str">
        <f t="shared" ca="1" si="1"/>
        <v/>
      </c>
    </row>
    <row r="16" spans="1:8" ht="18" thickTop="1" x14ac:dyDescent="0.3">
      <c r="A16" s="95">
        <v>11</v>
      </c>
      <c r="B16" s="95" t="s">
        <v>111</v>
      </c>
      <c r="C16" s="95" t="s">
        <v>150</v>
      </c>
      <c r="D16" s="96">
        <v>35096</v>
      </c>
      <c r="E16" s="96">
        <f t="shared" ca="1" si="0"/>
        <v>42767</v>
      </c>
      <c r="F16" s="95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85">
        <v>13</v>
      </c>
      <c r="B18" s="85" t="s">
        <v>58</v>
      </c>
      <c r="C18" s="85" t="s">
        <v>150</v>
      </c>
      <c r="D18" s="86">
        <v>35318</v>
      </c>
      <c r="E18" s="74">
        <f t="shared" ca="1" si="0"/>
        <v>42988</v>
      </c>
      <c r="F18" s="42" t="str">
        <f t="shared" ca="1" si="1"/>
        <v/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100">
        <v>17</v>
      </c>
      <c r="B22" s="102" t="s">
        <v>113</v>
      </c>
      <c r="C22" s="100" t="s">
        <v>150</v>
      </c>
      <c r="D22" s="101">
        <v>35166</v>
      </c>
      <c r="E22" s="101">
        <f ca="1">IF(D22="","",DATE(YEAR(TODAY()),MONTH(D22),DAY(D22)))</f>
        <v>42836</v>
      </c>
      <c r="F22" s="100" t="str">
        <f t="shared" ca="1" si="1"/>
        <v>Đã xong</v>
      </c>
    </row>
    <row r="23" spans="1:6" ht="18" thickTop="1" x14ac:dyDescent="0.3">
      <c r="A23" s="97">
        <v>18</v>
      </c>
      <c r="B23" s="95" t="s">
        <v>174</v>
      </c>
      <c r="C23" s="97" t="s">
        <v>177</v>
      </c>
      <c r="D23" s="98">
        <v>35376</v>
      </c>
      <c r="E23" s="96">
        <f t="shared" ref="E23:E24" ca="1" si="2">IF(D23="","",DATE(YEAR(TODAY()),MONTH(D23),DAY(D23)))</f>
        <v>43046</v>
      </c>
      <c r="F23" s="95" t="str">
        <f t="shared" ca="1" si="1"/>
        <v/>
      </c>
    </row>
    <row r="24" spans="1:6" ht="17.25" x14ac:dyDescent="0.3">
      <c r="A24" s="85">
        <v>19</v>
      </c>
      <c r="B24" s="42" t="s">
        <v>188</v>
      </c>
      <c r="C24" s="85" t="s">
        <v>177</v>
      </c>
      <c r="D24" s="92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85">
        <v>20</v>
      </c>
      <c r="B25" s="42" t="s">
        <v>191</v>
      </c>
      <c r="C25" s="85" t="s">
        <v>177</v>
      </c>
      <c r="D25" s="92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85">
        <v>21</v>
      </c>
      <c r="B26" s="42" t="s">
        <v>193</v>
      </c>
      <c r="C26" s="85" t="s">
        <v>177</v>
      </c>
      <c r="D26" s="92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85">
        <v>22</v>
      </c>
      <c r="B27" s="42" t="s">
        <v>195</v>
      </c>
      <c r="C27" s="85" t="s">
        <v>177</v>
      </c>
      <c r="D27" s="92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85">
        <v>23</v>
      </c>
      <c r="B28" s="42" t="s">
        <v>201</v>
      </c>
      <c r="C28" s="85" t="s">
        <v>177</v>
      </c>
      <c r="D28" s="92">
        <v>35695</v>
      </c>
      <c r="E28" s="74">
        <f t="shared" ca="1" si="3"/>
        <v>43000</v>
      </c>
      <c r="F28" s="42" t="str">
        <f t="shared" ca="1" si="1"/>
        <v/>
      </c>
    </row>
    <row r="29" spans="1:6" ht="17.25" x14ac:dyDescent="0.3">
      <c r="A29" s="85">
        <v>24</v>
      </c>
      <c r="B29" s="42" t="s">
        <v>205</v>
      </c>
      <c r="C29" s="85" t="s">
        <v>177</v>
      </c>
      <c r="D29" s="92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85">
        <v>25</v>
      </c>
      <c r="B30" s="42" t="s">
        <v>206</v>
      </c>
      <c r="C30" s="85" t="s">
        <v>177</v>
      </c>
      <c r="D30" s="92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85">
        <v>26</v>
      </c>
      <c r="B31" s="42" t="s">
        <v>208</v>
      </c>
      <c r="C31" s="85" t="s">
        <v>177</v>
      </c>
      <c r="D31" s="92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85">
        <v>27</v>
      </c>
      <c r="B32" s="42" t="s">
        <v>209</v>
      </c>
      <c r="C32" s="85" t="s">
        <v>177</v>
      </c>
      <c r="D32" s="92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85">
        <v>28</v>
      </c>
      <c r="B33" s="42" t="s">
        <v>210</v>
      </c>
      <c r="C33" s="85" t="s">
        <v>177</v>
      </c>
      <c r="D33" s="92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85">
        <v>29</v>
      </c>
      <c r="B34" s="93" t="s">
        <v>63</v>
      </c>
      <c r="C34" s="85" t="s">
        <v>177</v>
      </c>
      <c r="D34" s="94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85">
        <v>30</v>
      </c>
      <c r="B35" s="42" t="s">
        <v>213</v>
      </c>
      <c r="C35" s="85" t="s">
        <v>177</v>
      </c>
      <c r="D35" s="92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85">
        <v>31</v>
      </c>
      <c r="B36" s="42" t="s">
        <v>223</v>
      </c>
      <c r="C36" s="85" t="s">
        <v>177</v>
      </c>
      <c r="D36" s="92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85">
        <v>32</v>
      </c>
      <c r="B37" s="42" t="s">
        <v>225</v>
      </c>
      <c r="C37" s="85" t="s">
        <v>177</v>
      </c>
      <c r="D37" s="92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85">
        <v>33</v>
      </c>
      <c r="B38" s="42" t="s">
        <v>228</v>
      </c>
      <c r="C38" s="85" t="s">
        <v>177</v>
      </c>
      <c r="D38" s="92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85">
        <v>34</v>
      </c>
      <c r="B39" s="42" t="s">
        <v>229</v>
      </c>
      <c r="C39" s="85" t="s">
        <v>177</v>
      </c>
      <c r="D39" s="92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85">
        <v>35</v>
      </c>
      <c r="B40" s="42" t="s">
        <v>231</v>
      </c>
      <c r="C40" s="85" t="s">
        <v>177</v>
      </c>
      <c r="D40" s="92">
        <v>34581</v>
      </c>
      <c r="E40" s="117">
        <f t="shared" ca="1" si="3"/>
        <v>42982</v>
      </c>
      <c r="F40" s="42" t="str">
        <f t="shared" ca="1" si="1"/>
        <v/>
      </c>
    </row>
    <row r="41" spans="1:6" ht="18" thickBot="1" x14ac:dyDescent="0.35">
      <c r="A41" s="99">
        <v>36</v>
      </c>
      <c r="B41" s="100" t="s">
        <v>252</v>
      </c>
      <c r="C41" s="99" t="s">
        <v>177</v>
      </c>
      <c r="D41" s="119">
        <v>35400</v>
      </c>
      <c r="E41" s="118">
        <f t="shared" ca="1" si="3"/>
        <v>43070</v>
      </c>
      <c r="F41" s="100" t="str">
        <f t="shared" ca="1" si="1"/>
        <v/>
      </c>
    </row>
    <row r="42" spans="1:6" ht="18" thickTop="1" x14ac:dyDescent="0.3">
      <c r="A42" s="104">
        <v>37</v>
      </c>
      <c r="B42" s="111" t="s">
        <v>196</v>
      </c>
      <c r="C42" s="112" t="s">
        <v>179</v>
      </c>
      <c r="D42" s="113"/>
      <c r="E42" s="120" t="str">
        <f t="shared" ca="1" si="3"/>
        <v/>
      </c>
      <c r="F42" s="95" t="str">
        <f t="shared" ca="1" si="1"/>
        <v/>
      </c>
    </row>
    <row r="43" spans="1:6" ht="17.25" x14ac:dyDescent="0.3">
      <c r="A43" s="104">
        <v>38</v>
      </c>
      <c r="B43" s="108" t="s">
        <v>198</v>
      </c>
      <c r="C43" s="109" t="s">
        <v>179</v>
      </c>
      <c r="D43" s="110"/>
      <c r="E43" s="110" t="str">
        <f t="shared" ca="1" si="3"/>
        <v/>
      </c>
      <c r="F43" s="42" t="str">
        <f t="shared" ca="1" si="1"/>
        <v/>
      </c>
    </row>
    <row r="44" spans="1:6" ht="17.25" x14ac:dyDescent="0.3">
      <c r="A44" s="105">
        <v>39</v>
      </c>
      <c r="B44" s="108" t="s">
        <v>199</v>
      </c>
      <c r="C44" s="109" t="s">
        <v>179</v>
      </c>
      <c r="D44" s="110">
        <v>34836</v>
      </c>
      <c r="E44" s="110">
        <f t="shared" ca="1" si="3"/>
        <v>42872</v>
      </c>
      <c r="F44" s="42" t="str">
        <f t="shared" ca="1" si="1"/>
        <v>Đã xong</v>
      </c>
    </row>
    <row r="45" spans="1:6" ht="17.25" x14ac:dyDescent="0.3">
      <c r="A45" s="103">
        <v>40</v>
      </c>
      <c r="B45" s="108" t="s">
        <v>203</v>
      </c>
      <c r="C45" s="109" t="s">
        <v>179</v>
      </c>
      <c r="D45" s="110">
        <v>35318</v>
      </c>
      <c r="E45" s="110">
        <f t="shared" ca="1" si="3"/>
        <v>42988</v>
      </c>
      <c r="F45" s="42" t="str">
        <f t="shared" ca="1" si="1"/>
        <v/>
      </c>
    </row>
    <row r="46" spans="1:6" ht="17.25" x14ac:dyDescent="0.3">
      <c r="A46" s="106">
        <v>41</v>
      </c>
      <c r="B46" s="108" t="s">
        <v>232</v>
      </c>
      <c r="C46" s="109" t="s">
        <v>179</v>
      </c>
      <c r="D46" s="110">
        <v>34841</v>
      </c>
      <c r="E46" s="110">
        <f t="shared" ca="1" si="3"/>
        <v>42877</v>
      </c>
      <c r="F46" s="42" t="str">
        <f t="shared" ca="1" si="1"/>
        <v>Đã xong</v>
      </c>
    </row>
    <row r="47" spans="1:6" ht="17.25" x14ac:dyDescent="0.3">
      <c r="A47" s="104">
        <v>42</v>
      </c>
      <c r="B47" s="108" t="s">
        <v>233</v>
      </c>
      <c r="C47" s="109" t="s">
        <v>179</v>
      </c>
      <c r="D47" s="110">
        <v>35146</v>
      </c>
      <c r="E47" s="110">
        <f t="shared" ca="1" si="3"/>
        <v>42816</v>
      </c>
      <c r="F47" s="42" t="str">
        <f t="shared" ca="1" si="1"/>
        <v>Đã xong</v>
      </c>
    </row>
    <row r="48" spans="1:6" ht="17.25" x14ac:dyDescent="0.3">
      <c r="A48" s="104">
        <v>43</v>
      </c>
      <c r="B48" s="109" t="s">
        <v>234</v>
      </c>
      <c r="C48" s="109" t="s">
        <v>179</v>
      </c>
      <c r="D48" s="110">
        <v>35694</v>
      </c>
      <c r="E48" s="110">
        <f t="shared" ca="1" si="3"/>
        <v>42999</v>
      </c>
      <c r="F48" s="42" t="str">
        <f t="shared" ca="1" si="1"/>
        <v/>
      </c>
    </row>
    <row r="49" spans="1:6" ht="18" thickBot="1" x14ac:dyDescent="0.35">
      <c r="A49" s="107">
        <v>44</v>
      </c>
      <c r="B49" s="114" t="s">
        <v>235</v>
      </c>
      <c r="C49" s="115" t="s">
        <v>179</v>
      </c>
      <c r="D49" s="116"/>
      <c r="E49" s="118" t="str">
        <f t="shared" ca="1" si="3"/>
        <v/>
      </c>
      <c r="F49" s="100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36" t="s">
        <v>6</v>
      </c>
      <c r="B3" s="136" t="s">
        <v>5</v>
      </c>
      <c r="C3" s="24"/>
      <c r="D3" s="24"/>
      <c r="E3" s="24"/>
      <c r="F3" s="24"/>
      <c r="G3" s="138"/>
      <c r="H3" s="138"/>
      <c r="I3" s="138"/>
      <c r="J3" s="133"/>
      <c r="K3" s="134"/>
      <c r="L3" s="135"/>
      <c r="M3" s="133"/>
      <c r="N3" s="134"/>
      <c r="O3" s="135"/>
      <c r="P3" s="133"/>
      <c r="Q3" s="134"/>
      <c r="R3" s="135"/>
      <c r="S3" s="133"/>
      <c r="T3" s="134"/>
      <c r="U3" s="135"/>
      <c r="V3" s="133"/>
      <c r="W3" s="134"/>
      <c r="X3" s="135"/>
      <c r="Y3" s="133"/>
      <c r="Z3" s="134"/>
      <c r="AA3" s="135"/>
      <c r="AB3" s="133"/>
      <c r="AC3" s="134"/>
      <c r="AD3" s="135"/>
      <c r="AE3" s="133"/>
      <c r="AF3" s="134"/>
      <c r="AG3" s="135"/>
      <c r="AH3" s="133"/>
      <c r="AI3" s="134"/>
      <c r="AJ3" s="135"/>
      <c r="AK3" s="133"/>
      <c r="AL3" s="134"/>
      <c r="AM3" s="135"/>
      <c r="AN3" s="133"/>
      <c r="AO3" s="134"/>
      <c r="AP3" s="135"/>
      <c r="AQ3" s="133"/>
      <c r="AR3" s="134"/>
      <c r="AS3" s="135"/>
      <c r="AT3" s="133"/>
      <c r="AU3" s="134"/>
      <c r="AV3" s="135"/>
      <c r="AW3" s="133"/>
      <c r="AX3" s="134"/>
      <c r="AY3" s="135"/>
      <c r="AZ3" s="133"/>
      <c r="BA3" s="134"/>
      <c r="BB3" s="135"/>
      <c r="BC3" s="140" t="s">
        <v>116</v>
      </c>
      <c r="BD3" s="141"/>
      <c r="BE3" s="142"/>
      <c r="BF3" s="139">
        <v>42930</v>
      </c>
      <c r="BG3" s="134"/>
      <c r="BH3" s="135"/>
      <c r="BI3" s="133" t="s">
        <v>148</v>
      </c>
      <c r="BJ3" s="134"/>
      <c r="BK3" s="135"/>
      <c r="BL3" s="133" t="s">
        <v>149</v>
      </c>
      <c r="BM3" s="134"/>
      <c r="BN3" s="135"/>
      <c r="BO3" s="133" t="s">
        <v>171</v>
      </c>
      <c r="BP3" s="134"/>
      <c r="BQ3" s="135"/>
      <c r="BR3" s="139">
        <v>42940</v>
      </c>
      <c r="BS3" s="134"/>
      <c r="BT3" s="135"/>
      <c r="BU3" s="139">
        <v>42942</v>
      </c>
      <c r="BV3" s="134"/>
      <c r="BW3" s="135"/>
      <c r="BX3" s="139">
        <v>42944</v>
      </c>
      <c r="BY3" s="134"/>
      <c r="BZ3" s="135"/>
      <c r="CA3" s="139">
        <v>42947</v>
      </c>
      <c r="CB3" s="134"/>
      <c r="CC3" s="135"/>
      <c r="CD3" s="26"/>
    </row>
    <row r="4" spans="1:82" s="17" customFormat="1" ht="21" customHeight="1" x14ac:dyDescent="0.25">
      <c r="A4" s="137"/>
      <c r="B4" s="13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36" t="s">
        <v>6</v>
      </c>
      <c r="B3" s="13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38" t="s">
        <v>31</v>
      </c>
      <c r="H3" s="138"/>
      <c r="I3" s="138"/>
      <c r="J3" s="133" t="s">
        <v>32</v>
      </c>
      <c r="K3" s="134"/>
      <c r="L3" s="135"/>
      <c r="M3" s="133" t="s">
        <v>33</v>
      </c>
      <c r="N3" s="134"/>
      <c r="O3" s="135"/>
      <c r="P3" s="133" t="s">
        <v>34</v>
      </c>
      <c r="Q3" s="134"/>
      <c r="R3" s="135"/>
      <c r="S3" s="133" t="s">
        <v>35</v>
      </c>
      <c r="T3" s="134"/>
      <c r="U3" s="135"/>
      <c r="V3" s="133" t="s">
        <v>36</v>
      </c>
      <c r="W3" s="134"/>
      <c r="X3" s="135"/>
      <c r="Y3" s="133" t="s">
        <v>37</v>
      </c>
      <c r="Z3" s="134"/>
      <c r="AA3" s="135"/>
      <c r="AB3" s="133" t="s">
        <v>38</v>
      </c>
      <c r="AC3" s="134"/>
      <c r="AD3" s="135"/>
      <c r="AE3" s="133" t="s">
        <v>39</v>
      </c>
      <c r="AF3" s="134"/>
      <c r="AG3" s="135"/>
      <c r="AH3" s="133" t="s">
        <v>40</v>
      </c>
      <c r="AI3" s="134"/>
      <c r="AJ3" s="135"/>
      <c r="AK3" s="133" t="s">
        <v>41</v>
      </c>
      <c r="AL3" s="134"/>
      <c r="AM3" s="135"/>
      <c r="AN3" s="133" t="s">
        <v>42</v>
      </c>
      <c r="AO3" s="134"/>
      <c r="AP3" s="135"/>
      <c r="AQ3" s="133" t="s">
        <v>43</v>
      </c>
      <c r="AR3" s="134"/>
      <c r="AS3" s="135"/>
      <c r="AT3" s="133" t="s">
        <v>44</v>
      </c>
      <c r="AU3" s="134"/>
      <c r="AV3" s="135"/>
      <c r="AW3" s="133" t="s">
        <v>45</v>
      </c>
      <c r="AX3" s="134"/>
      <c r="AY3" s="135"/>
      <c r="AZ3" s="133" t="s">
        <v>46</v>
      </c>
      <c r="BA3" s="134"/>
      <c r="BB3" s="135"/>
      <c r="BC3" s="133" t="s">
        <v>47</v>
      </c>
      <c r="BD3" s="134"/>
      <c r="BE3" s="135"/>
      <c r="BF3" s="133" t="s">
        <v>48</v>
      </c>
      <c r="BG3" s="134"/>
      <c r="BH3" s="135"/>
      <c r="BI3" s="133" t="s">
        <v>49</v>
      </c>
      <c r="BJ3" s="134"/>
      <c r="BK3" s="135"/>
      <c r="BL3" s="133"/>
      <c r="BM3" s="134"/>
      <c r="BN3" s="135"/>
      <c r="BO3" s="133"/>
      <c r="BP3" s="134"/>
      <c r="BQ3" s="135"/>
      <c r="BR3" s="133"/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36"/>
      <c r="B4" s="13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I4" activePane="bottomRight" state="frozen"/>
      <selection activeCell="BA9" sqref="BA9"/>
      <selection pane="topRight" activeCell="BA9" sqref="BA9"/>
      <selection pane="bottomLeft" activeCell="BA9" sqref="BA9"/>
      <selection pane="bottomRight" activeCell="M5" sqref="M5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174</v>
      </c>
      <c r="C4" s="83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3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s="128" customFormat="1" ht="21" customHeight="1" x14ac:dyDescent="0.3">
      <c r="A8" s="121">
        <v>5</v>
      </c>
      <c r="B8" s="121" t="s">
        <v>195</v>
      </c>
      <c r="C8" s="122">
        <v>35165</v>
      </c>
      <c r="D8" s="123" t="s">
        <v>278</v>
      </c>
      <c r="E8" s="123" t="s">
        <v>279</v>
      </c>
      <c r="F8" s="124" t="s">
        <v>89</v>
      </c>
      <c r="G8" s="123"/>
      <c r="H8" s="125">
        <v>2100000</v>
      </c>
      <c r="I8" s="126">
        <v>0.3</v>
      </c>
      <c r="J8" s="125">
        <v>1470000</v>
      </c>
      <c r="K8" s="127"/>
      <c r="L8" s="121"/>
      <c r="M8" s="121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3">
        <v>34705</v>
      </c>
      <c r="D10" s="81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81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81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81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81" t="s">
        <v>284</v>
      </c>
      <c r="E14" s="84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82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81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81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81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83">
        <v>35560</v>
      </c>
      <c r="D19" s="81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81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83">
        <v>34433</v>
      </c>
      <c r="D21" s="81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83">
        <v>35076</v>
      </c>
      <c r="D22" s="81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4" sqref="A24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36" t="s">
        <v>6</v>
      </c>
      <c r="B3" s="136" t="s">
        <v>5</v>
      </c>
      <c r="C3" s="67"/>
      <c r="D3" s="67"/>
      <c r="E3" s="67"/>
      <c r="F3" s="67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8"/>
      <c r="AZ3" s="138"/>
      <c r="BA3" s="138"/>
      <c r="BB3" s="138"/>
      <c r="BC3" s="143"/>
      <c r="BD3" s="143"/>
      <c r="BE3" s="143"/>
      <c r="BF3" s="144"/>
      <c r="BG3" s="138"/>
      <c r="BH3" s="138"/>
      <c r="BI3" s="138"/>
      <c r="BJ3" s="138"/>
      <c r="BK3" s="138"/>
      <c r="BL3" s="138"/>
      <c r="BM3" s="138"/>
      <c r="BN3" s="138"/>
      <c r="BO3" s="138"/>
      <c r="BP3" s="138"/>
      <c r="BQ3" s="138"/>
      <c r="BR3" s="144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26"/>
    </row>
    <row r="4" spans="1:82" s="17" customFormat="1" ht="21" customHeight="1" x14ac:dyDescent="0.25">
      <c r="A4" s="136"/>
      <c r="B4" s="136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4" sqref="C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F4" s="1" t="s">
        <v>297</v>
      </c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F5" s="1" t="s">
        <v>297</v>
      </c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autoFilter ref="A3:Z3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tabSelected="1" workbookViewId="0">
      <selection activeCell="BQ12" sqref="BQ12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2" t="s">
        <v>28</v>
      </c>
    </row>
    <row r="3" spans="1:84" s="17" customFormat="1" ht="21" customHeight="1" x14ac:dyDescent="0.25">
      <c r="A3" s="136" t="s">
        <v>6</v>
      </c>
      <c r="B3" s="136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138" t="s">
        <v>31</v>
      </c>
      <c r="H3" s="138"/>
      <c r="I3" s="138"/>
      <c r="J3" s="133" t="s">
        <v>32</v>
      </c>
      <c r="K3" s="134"/>
      <c r="L3" s="135"/>
      <c r="M3" s="133" t="s">
        <v>33</v>
      </c>
      <c r="N3" s="134"/>
      <c r="O3" s="135"/>
      <c r="P3" s="133" t="s">
        <v>34</v>
      </c>
      <c r="Q3" s="134"/>
      <c r="R3" s="135"/>
      <c r="S3" s="133" t="s">
        <v>35</v>
      </c>
      <c r="T3" s="134"/>
      <c r="U3" s="135"/>
      <c r="V3" s="133" t="s">
        <v>36</v>
      </c>
      <c r="W3" s="134"/>
      <c r="X3" s="135"/>
      <c r="Y3" s="133" t="s">
        <v>37</v>
      </c>
      <c r="Z3" s="134"/>
      <c r="AA3" s="135"/>
      <c r="AB3" s="133" t="s">
        <v>38</v>
      </c>
      <c r="AC3" s="134"/>
      <c r="AD3" s="135"/>
      <c r="AE3" s="133" t="s">
        <v>39</v>
      </c>
      <c r="AF3" s="134"/>
      <c r="AG3" s="135"/>
      <c r="AH3" s="133" t="s">
        <v>40</v>
      </c>
      <c r="AI3" s="134"/>
      <c r="AJ3" s="135"/>
      <c r="AK3" s="133" t="s">
        <v>41</v>
      </c>
      <c r="AL3" s="134"/>
      <c r="AM3" s="135"/>
      <c r="AN3" s="133" t="s">
        <v>42</v>
      </c>
      <c r="AO3" s="134"/>
      <c r="AP3" s="135"/>
      <c r="AQ3" s="133" t="s">
        <v>43</v>
      </c>
      <c r="AR3" s="134"/>
      <c r="AS3" s="135"/>
      <c r="AT3" s="133" t="s">
        <v>44</v>
      </c>
      <c r="AU3" s="134"/>
      <c r="AV3" s="135"/>
      <c r="AW3" s="133" t="s">
        <v>45</v>
      </c>
      <c r="AX3" s="134"/>
      <c r="AY3" s="135"/>
      <c r="AZ3" s="133" t="s">
        <v>46</v>
      </c>
      <c r="BA3" s="134"/>
      <c r="BB3" s="135"/>
      <c r="BC3" s="133" t="s">
        <v>47</v>
      </c>
      <c r="BD3" s="134"/>
      <c r="BE3" s="135"/>
      <c r="BF3" s="133" t="s">
        <v>48</v>
      </c>
      <c r="BG3" s="134"/>
      <c r="BH3" s="135"/>
      <c r="BI3" s="133" t="s">
        <v>49</v>
      </c>
      <c r="BJ3" s="134"/>
      <c r="BK3" s="135"/>
      <c r="BL3" s="139">
        <v>42970</v>
      </c>
      <c r="BM3" s="134"/>
      <c r="BN3" s="135"/>
      <c r="BO3" s="139">
        <v>42972</v>
      </c>
      <c r="BP3" s="134"/>
      <c r="BQ3" s="135"/>
      <c r="BR3" s="133"/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36"/>
      <c r="B4" s="136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54"/>
      <c r="BM5" s="54"/>
      <c r="BN5" s="54"/>
      <c r="BO5" s="54"/>
      <c r="BP5" s="54"/>
      <c r="BQ5" s="18" t="s">
        <v>0</v>
      </c>
      <c r="BR5" s="54"/>
      <c r="BS5" s="54"/>
      <c r="BT5" s="5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8"/>
      <c r="BM6" s="18"/>
      <c r="BN6" s="18"/>
      <c r="BO6" s="18"/>
      <c r="BP6" s="18"/>
      <c r="BQ6" s="18" t="s">
        <v>0</v>
      </c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54"/>
      <c r="BM7" s="54"/>
      <c r="BN7" s="80" t="s">
        <v>0</v>
      </c>
      <c r="BO7" s="54"/>
      <c r="BP7" s="54"/>
      <c r="BQ7" s="54"/>
      <c r="BR7" s="54"/>
      <c r="BS7" s="5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8" t="s">
        <v>0</v>
      </c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54"/>
      <c r="BM9" s="54"/>
      <c r="BN9" s="80"/>
      <c r="BO9" s="54"/>
      <c r="BP9" s="54"/>
      <c r="BQ9" s="18" t="s">
        <v>0</v>
      </c>
      <c r="BR9" s="54"/>
      <c r="BS9" s="5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54"/>
      <c r="BM10" s="54"/>
      <c r="BN10" s="80"/>
      <c r="BO10" s="54"/>
      <c r="BP10" s="54"/>
      <c r="BQ10" s="54"/>
      <c r="BR10" s="54"/>
      <c r="BS10" s="5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53" t="s">
        <v>0</v>
      </c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1" t="s">
        <v>235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 t="s">
        <v>0</v>
      </c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3:19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3:19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2017-08-25T12:42:02Z</dcterms:modified>
</cp:coreProperties>
</file>