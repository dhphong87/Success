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minimized="1" xWindow="240" yWindow="105" windowWidth="14805" windowHeight="8010" firstSheet="11" activeTab="14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<sst xmlns="http://schemas.openxmlformats.org/spreadsheetml/2006/main" count="2382" uniqueCount="526">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</sst>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0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left"/>
    </xf>
    <xf numFmtId="49" fontId="0" fillId="0" borderId="0" xfId="0" applyNumberFormat="1" applyFont="1" applyFill="1"/>
    <xf numFmtId="49" fontId="0" fillId="0" borderId="0" xfId="0" applyNumberFormat="1" applyFont="1" applyFill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49" fontId="0" fillId="16" borderId="1" xfId="0" applyNumberFormat="1" applyFill="1" applyBorder="1"/>
    <xf numFmtId="0" fontId="0" fillId="0" borderId="19" xfId="0" applyFill="1" applyBorder="1" applyAlignment="1">
      <alignment horizontal="left"/>
    </xf>
    <xf numFmtId="49" fontId="0" fillId="0" borderId="0" xfId="0" quotePrefix="1" applyNumberFormat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5" fillId="2" borderId="1" xfId="1" applyFont="1" applyBorder="1" applyAlignment="1">
      <alignment horizontal="center"/>
    </xf>
    <xf numFmtId="0" fontId="6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topLeftCell="F1" workbookViewId="0">
      <selection activeCell="H17" sqref="H17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60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62" customFormat="1" x14ac:dyDescent="0.25">
      <c r="A5" s="261">
        <v>4</v>
      </c>
      <c r="B5" s="262" t="s">
        <v>195</v>
      </c>
      <c r="F5" s="262" t="s">
        <v>294</v>
      </c>
      <c r="G5" s="262" t="s">
        <v>176</v>
      </c>
      <c r="H5" s="263" t="s">
        <v>296</v>
      </c>
      <c r="I5" s="263" t="s">
        <v>295</v>
      </c>
      <c r="K5" s="264"/>
      <c r="L5" s="264"/>
    </row>
    <row r="6" spans="1:22" s="127" customFormat="1" x14ac:dyDescent="0.25">
      <c r="A6" s="126">
        <v>5</v>
      </c>
      <c r="B6" s="127" t="s">
        <v>210</v>
      </c>
      <c r="C6" s="260" t="s">
        <v>287</v>
      </c>
      <c r="D6" s="265" t="s">
        <v>288</v>
      </c>
      <c r="E6" s="127" t="s">
        <v>289</v>
      </c>
      <c r="G6" s="127" t="s">
        <v>300</v>
      </c>
      <c r="H6" s="260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58" t="s">
        <v>519</v>
      </c>
      <c r="E8" s="22"/>
      <c r="F8" s="22"/>
      <c r="G8" s="22" t="s">
        <v>521</v>
      </c>
      <c r="H8" s="259">
        <v>43437</v>
      </c>
      <c r="I8" s="266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72" t="s">
        <v>165</v>
      </c>
      <c r="B2" s="272"/>
      <c r="C2" s="272"/>
      <c r="D2" s="272"/>
      <c r="E2" s="272"/>
      <c r="F2" s="272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43171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Trong tháng có SN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Trong tháng có SN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74" t="s">
        <v>7</v>
      </c>
      <c r="K2" s="274"/>
      <c r="L2" s="274"/>
      <c r="M2" s="274"/>
      <c r="N2" s="275" t="s">
        <v>8</v>
      </c>
      <c r="O2" s="275"/>
      <c r="P2" s="275"/>
      <c r="Q2" s="276" t="s">
        <v>9</v>
      </c>
      <c r="R2" s="276" t="s">
        <v>10</v>
      </c>
      <c r="S2" s="276" t="s">
        <v>11</v>
      </c>
      <c r="T2" s="276" t="s">
        <v>12</v>
      </c>
      <c r="U2" s="27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6"/>
      <c r="R3" s="276"/>
      <c r="S3" s="276"/>
      <c r="T3" s="276"/>
      <c r="U3" s="273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0" t="s">
        <v>6</v>
      </c>
      <c r="B3" s="280" t="s">
        <v>5</v>
      </c>
      <c r="C3" s="24"/>
      <c r="D3" s="24"/>
      <c r="E3" s="24"/>
      <c r="F3" s="24"/>
      <c r="G3" s="282"/>
      <c r="H3" s="282"/>
      <c r="I3" s="282"/>
      <c r="J3" s="277"/>
      <c r="K3" s="278"/>
      <c r="L3" s="279"/>
      <c r="M3" s="277"/>
      <c r="N3" s="278"/>
      <c r="O3" s="279"/>
      <c r="P3" s="277"/>
      <c r="Q3" s="278"/>
      <c r="R3" s="279"/>
      <c r="S3" s="277"/>
      <c r="T3" s="278"/>
      <c r="U3" s="279"/>
      <c r="V3" s="277"/>
      <c r="W3" s="278"/>
      <c r="X3" s="279"/>
      <c r="Y3" s="277"/>
      <c r="Z3" s="278"/>
      <c r="AA3" s="279"/>
      <c r="AB3" s="277"/>
      <c r="AC3" s="278"/>
      <c r="AD3" s="279"/>
      <c r="AE3" s="277"/>
      <c r="AF3" s="278"/>
      <c r="AG3" s="279"/>
      <c r="AH3" s="277"/>
      <c r="AI3" s="278"/>
      <c r="AJ3" s="279"/>
      <c r="AK3" s="277"/>
      <c r="AL3" s="278"/>
      <c r="AM3" s="279"/>
      <c r="AN3" s="277"/>
      <c r="AO3" s="278"/>
      <c r="AP3" s="279"/>
      <c r="AQ3" s="277"/>
      <c r="AR3" s="278"/>
      <c r="AS3" s="279"/>
      <c r="AT3" s="277"/>
      <c r="AU3" s="278"/>
      <c r="AV3" s="279"/>
      <c r="AW3" s="277"/>
      <c r="AX3" s="278"/>
      <c r="AY3" s="279"/>
      <c r="AZ3" s="277"/>
      <c r="BA3" s="278"/>
      <c r="BB3" s="279"/>
      <c r="BC3" s="284" t="s">
        <v>116</v>
      </c>
      <c r="BD3" s="285"/>
      <c r="BE3" s="286"/>
      <c r="BF3" s="283">
        <v>42930</v>
      </c>
      <c r="BG3" s="278"/>
      <c r="BH3" s="279"/>
      <c r="BI3" s="277" t="s">
        <v>147</v>
      </c>
      <c r="BJ3" s="278"/>
      <c r="BK3" s="279"/>
      <c r="BL3" s="277" t="s">
        <v>148</v>
      </c>
      <c r="BM3" s="278"/>
      <c r="BN3" s="279"/>
      <c r="BO3" s="277" t="s">
        <v>170</v>
      </c>
      <c r="BP3" s="278"/>
      <c r="BQ3" s="279"/>
      <c r="BR3" s="283">
        <v>42940</v>
      </c>
      <c r="BS3" s="278"/>
      <c r="BT3" s="279"/>
      <c r="BU3" s="283">
        <v>42942</v>
      </c>
      <c r="BV3" s="278"/>
      <c r="BW3" s="279"/>
      <c r="BX3" s="283">
        <v>42944</v>
      </c>
      <c r="BY3" s="278"/>
      <c r="BZ3" s="279"/>
      <c r="CA3" s="283">
        <v>42947</v>
      </c>
      <c r="CB3" s="278"/>
      <c r="CC3" s="279"/>
      <c r="CD3" s="26"/>
    </row>
    <row r="4" spans="1:82" s="17" customFormat="1" ht="21" customHeight="1" x14ac:dyDescent="0.25">
      <c r="A4" s="281"/>
      <c r="B4" s="28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74" t="s">
        <v>7</v>
      </c>
      <c r="K2" s="274"/>
      <c r="L2" s="274"/>
      <c r="M2" s="274"/>
      <c r="N2" s="275" t="s">
        <v>8</v>
      </c>
      <c r="O2" s="275"/>
      <c r="P2" s="275"/>
      <c r="Q2" s="276" t="s">
        <v>9</v>
      </c>
      <c r="R2" s="276" t="s">
        <v>10</v>
      </c>
      <c r="S2" s="276" t="s">
        <v>11</v>
      </c>
      <c r="T2" s="276" t="s">
        <v>12</v>
      </c>
      <c r="U2" s="27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6"/>
      <c r="R3" s="276"/>
      <c r="S3" s="276"/>
      <c r="T3" s="276"/>
      <c r="U3" s="273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80" t="s">
        <v>6</v>
      </c>
      <c r="B3" s="28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82" t="s">
        <v>31</v>
      </c>
      <c r="H3" s="282"/>
      <c r="I3" s="282"/>
      <c r="J3" s="277" t="s">
        <v>32</v>
      </c>
      <c r="K3" s="278"/>
      <c r="L3" s="279"/>
      <c r="M3" s="277" t="s">
        <v>33</v>
      </c>
      <c r="N3" s="278"/>
      <c r="O3" s="279"/>
      <c r="P3" s="277" t="s">
        <v>34</v>
      </c>
      <c r="Q3" s="278"/>
      <c r="R3" s="279"/>
      <c r="S3" s="277" t="s">
        <v>35</v>
      </c>
      <c r="T3" s="278"/>
      <c r="U3" s="279"/>
      <c r="V3" s="277" t="s">
        <v>36</v>
      </c>
      <c r="W3" s="278"/>
      <c r="X3" s="279"/>
      <c r="Y3" s="277" t="s">
        <v>37</v>
      </c>
      <c r="Z3" s="278"/>
      <c r="AA3" s="279"/>
      <c r="AB3" s="277" t="s">
        <v>38</v>
      </c>
      <c r="AC3" s="278"/>
      <c r="AD3" s="279"/>
      <c r="AE3" s="277" t="s">
        <v>39</v>
      </c>
      <c r="AF3" s="278"/>
      <c r="AG3" s="279"/>
      <c r="AH3" s="277" t="s">
        <v>40</v>
      </c>
      <c r="AI3" s="278"/>
      <c r="AJ3" s="279"/>
      <c r="AK3" s="277" t="s">
        <v>41</v>
      </c>
      <c r="AL3" s="278"/>
      <c r="AM3" s="279"/>
      <c r="AN3" s="277" t="s">
        <v>42</v>
      </c>
      <c r="AO3" s="278"/>
      <c r="AP3" s="279"/>
      <c r="AQ3" s="277" t="s">
        <v>43</v>
      </c>
      <c r="AR3" s="278"/>
      <c r="AS3" s="279"/>
      <c r="AT3" s="277" t="s">
        <v>44</v>
      </c>
      <c r="AU3" s="278"/>
      <c r="AV3" s="279"/>
      <c r="AW3" s="277" t="s">
        <v>45</v>
      </c>
      <c r="AX3" s="278"/>
      <c r="AY3" s="279"/>
      <c r="AZ3" s="277" t="s">
        <v>46</v>
      </c>
      <c r="BA3" s="278"/>
      <c r="BB3" s="279"/>
      <c r="BC3" s="277" t="s">
        <v>47</v>
      </c>
      <c r="BD3" s="278"/>
      <c r="BE3" s="279"/>
      <c r="BF3" s="277" t="s">
        <v>48</v>
      </c>
      <c r="BG3" s="278"/>
      <c r="BH3" s="279"/>
      <c r="BI3" s="277" t="s">
        <v>49</v>
      </c>
      <c r="BJ3" s="278"/>
      <c r="BK3" s="279"/>
      <c r="BL3" s="277"/>
      <c r="BM3" s="278"/>
      <c r="BN3" s="279"/>
      <c r="BO3" s="277"/>
      <c r="BP3" s="278"/>
      <c r="BQ3" s="279"/>
      <c r="BR3" s="277"/>
      <c r="BS3" s="278"/>
      <c r="BT3" s="27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80"/>
      <c r="B4" s="28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288" t="s">
        <v>7</v>
      </c>
      <c r="P2" s="288"/>
      <c r="Q2" s="288"/>
      <c r="R2" s="288"/>
      <c r="S2" s="289" t="s">
        <v>8</v>
      </c>
      <c r="T2" s="289"/>
      <c r="U2" s="289"/>
      <c r="V2" s="290" t="s">
        <v>9</v>
      </c>
      <c r="W2" s="290" t="s">
        <v>10</v>
      </c>
      <c r="X2" s="290" t="s">
        <v>11</v>
      </c>
      <c r="Y2" s="290" t="s">
        <v>12</v>
      </c>
      <c r="Z2" s="287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290"/>
      <c r="W3" s="290"/>
      <c r="X3" s="290"/>
      <c r="Y3" s="290"/>
      <c r="Z3" s="287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0" t="s">
        <v>6</v>
      </c>
      <c r="B3" s="280" t="s">
        <v>5</v>
      </c>
      <c r="C3" s="61"/>
      <c r="D3" s="61"/>
      <c r="E3" s="61"/>
      <c r="F3" s="61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2"/>
      <c r="AM3" s="282"/>
      <c r="AN3" s="282"/>
      <c r="AO3" s="282"/>
      <c r="AP3" s="282"/>
      <c r="AQ3" s="282"/>
      <c r="AR3" s="282"/>
      <c r="AS3" s="282"/>
      <c r="AT3" s="282"/>
      <c r="AU3" s="282"/>
      <c r="AV3" s="282"/>
      <c r="AW3" s="282"/>
      <c r="AX3" s="282"/>
      <c r="AY3" s="282"/>
      <c r="AZ3" s="282"/>
      <c r="BA3" s="282"/>
      <c r="BB3" s="282"/>
      <c r="BC3" s="291"/>
      <c r="BD3" s="291"/>
      <c r="BE3" s="291"/>
      <c r="BF3" s="292">
        <v>42976</v>
      </c>
      <c r="BG3" s="282"/>
      <c r="BH3" s="282"/>
      <c r="BI3" s="282"/>
      <c r="BJ3" s="282"/>
      <c r="BK3" s="282"/>
      <c r="BL3" s="282"/>
      <c r="BM3" s="282"/>
      <c r="BN3" s="282"/>
      <c r="BO3" s="282"/>
      <c r="BP3" s="282"/>
      <c r="BQ3" s="282"/>
      <c r="BR3" s="292"/>
      <c r="BS3" s="282"/>
      <c r="BT3" s="282"/>
      <c r="BU3" s="282"/>
      <c r="BV3" s="282"/>
      <c r="BW3" s="282"/>
      <c r="BX3" s="282"/>
      <c r="BY3" s="282"/>
      <c r="BZ3" s="282"/>
      <c r="CA3" s="282"/>
      <c r="CB3" s="282"/>
      <c r="CC3" s="282"/>
      <c r="CD3" s="26"/>
    </row>
    <row r="4" spans="1:82" s="17" customFormat="1" ht="21" customHeight="1" x14ac:dyDescent="0.25">
      <c r="A4" s="280"/>
      <c r="B4" s="280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293" t="s">
        <v>224</v>
      </c>
      <c r="C1" s="293"/>
      <c r="D1" s="293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74" t="s">
        <v>7</v>
      </c>
      <c r="O2" s="274"/>
      <c r="P2" s="274"/>
      <c r="Q2" s="274"/>
      <c r="R2" s="275" t="s">
        <v>8</v>
      </c>
      <c r="S2" s="275"/>
      <c r="T2" s="275"/>
      <c r="U2" s="276" t="s">
        <v>9</v>
      </c>
      <c r="V2" s="276" t="s">
        <v>10</v>
      </c>
      <c r="W2" s="276" t="s">
        <v>11</v>
      </c>
      <c r="X2" s="276" t="s">
        <v>12</v>
      </c>
      <c r="Y2" s="273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76"/>
      <c r="V3" s="276"/>
      <c r="W3" s="276"/>
      <c r="X3" s="276"/>
      <c r="Y3" s="273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80" t="s">
        <v>6</v>
      </c>
      <c r="B3" s="280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82" t="s">
        <v>31</v>
      </c>
      <c r="H3" s="282"/>
      <c r="I3" s="282"/>
      <c r="J3" s="277" t="s">
        <v>32</v>
      </c>
      <c r="K3" s="278"/>
      <c r="L3" s="279"/>
      <c r="M3" s="277" t="s">
        <v>33</v>
      </c>
      <c r="N3" s="278"/>
      <c r="O3" s="279"/>
      <c r="P3" s="277" t="s">
        <v>34</v>
      </c>
      <c r="Q3" s="278"/>
      <c r="R3" s="279"/>
      <c r="S3" s="277" t="s">
        <v>35</v>
      </c>
      <c r="T3" s="278"/>
      <c r="U3" s="279"/>
      <c r="V3" s="277" t="s">
        <v>36</v>
      </c>
      <c r="W3" s="278"/>
      <c r="X3" s="279"/>
      <c r="Y3" s="277" t="s">
        <v>37</v>
      </c>
      <c r="Z3" s="278"/>
      <c r="AA3" s="279"/>
      <c r="AB3" s="277" t="s">
        <v>38</v>
      </c>
      <c r="AC3" s="278"/>
      <c r="AD3" s="279"/>
      <c r="AE3" s="277" t="s">
        <v>39</v>
      </c>
      <c r="AF3" s="278"/>
      <c r="AG3" s="279"/>
      <c r="AH3" s="277" t="s">
        <v>40</v>
      </c>
      <c r="AI3" s="278"/>
      <c r="AJ3" s="279"/>
      <c r="AK3" s="277" t="s">
        <v>41</v>
      </c>
      <c r="AL3" s="278"/>
      <c r="AM3" s="279"/>
      <c r="AN3" s="277" t="s">
        <v>42</v>
      </c>
      <c r="AO3" s="278"/>
      <c r="AP3" s="279"/>
      <c r="AQ3" s="277" t="s">
        <v>43</v>
      </c>
      <c r="AR3" s="278"/>
      <c r="AS3" s="279"/>
      <c r="AT3" s="277" t="s">
        <v>44</v>
      </c>
      <c r="AU3" s="278"/>
      <c r="AV3" s="279"/>
      <c r="AW3" s="277" t="s">
        <v>45</v>
      </c>
      <c r="AX3" s="278"/>
      <c r="AY3" s="279"/>
      <c r="AZ3" s="277" t="s">
        <v>46</v>
      </c>
      <c r="BA3" s="278"/>
      <c r="BB3" s="279"/>
      <c r="BC3" s="277" t="s">
        <v>47</v>
      </c>
      <c r="BD3" s="278"/>
      <c r="BE3" s="279"/>
      <c r="BF3" s="277" t="s">
        <v>48</v>
      </c>
      <c r="BG3" s="278"/>
      <c r="BH3" s="279"/>
      <c r="BI3" s="277" t="s">
        <v>49</v>
      </c>
      <c r="BJ3" s="278"/>
      <c r="BK3" s="279"/>
      <c r="BL3" s="283">
        <v>42970</v>
      </c>
      <c r="BM3" s="278"/>
      <c r="BN3" s="279"/>
      <c r="BO3" s="283">
        <v>42972</v>
      </c>
      <c r="BP3" s="278"/>
      <c r="BQ3" s="279"/>
      <c r="BR3" s="283">
        <v>42975</v>
      </c>
      <c r="BS3" s="278"/>
      <c r="BT3" s="279"/>
      <c r="BU3" s="283">
        <v>42977</v>
      </c>
      <c r="BV3" s="278"/>
      <c r="BW3" s="279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80"/>
      <c r="B4" s="280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C1" workbookViewId="0">
      <selection activeCell="H7" sqref="H7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97" t="s">
        <v>431</v>
      </c>
      <c r="B1" s="298"/>
      <c r="C1" s="298"/>
      <c r="D1" s="298"/>
      <c r="E1" s="298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98"/>
      <c r="B2" s="298"/>
      <c r="C2" s="298"/>
      <c r="D2" s="298"/>
      <c r="E2" s="298"/>
      <c r="F2" s="221"/>
      <c r="G2" s="221"/>
      <c r="H2" s="49"/>
      <c r="I2" s="49"/>
      <c r="J2" s="229"/>
      <c r="K2" s="299" t="s">
        <v>7</v>
      </c>
      <c r="L2" s="299"/>
      <c r="M2" s="299"/>
      <c r="N2" s="299"/>
      <c r="O2" s="300" t="s">
        <v>8</v>
      </c>
      <c r="P2" s="300"/>
      <c r="Q2" s="300"/>
      <c r="R2" s="295" t="s">
        <v>323</v>
      </c>
      <c r="S2" s="295" t="s">
        <v>324</v>
      </c>
      <c r="T2" s="294" t="s">
        <v>11</v>
      </c>
      <c r="U2" s="294" t="s">
        <v>12</v>
      </c>
      <c r="V2" s="295" t="s">
        <v>325</v>
      </c>
      <c r="W2" s="219"/>
      <c r="X2" s="299" t="s">
        <v>7</v>
      </c>
      <c r="Y2" s="299"/>
      <c r="Z2" s="299"/>
      <c r="AA2" s="299"/>
      <c r="AB2" s="300" t="s">
        <v>8</v>
      </c>
      <c r="AC2" s="300"/>
      <c r="AD2" s="300"/>
      <c r="AE2" s="295" t="s">
        <v>323</v>
      </c>
      <c r="AF2" s="295" t="s">
        <v>324</v>
      </c>
      <c r="AG2" s="294" t="s">
        <v>11</v>
      </c>
      <c r="AH2" s="294" t="s">
        <v>12</v>
      </c>
      <c r="AI2" s="295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4"/>
      <c r="S3" s="294"/>
      <c r="T3" s="294"/>
      <c r="U3" s="294"/>
      <c r="V3" s="294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294"/>
      <c r="AF3" s="294"/>
      <c r="AG3" s="294"/>
      <c r="AH3" s="294"/>
      <c r="AI3" s="294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96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296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296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96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96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96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96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96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96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96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96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96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96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96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96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96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96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96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96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96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88" t="s">
        <v>7</v>
      </c>
      <c r="L2" s="288"/>
      <c r="M2" s="288"/>
      <c r="N2" s="288"/>
      <c r="O2" s="289" t="s">
        <v>8</v>
      </c>
      <c r="P2" s="289"/>
      <c r="Q2" s="289"/>
      <c r="R2" s="290" t="s">
        <v>9</v>
      </c>
      <c r="S2" s="290" t="s">
        <v>10</v>
      </c>
      <c r="T2" s="290" t="s">
        <v>11</v>
      </c>
      <c r="U2" s="290" t="s">
        <v>12</v>
      </c>
      <c r="V2" s="290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290"/>
      <c r="S3" s="290"/>
      <c r="T3" s="290"/>
      <c r="U3" s="290"/>
      <c r="V3" s="290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88" t="s">
        <v>7</v>
      </c>
      <c r="L2" s="288"/>
      <c r="M2" s="288"/>
      <c r="N2" s="288"/>
      <c r="O2" s="289" t="s">
        <v>8</v>
      </c>
      <c r="P2" s="289"/>
      <c r="Q2" s="289"/>
      <c r="R2" s="301" t="s">
        <v>323</v>
      </c>
      <c r="S2" s="301" t="s">
        <v>324</v>
      </c>
      <c r="T2" s="290" t="s">
        <v>11</v>
      </c>
      <c r="U2" s="290" t="s">
        <v>12</v>
      </c>
      <c r="V2" s="301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0"/>
      <c r="S3" s="290"/>
      <c r="T3" s="290"/>
      <c r="U3" s="290"/>
      <c r="V3" s="290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tabSelected="1" workbookViewId="0">
      <selection activeCell="E11" sqref="E11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99" t="s">
        <v>7</v>
      </c>
      <c r="L2" s="299"/>
      <c r="M2" s="299"/>
      <c r="N2" s="299"/>
      <c r="O2" s="300" t="s">
        <v>8</v>
      </c>
      <c r="P2" s="300"/>
      <c r="Q2" s="300"/>
      <c r="R2" s="295" t="s">
        <v>323</v>
      </c>
      <c r="S2" s="295" t="s">
        <v>324</v>
      </c>
      <c r="T2" s="294" t="s">
        <v>11</v>
      </c>
      <c r="U2" s="294" t="s">
        <v>12</v>
      </c>
      <c r="V2" s="295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4"/>
      <c r="S3" s="294"/>
      <c r="T3" s="294"/>
      <c r="U3" s="294"/>
      <c r="V3" s="294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9"/>
  <sheetViews>
    <sheetView workbookViewId="0">
      <selection activeCell="J9" sqref="J9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45" customWidth="1"/>
    <col min="5" max="5" width="8.85546875" bestFit="1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style="60" bestFit="1" customWidth="1"/>
    <col min="10" max="10" width="10.7109375" bestFit="1" customWidth="1"/>
  </cols>
  <sheetData>
    <row r="1" spans="1:22" ht="18.75" x14ac:dyDescent="0.3">
      <c r="A1" s="246"/>
      <c r="B1" s="255" t="s">
        <v>508</v>
      </c>
      <c r="C1" s="256"/>
      <c r="D1" s="257"/>
      <c r="E1" s="221"/>
      <c r="F1" s="221"/>
      <c r="G1" s="221"/>
      <c r="H1" s="246"/>
      <c r="I1" s="246"/>
      <c r="J1" s="21"/>
      <c r="K1" s="246"/>
      <c r="L1" s="246"/>
      <c r="M1" s="246"/>
      <c r="N1" s="246"/>
      <c r="O1" s="246"/>
      <c r="P1" s="246"/>
      <c r="Q1" s="246"/>
      <c r="R1" s="21"/>
      <c r="S1" s="21"/>
      <c r="T1" s="21"/>
      <c r="U1" s="21"/>
      <c r="V1" s="21"/>
    </row>
    <row r="2" spans="1:22" ht="18.75" x14ac:dyDescent="0.3">
      <c r="A2" s="246"/>
      <c r="B2" s="21"/>
      <c r="C2" s="256"/>
      <c r="D2" s="257"/>
      <c r="E2" s="221"/>
      <c r="F2" s="221"/>
      <c r="G2" s="221"/>
      <c r="H2" s="246"/>
      <c r="I2" s="246"/>
      <c r="J2" s="21"/>
      <c r="K2" s="299" t="s">
        <v>7</v>
      </c>
      <c r="L2" s="299"/>
      <c r="M2" s="299"/>
      <c r="N2" s="299"/>
      <c r="O2" s="300" t="s">
        <v>8</v>
      </c>
      <c r="P2" s="300"/>
      <c r="Q2" s="300"/>
      <c r="R2" s="295" t="s">
        <v>323</v>
      </c>
      <c r="S2" s="295" t="s">
        <v>324</v>
      </c>
      <c r="T2" s="294" t="s">
        <v>11</v>
      </c>
      <c r="U2" s="294" t="s">
        <v>12</v>
      </c>
      <c r="V2" s="295" t="s">
        <v>325</v>
      </c>
    </row>
    <row r="3" spans="1:22" s="160" customFormat="1" x14ac:dyDescent="0.25">
      <c r="A3" s="230" t="s">
        <v>6</v>
      </c>
      <c r="B3" s="230" t="s">
        <v>5</v>
      </c>
      <c r="C3" s="231" t="s">
        <v>4</v>
      </c>
      <c r="D3" s="231" t="s">
        <v>3</v>
      </c>
      <c r="E3" s="231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0" t="s">
        <v>1</v>
      </c>
      <c r="K3" s="232" t="s">
        <v>14</v>
      </c>
      <c r="L3" s="233" t="s">
        <v>15</v>
      </c>
      <c r="M3" s="234" t="s">
        <v>16</v>
      </c>
      <c r="N3" s="235" t="s">
        <v>17</v>
      </c>
      <c r="O3" s="236" t="s">
        <v>18</v>
      </c>
      <c r="P3" s="237" t="s">
        <v>19</v>
      </c>
      <c r="Q3" s="238" t="s">
        <v>20</v>
      </c>
      <c r="R3" s="294"/>
      <c r="S3" s="294"/>
      <c r="T3" s="294"/>
      <c r="U3" s="294"/>
      <c r="V3" s="294"/>
    </row>
    <row r="4" spans="1:22" s="210" customFormat="1" x14ac:dyDescent="0.25">
      <c r="A4" s="267">
        <v>1</v>
      </c>
      <c r="B4" s="268" t="s">
        <v>520</v>
      </c>
      <c r="C4" s="268"/>
      <c r="D4" s="269" t="s">
        <v>519</v>
      </c>
      <c r="E4" s="268"/>
      <c r="F4" s="268"/>
      <c r="G4" s="268"/>
      <c r="H4" s="268"/>
      <c r="I4" s="267" t="s">
        <v>309</v>
      </c>
      <c r="J4" s="268"/>
      <c r="K4" s="267">
        <v>4</v>
      </c>
      <c r="L4" s="267">
        <v>11</v>
      </c>
      <c r="M4" s="267">
        <v>4</v>
      </c>
      <c r="N4" s="267">
        <v>8</v>
      </c>
      <c r="O4" s="267">
        <v>15</v>
      </c>
      <c r="P4" s="267">
        <v>4</v>
      </c>
      <c r="Q4" s="267">
        <v>13</v>
      </c>
      <c r="R4" s="267">
        <f>SUM(K4:N4)</f>
        <v>27</v>
      </c>
      <c r="S4" s="267">
        <f>SUM(O4:Q4)</f>
        <v>32</v>
      </c>
      <c r="T4" s="267">
        <v>115</v>
      </c>
      <c r="U4" s="267">
        <v>100</v>
      </c>
      <c r="V4" s="267">
        <f>T4+U4</f>
        <v>215</v>
      </c>
    </row>
    <row r="5" spans="1:22" x14ac:dyDescent="0.25">
      <c r="A5" s="19">
        <v>2</v>
      </c>
      <c r="B5" s="22" t="s">
        <v>509</v>
      </c>
      <c r="C5" s="22"/>
      <c r="D5" s="258" t="s">
        <v>510</v>
      </c>
      <c r="E5" s="22"/>
      <c r="F5" s="22"/>
      <c r="G5" s="22"/>
      <c r="H5" s="22"/>
      <c r="I5" s="19" t="s">
        <v>309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x14ac:dyDescent="0.25">
      <c r="A6" s="19">
        <v>3</v>
      </c>
      <c r="B6" s="253" t="s">
        <v>515</v>
      </c>
      <c r="C6" s="22"/>
      <c r="D6" s="254" t="s">
        <v>517</v>
      </c>
      <c r="E6" s="22"/>
      <c r="F6" s="22"/>
      <c r="G6" s="22"/>
      <c r="H6" s="22"/>
      <c r="I6" s="19" t="s">
        <v>309</v>
      </c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4</v>
      </c>
      <c r="B7" s="253" t="s">
        <v>516</v>
      </c>
      <c r="C7" s="22"/>
      <c r="D7" s="254" t="s">
        <v>518</v>
      </c>
      <c r="E7" s="22"/>
      <c r="F7" s="22"/>
      <c r="G7" s="22"/>
      <c r="H7" s="22"/>
      <c r="I7" s="19" t="s">
        <v>309</v>
      </c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x14ac:dyDescent="0.25">
      <c r="A8" s="60">
        <v>5</v>
      </c>
      <c r="B8" s="270" t="s">
        <v>522</v>
      </c>
      <c r="D8" s="51" t="s">
        <v>523</v>
      </c>
      <c r="I8" s="60" t="s">
        <v>346</v>
      </c>
    </row>
    <row r="9" spans="1:22" x14ac:dyDescent="0.25">
      <c r="A9" s="60">
        <v>6</v>
      </c>
      <c r="B9" s="270" t="s">
        <v>524</v>
      </c>
      <c r="D9" s="271" t="s">
        <v>525</v>
      </c>
      <c r="I9" s="60" t="s">
        <v>309</v>
      </c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7"/>
  <sheetViews>
    <sheetView workbookViewId="0">
      <selection activeCell="D9" sqref="D9"/>
    </sheetView>
  </sheetViews>
  <sheetFormatPr defaultRowHeight="15" x14ac:dyDescent="0.25"/>
  <cols>
    <col min="1" max="1" width="9.140625" style="160"/>
    <col min="2" max="2" width="29.7109375" style="160" customWidth="1"/>
    <col min="3" max="3" width="18.140625" style="160" customWidth="1"/>
    <col min="4" max="4" width="20.85546875" style="160" customWidth="1"/>
    <col min="5" max="5" width="41.28515625" style="160" customWidth="1"/>
    <col min="6" max="6" width="30" style="160" customWidth="1"/>
    <col min="7" max="7" width="19.5703125" style="160" customWidth="1"/>
    <col min="8" max="8" width="13" style="160" customWidth="1"/>
    <col min="9" max="9" width="17.140625" style="160" customWidth="1"/>
    <col min="10" max="16384" width="9.140625" style="160"/>
  </cols>
  <sheetData>
    <row r="1" spans="1:21" ht="18.75" x14ac:dyDescent="0.3">
      <c r="A1" s="241"/>
      <c r="B1" s="168" t="s">
        <v>507</v>
      </c>
      <c r="C1" s="247"/>
      <c r="D1" s="164"/>
      <c r="E1" s="164"/>
      <c r="F1" s="163"/>
      <c r="G1" s="164"/>
      <c r="H1" s="241"/>
      <c r="I1" s="241"/>
      <c r="J1" s="241"/>
      <c r="K1" s="241"/>
      <c r="L1" s="241"/>
      <c r="M1" s="241"/>
      <c r="N1" s="241"/>
      <c r="O1" s="241"/>
      <c r="P1" s="241"/>
    </row>
    <row r="2" spans="1:21" x14ac:dyDescent="0.25">
      <c r="A2" s="241"/>
      <c r="C2" s="247"/>
      <c r="D2" s="163"/>
      <c r="E2" s="164"/>
      <c r="F2" s="163"/>
      <c r="G2" s="164"/>
      <c r="H2" s="241"/>
      <c r="I2" s="241"/>
      <c r="J2" s="304" t="s">
        <v>7</v>
      </c>
      <c r="K2" s="304"/>
      <c r="L2" s="304"/>
      <c r="M2" s="304"/>
      <c r="N2" s="305" t="s">
        <v>8</v>
      </c>
      <c r="O2" s="305"/>
      <c r="P2" s="305"/>
      <c r="Q2" s="302" t="s">
        <v>323</v>
      </c>
      <c r="R2" s="302" t="s">
        <v>324</v>
      </c>
      <c r="S2" s="303" t="s">
        <v>11</v>
      </c>
      <c r="T2" s="303" t="s">
        <v>12</v>
      </c>
      <c r="U2" s="302" t="s">
        <v>325</v>
      </c>
    </row>
    <row r="3" spans="1:21" x14ac:dyDescent="0.25">
      <c r="A3" s="230" t="s">
        <v>6</v>
      </c>
      <c r="B3" s="230" t="s">
        <v>5</v>
      </c>
      <c r="C3" s="239" t="s">
        <v>4</v>
      </c>
      <c r="D3" s="231" t="s">
        <v>3</v>
      </c>
      <c r="E3" s="240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2" t="s">
        <v>14</v>
      </c>
      <c r="K3" s="233" t="s">
        <v>15</v>
      </c>
      <c r="L3" s="234" t="s">
        <v>16</v>
      </c>
      <c r="M3" s="235" t="s">
        <v>17</v>
      </c>
      <c r="N3" s="236" t="s">
        <v>18</v>
      </c>
      <c r="O3" s="237" t="s">
        <v>19</v>
      </c>
      <c r="P3" s="238" t="s">
        <v>20</v>
      </c>
      <c r="Q3" s="303"/>
      <c r="R3" s="303"/>
      <c r="S3" s="303"/>
      <c r="T3" s="303"/>
      <c r="U3" s="303"/>
    </row>
    <row r="4" spans="1:21" x14ac:dyDescent="0.25">
      <c r="A4" s="241">
        <v>1</v>
      </c>
      <c r="B4" s="160" t="s">
        <v>363</v>
      </c>
      <c r="C4" s="242">
        <v>35013</v>
      </c>
      <c r="D4" s="243" t="s">
        <v>393</v>
      </c>
      <c r="E4" s="163" t="s">
        <v>364</v>
      </c>
      <c r="F4" s="163"/>
      <c r="G4" s="164"/>
      <c r="H4" s="241" t="s">
        <v>53</v>
      </c>
      <c r="I4" s="241" t="s">
        <v>451</v>
      </c>
    </row>
    <row r="5" spans="1:21" x14ac:dyDescent="0.25">
      <c r="A5" s="241">
        <v>2</v>
      </c>
      <c r="B5" s="160" t="s">
        <v>334</v>
      </c>
      <c r="C5" s="242">
        <v>34824</v>
      </c>
      <c r="D5" s="163" t="s">
        <v>337</v>
      </c>
      <c r="E5" s="244" t="s">
        <v>335</v>
      </c>
      <c r="F5" s="163"/>
      <c r="G5" s="164"/>
      <c r="H5" s="241" t="s">
        <v>53</v>
      </c>
      <c r="I5" s="241" t="s">
        <v>451</v>
      </c>
    </row>
    <row r="6" spans="1:21" x14ac:dyDescent="0.25">
      <c r="A6" s="241">
        <v>3</v>
      </c>
      <c r="B6" s="160" t="s">
        <v>511</v>
      </c>
      <c r="C6" s="163"/>
      <c r="D6" s="163" t="s">
        <v>512</v>
      </c>
      <c r="E6" s="244" t="s">
        <v>513</v>
      </c>
      <c r="F6" s="163"/>
      <c r="G6" s="164"/>
      <c r="H6" s="241" t="s">
        <v>53</v>
      </c>
      <c r="I6" s="241" t="s">
        <v>514</v>
      </c>
    </row>
    <row r="7" spans="1:21" x14ac:dyDescent="0.25">
      <c r="A7" s="248"/>
      <c r="B7" s="249"/>
      <c r="C7" s="250"/>
      <c r="D7" s="250"/>
      <c r="E7" s="251"/>
      <c r="F7" s="250"/>
      <c r="G7" s="252"/>
      <c r="H7" s="248"/>
      <c r="I7" s="248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2018-03-12T12:33:49Z</dcterms:modified>
</cp:coreProperties>
</file>