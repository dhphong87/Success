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3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<sst xmlns="http://schemas.openxmlformats.org/spreadsheetml/2006/main" count="2127" uniqueCount="443">
  <si>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</si>
  <si>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</si>
  <si>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</si>
  <si>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</si>
  <si>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</si>
  <si>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</si>
  <si>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</si>
  <si>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</si>
  <si>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</si>
  <si>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</si>
  <si>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</si>
  <si>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</si>
  <si>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</si>
  <si>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</si>
  <si>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</si>
  <si>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</si>
  <si>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</si>
  <si>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</si>
  <si>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</si>
  <si>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</si>
  <si>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</si>
  <si>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</si>
  <si>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</si>
  <si>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</si>
  <si>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</si>
  <si>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</si>
  <si>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</si>
  <si>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</si>
  <si>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</si>
  <si>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</si>
  <si>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</si>
  <si>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</si>
  <si>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</si>
  <si>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</si>
  <si>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</si>
  <si>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</si>
  <si>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</si>
  <si>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</si>
  <si>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</si>
  <si>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</si>
  <si>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</si>
  <si>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</si>
  <si>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</si>
  <si>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</si>
  <si>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</si>
  <si>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</si>
  <si>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</si>
  <si>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</si>
  <si>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</si>
  <si>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</si>
  <si>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</si>
  <si>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</si>
  <si>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</si>
  <si>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</si>
  <si>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</si>
  <si>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</si>
  <si>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</si>
  <si>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</si>
  <si>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</si>
  <si>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</si>
  <si>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</si>
  <si>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</si>
  <si>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</si>
  <si>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</si>
  <si>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</si>
  <si>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</si>
  <si>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</si>
  <si>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</si>
  <si>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</si>
  <si>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</si>
  <si>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</si>
  <si>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</si>
  <si>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</si>
  <si>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</si>
  <si>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</si>
  <si>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</si>
  <si>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</si>
  <si>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</si>
  <si>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</si>
  <si>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</si>
  <si>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</si>
  <si>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</si>
  <si>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</si>
  <si>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</si>
  <si>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</si>
  <si>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</si>
  <si>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</si>
  <si>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</si>
  <si>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</si>
  <si>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</si>
  <si>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</si>
  <si>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</si>
  <si>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</si>
  <si>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</si>
  <si>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</si>
  <si>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</si>
  <si>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</si>
  <si>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</si>
  <si>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</si>
  <si>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</si>
  <si>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</si>
  <si>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</si>
  <si>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</si>
  <si>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</si>
  <si>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</si>
  <si>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</si>
  <si>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</si>
  <si>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</si>
  <si>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</si>
  <si>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</si>
  <si>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</si>
  <si>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</si>
  <si>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</si>
  <si>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</si>
  <si>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</si>
  <si>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</si>
  <si>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</si>
  <si>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</si>
  <si>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</si>
  <si>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</si>
  <si>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</si>
  <si>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</si>
  <si>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</si>
  <si>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</si>
  <si>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</si>
  <si>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</si>
  <si>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</si>
  <si>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</si>
  <si>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</si>
  <si>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</si>
  <si>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</si>
  <si>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</si>
  <si>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</si>
  <si>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</si>
  <si>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</si>
  <si>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</si>
  <si>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</si>
  <si>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</si>
  <si>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</si>
  <si>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</si>
  <si>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</si>
  <si>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</si>
  <si>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</si>
  <si>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</si>
  <si>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</si>
  <si>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</si>
  <si>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</si>
  <si>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</si>
  <si>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</si>
  <si>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</si>
  <si>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</si>
  <si>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</si>
  <si>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</si>
  <si>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</si>
  <si>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</si>
  <si>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</si>
  <si>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</si>
  <si>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</si>
  <si>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</si>
  <si>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</si>
  <si>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</si>
  <si>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</si>
  <si>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</si>
  <si>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</si>
  <si>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</si>
  <si>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</si>
  <si>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</si>
  <si>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</si>
  <si>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</si>
  <si>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</si>
  <si>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</si>
  <si>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</si>
  <si>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</si>
  <si>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</si>
  <si>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</si>
  <si>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</si>
  <si>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</si>
  <si>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</si>
  <si>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</si>
  <si>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</si>
  <si>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</si>
  <si>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</si>
  <si>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</si>
  <si>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</si>
  <si>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</si>
  <si>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</si>
  <si>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</si>
  <si>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</si>
  <si>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</si>
  <si>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</si>
  <si>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</si>
  <si>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</si>
  <si>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</si>
  <si>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</si>
  <si>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</si>
  <si>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</si>
  <si>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</si>
  <si>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</si>
  <si>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</si>
  <si>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</si>
  <si>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</si>
  <si>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</si>
  <si>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</si>
  <si>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</si>
  <si>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</si>
  <si>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</si>
  <si>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</si>
  <si>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</si>
  <si>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</si>
  <si>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</si>
  <si>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</si>
  <si>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</si>
  <si>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</si>
  <si>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</si>
  <si>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</si>
  <si>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</si>
  <si>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</si>
  <si>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</si>
  <si>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</si>
  <si>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</si>
  <si>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</si>
  <si>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</si>
  <si>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</si>
  <si>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</si>
  <si>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</si>
  <si>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</si>
  <si>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</si>
  <si>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</si>
  <si>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</si>
  <si>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</si>
  <si>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</si>
  <si>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</si>
  <si>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</si>
  <si>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</si>
  <si>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</si>
  <si>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</si>
  <si>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</si>
  <si>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</si>
  <si>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</si>
  <si>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</si>
  <si>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</si>
  <si>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</si>
  <si>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</si>
  <si>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</si>
  <si>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</si>
  <si>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</si>
  <si>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</si>
  <si>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</si>
  <si>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</si>
  <si>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</si>
  <si>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</si>
  <si>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</si>
  <si>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</si>
  <si>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</si>
  <si>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</si>
  <si>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</si>
  <si>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</si>
  <si>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</si>
  <si>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</si>
  <si>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</si>
  <si>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</si>
  <si>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</si>
  <si>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</si>
  <si>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</si>
  <si>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</si>
  <si>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</si>
  <si>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</si>
  <si>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</si>
  <si>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</si>
  <si>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</si>
  <si>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</si>
  <si>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</si>
  <si>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</si>
  <si>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</si>
  <si>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</si>
  <si>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</si>
  <si>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</si>
  <si>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</si>
  <si>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</si>
  <si>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</si>
  <si>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</si>
  <si>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</si>
  <si>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</si>
  <si>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</si>
  <si>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</si>
  <si>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</si>
  <si>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</si>
  <si>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</si>
  <si>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</si>
  <si>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</si>
  <si>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</si>
  <si>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</si>
  <si>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</si>
  <si>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</si>
  <si>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</si>
  <si>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</si>
  <si>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</si>
  <si>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</si>
  <si>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</si>
  <si>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</si>
  <si>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</si>
  <si>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</si>
  <si>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</si>
  <si>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</si>
  <si>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</si>
  <si>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</si>
  <si>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</si>
  <si>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</si>
  <si>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</si>
  <si>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</si>
  <si>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</si>
  <si>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</si>
  <si>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</si>
  <si>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</si>
  <si>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</si>
  <si>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</si>
  <si>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</si>
  <si>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</si>
  <si>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</si>
  <si>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</si>
  <si>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</si>
  <si>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</si>
  <si>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</si>
  <si>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</si>
  <si>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</si>
  <si>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</si>
  <si>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</si>
  <si>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</si>
  <si>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</si>
  <si>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</si>
  <si>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</si>
  <si>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</si>
  <si>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</si>
  <si>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</si>
  <si>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</si>
  <si>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</si>
  <si>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</si>
  <si>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</si>
  <si>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</si>
  <si>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</si>
  <si>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</si>
  <si>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</si>
  <si>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</si>
  <si>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</si>
  <si>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</si>
  <si>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</si>
  <si>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</si>
  <si>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</si>
  <si>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</si>
  <si>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</si>
  <si>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</si>
  <si>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</si>
  <si>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</si>
  <si>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</si>
  <si>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</si>
  <si>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</si>
  <si>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</si>
  <si>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</si>
  <si>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</si>
  <si>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</si>
  <si>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</si>
  <si>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</si>
  <si>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</si>
  <si>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</si>
  <si>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</si>
  <si>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</si>
  <si>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</si>
  <si>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</si>
  <si>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</si>
  <si>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</si>
  <si>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</si>
  <si>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</si>
  <si>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</si>
  <si>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</si>
  <si>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</si>
  <si>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</si>
  <si>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</si>
  <si>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</si>
  <si>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</si>
  <si>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</si>
  <si>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</si>
  <si>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</si>
  <si>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</si>
  <si>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</si>
  <si>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</si>
  <si>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</si>
  <si>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</si>
  <si>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</si>
  <si>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</si>
  <si>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</si>
  <si>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</si>
  <si>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</si>
  <si>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</si>
  <si>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</si>
  <si>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</si>
  <si>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</si>
  <si>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</si>
  <si>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</si>
  <si>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</si>
  <si>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</si>
  <si>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</si>
  <si>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</si>
  <si>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</si>
  <si>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</si>
  <si>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</si>
  <si>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</si>
  <si>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</si>
  <si>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</si>
  <si>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</si>
  <si>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</si>
  <si>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</si>
  <si>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</si>
  <si>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</si>
  <si>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</si>
  <si>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</si>
  <si>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</si>
  <si>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</si>
  <si>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</si>
  <si>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</si>
  <si>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</si>
  <si>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</si>
  <si>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</si>
  <si>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</si>
  <si>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</si>
  <si>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</si>
  <si>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</si>
  <si>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</si>
  <si>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</si>
  <si>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</si>
  <si>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</si>
  <si>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</si>
  <si>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</si>
  <si>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</si>
  <si>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</si>
  <si>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</si>
  <si>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</si>
  <si>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</si>
  <si>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</si>
  <si>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</si>
  <si>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</si>
  <si>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</si>
  <si>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</si>
  <si>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Khóa TOEIC A K8 (/2017 - /2017)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</si>
</sst>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1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9" fillId="4" borderId="1" xfId="3" applyFont="1" applyBorder="1" applyAlignment="1">
      <alignment horizontal="center"/>
    </xf>
    <xf numFmtId="0" fontId="8" fillId="6" borderId="1" xfId="5" applyFont="1" applyBorder="1" applyAlignment="1">
      <alignment horizontal="center"/>
    </xf>
    <xf numFmtId="0" fontId="9" fillId="3" borderId="1" xfId="2" applyFont="1" applyBorder="1" applyAlignment="1">
      <alignment horizontal="center"/>
    </xf>
    <xf numFmtId="0" fontId="9" fillId="9" borderId="1" xfId="8" applyFont="1" applyBorder="1" applyAlignment="1">
      <alignment horizontal="center"/>
    </xf>
    <xf numFmtId="0" fontId="9" fillId="10" borderId="1" xfId="9" applyFont="1" applyBorder="1" applyAlignment="1">
      <alignment horizontal="center"/>
    </xf>
    <xf numFmtId="0" fontId="8" fillId="11" borderId="1" xfId="10" applyFont="1" applyBorder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8" fillId="8" borderId="0" xfId="7" applyFont="1" applyAlignment="1">
      <alignment horizontal="center" vertical="center" wrapText="1"/>
    </xf>
    <xf numFmtId="0" fontId="0" fillId="0" borderId="0" xfId="0" applyAlignment="1">
      <alignment horizontal="left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B4" sqref="B4:F4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298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300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262</v>
      </c>
      <c r="E4" s="136" t="s">
        <v>261</v>
      </c>
      <c r="F4" s="136" t="s">
        <v>69</v>
      </c>
      <c r="G4" s="137" t="s">
        <v>174</v>
      </c>
      <c r="H4" s="133" t="s">
        <v>293</v>
      </c>
      <c r="I4" s="133" t="s">
        <v>294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295</v>
      </c>
      <c r="G5" s="18" t="s">
        <v>176</v>
      </c>
      <c r="H5" s="138" t="s">
        <v>297</v>
      </c>
      <c r="I5" s="138" t="s">
        <v>296</v>
      </c>
    </row>
    <row r="6" spans="1:10" s="17" customFormat="1" ht="15.75" x14ac:dyDescent="0.25">
      <c r="A6" s="140">
        <v>5</v>
      </c>
      <c r="B6" s="18" t="s">
        <v>210</v>
      </c>
      <c r="C6" s="142" t="s">
        <v>288</v>
      </c>
      <c r="D6" s="141" t="s">
        <v>289</v>
      </c>
      <c r="E6" s="18" t="s">
        <v>290</v>
      </c>
      <c r="F6" s="18"/>
      <c r="G6" s="18" t="s">
        <v>301</v>
      </c>
      <c r="H6" s="18" t="s">
        <v>293</v>
      </c>
      <c r="I6" s="18" t="s">
        <v>299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95" t="s">
        <v>165</v>
      </c>
      <c r="B2" s="195"/>
      <c r="C2" s="195"/>
      <c r="D2" s="195"/>
      <c r="E2" s="195"/>
      <c r="F2" s="195"/>
      <c r="G2" s="38"/>
    </row>
    <row r="3" spans="1:8" x14ac:dyDescent="0.25">
      <c r="B3" s="72" t="s">
        <v>166</v>
      </c>
      <c r="C3" s="73">
        <f ca="1">MONTH(TODAY())</f>
        <v>11</v>
      </c>
      <c r="D3" s="83"/>
      <c r="E3" s="70" t="s">
        <v>167</v>
      </c>
      <c r="G3" t="s">
        <v>227</v>
      </c>
      <c r="H3" s="74">
        <f ca="1">TODAY()</f>
        <v>43057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>Đã xong</v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>Chuẩn bị tổ chức</v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>Đã xong</v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>Đã xong</v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Đã xong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>Đã xong</v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247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D5" sqref="D5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97" t="s">
        <v>7</v>
      </c>
      <c r="K2" s="197"/>
      <c r="L2" s="197"/>
      <c r="M2" s="197"/>
      <c r="N2" s="198" t="s">
        <v>8</v>
      </c>
      <c r="O2" s="198"/>
      <c r="P2" s="198"/>
      <c r="Q2" s="196" t="s">
        <v>9</v>
      </c>
      <c r="R2" s="196" t="s">
        <v>10</v>
      </c>
      <c r="S2" s="196" t="s">
        <v>11</v>
      </c>
      <c r="T2" s="196" t="s">
        <v>12</v>
      </c>
      <c r="U2" s="19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96"/>
      <c r="R3" s="196"/>
      <c r="S3" s="196"/>
      <c r="T3" s="196"/>
      <c r="U3" s="19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02" t="s">
        <v>6</v>
      </c>
      <c r="B3" s="202" t="s">
        <v>5</v>
      </c>
      <c r="C3" s="24"/>
      <c r="D3" s="24"/>
      <c r="E3" s="24"/>
      <c r="F3" s="24"/>
      <c r="G3" s="204"/>
      <c r="H3" s="204"/>
      <c r="I3" s="204"/>
      <c r="J3" s="199"/>
      <c r="K3" s="200"/>
      <c r="L3" s="201"/>
      <c r="M3" s="199"/>
      <c r="N3" s="200"/>
      <c r="O3" s="201"/>
      <c r="P3" s="199"/>
      <c r="Q3" s="200"/>
      <c r="R3" s="201"/>
      <c r="S3" s="199"/>
      <c r="T3" s="200"/>
      <c r="U3" s="201"/>
      <c r="V3" s="199"/>
      <c r="W3" s="200"/>
      <c r="X3" s="201"/>
      <c r="Y3" s="199"/>
      <c r="Z3" s="200"/>
      <c r="AA3" s="201"/>
      <c r="AB3" s="199"/>
      <c r="AC3" s="200"/>
      <c r="AD3" s="201"/>
      <c r="AE3" s="199"/>
      <c r="AF3" s="200"/>
      <c r="AG3" s="201"/>
      <c r="AH3" s="199"/>
      <c r="AI3" s="200"/>
      <c r="AJ3" s="201"/>
      <c r="AK3" s="199"/>
      <c r="AL3" s="200"/>
      <c r="AM3" s="201"/>
      <c r="AN3" s="199"/>
      <c r="AO3" s="200"/>
      <c r="AP3" s="201"/>
      <c r="AQ3" s="199"/>
      <c r="AR3" s="200"/>
      <c r="AS3" s="201"/>
      <c r="AT3" s="199"/>
      <c r="AU3" s="200"/>
      <c r="AV3" s="201"/>
      <c r="AW3" s="199"/>
      <c r="AX3" s="200"/>
      <c r="AY3" s="201"/>
      <c r="AZ3" s="199"/>
      <c r="BA3" s="200"/>
      <c r="BB3" s="201"/>
      <c r="BC3" s="206" t="s">
        <v>116</v>
      </c>
      <c r="BD3" s="207"/>
      <c r="BE3" s="208"/>
      <c r="BF3" s="205">
        <v>42930</v>
      </c>
      <c r="BG3" s="200"/>
      <c r="BH3" s="201"/>
      <c r="BI3" s="199" t="s">
        <v>147</v>
      </c>
      <c r="BJ3" s="200"/>
      <c r="BK3" s="201"/>
      <c r="BL3" s="199" t="s">
        <v>148</v>
      </c>
      <c r="BM3" s="200"/>
      <c r="BN3" s="201"/>
      <c r="BO3" s="199" t="s">
        <v>170</v>
      </c>
      <c r="BP3" s="200"/>
      <c r="BQ3" s="201"/>
      <c r="BR3" s="205">
        <v>42940</v>
      </c>
      <c r="BS3" s="200"/>
      <c r="BT3" s="201"/>
      <c r="BU3" s="205">
        <v>42942</v>
      </c>
      <c r="BV3" s="200"/>
      <c r="BW3" s="201"/>
      <c r="BX3" s="205">
        <v>42944</v>
      </c>
      <c r="BY3" s="200"/>
      <c r="BZ3" s="201"/>
      <c r="CA3" s="205">
        <v>42947</v>
      </c>
      <c r="CB3" s="200"/>
      <c r="CC3" s="201"/>
      <c r="CD3" s="26"/>
    </row>
    <row r="4" spans="1:82" s="17" customFormat="1" ht="21" customHeight="1" x14ac:dyDescent="0.25">
      <c r="A4" s="203"/>
      <c r="B4" s="203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4" sqref="B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327</v>
      </c>
    </row>
    <row r="2" spans="1:21" ht="15.75" x14ac:dyDescent="0.25">
      <c r="J2" s="197" t="s">
        <v>7</v>
      </c>
      <c r="K2" s="197"/>
      <c r="L2" s="197"/>
      <c r="M2" s="197"/>
      <c r="N2" s="198" t="s">
        <v>8</v>
      </c>
      <c r="O2" s="198"/>
      <c r="P2" s="198"/>
      <c r="Q2" s="196" t="s">
        <v>9</v>
      </c>
      <c r="R2" s="196" t="s">
        <v>10</v>
      </c>
      <c r="S2" s="196" t="s">
        <v>11</v>
      </c>
      <c r="T2" s="196" t="s">
        <v>12</v>
      </c>
      <c r="U2" s="19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96"/>
      <c r="R3" s="196"/>
      <c r="S3" s="196"/>
      <c r="T3" s="196"/>
      <c r="U3" s="19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02" t="s">
        <v>6</v>
      </c>
      <c r="B3" s="202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04" t="s">
        <v>31</v>
      </c>
      <c r="H3" s="204"/>
      <c r="I3" s="204"/>
      <c r="J3" s="199" t="s">
        <v>32</v>
      </c>
      <c r="K3" s="200"/>
      <c r="L3" s="201"/>
      <c r="M3" s="199" t="s">
        <v>33</v>
      </c>
      <c r="N3" s="200"/>
      <c r="O3" s="201"/>
      <c r="P3" s="199" t="s">
        <v>34</v>
      </c>
      <c r="Q3" s="200"/>
      <c r="R3" s="201"/>
      <c r="S3" s="199" t="s">
        <v>35</v>
      </c>
      <c r="T3" s="200"/>
      <c r="U3" s="201"/>
      <c r="V3" s="199" t="s">
        <v>36</v>
      </c>
      <c r="W3" s="200"/>
      <c r="X3" s="201"/>
      <c r="Y3" s="199" t="s">
        <v>37</v>
      </c>
      <c r="Z3" s="200"/>
      <c r="AA3" s="201"/>
      <c r="AB3" s="199" t="s">
        <v>38</v>
      </c>
      <c r="AC3" s="200"/>
      <c r="AD3" s="201"/>
      <c r="AE3" s="199" t="s">
        <v>39</v>
      </c>
      <c r="AF3" s="200"/>
      <c r="AG3" s="201"/>
      <c r="AH3" s="199" t="s">
        <v>40</v>
      </c>
      <c r="AI3" s="200"/>
      <c r="AJ3" s="201"/>
      <c r="AK3" s="199" t="s">
        <v>41</v>
      </c>
      <c r="AL3" s="200"/>
      <c r="AM3" s="201"/>
      <c r="AN3" s="199" t="s">
        <v>42</v>
      </c>
      <c r="AO3" s="200"/>
      <c r="AP3" s="201"/>
      <c r="AQ3" s="199" t="s">
        <v>43</v>
      </c>
      <c r="AR3" s="200"/>
      <c r="AS3" s="201"/>
      <c r="AT3" s="199" t="s">
        <v>44</v>
      </c>
      <c r="AU3" s="200"/>
      <c r="AV3" s="201"/>
      <c r="AW3" s="199" t="s">
        <v>45</v>
      </c>
      <c r="AX3" s="200"/>
      <c r="AY3" s="201"/>
      <c r="AZ3" s="199" t="s">
        <v>46</v>
      </c>
      <c r="BA3" s="200"/>
      <c r="BB3" s="201"/>
      <c r="BC3" s="199" t="s">
        <v>47</v>
      </c>
      <c r="BD3" s="200"/>
      <c r="BE3" s="201"/>
      <c r="BF3" s="199" t="s">
        <v>48</v>
      </c>
      <c r="BG3" s="200"/>
      <c r="BH3" s="201"/>
      <c r="BI3" s="199" t="s">
        <v>49</v>
      </c>
      <c r="BJ3" s="200"/>
      <c r="BK3" s="201"/>
      <c r="BL3" s="199"/>
      <c r="BM3" s="200"/>
      <c r="BN3" s="201"/>
      <c r="BO3" s="199"/>
      <c r="BP3" s="200"/>
      <c r="BQ3" s="201"/>
      <c r="BR3" s="199"/>
      <c r="BS3" s="200"/>
      <c r="BT3" s="201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02"/>
      <c r="B4" s="202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F4" activePane="bottomRight" state="frozen"/>
      <selection activeCell="BA9" sqref="BA9"/>
      <selection pane="topRight" activeCell="BA9" sqref="BA9"/>
      <selection pane="bottomLeft" activeCell="BA9" sqref="BA9"/>
      <selection pane="bottomRight" activeCell="J4" sqref="J4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97" t="s">
        <v>7</v>
      </c>
      <c r="P2" s="197"/>
      <c r="Q2" s="197"/>
      <c r="R2" s="197"/>
      <c r="S2" s="198" t="s">
        <v>8</v>
      </c>
      <c r="T2" s="198"/>
      <c r="U2" s="198"/>
      <c r="V2" s="196" t="s">
        <v>9</v>
      </c>
      <c r="W2" s="196" t="s">
        <v>10</v>
      </c>
      <c r="X2" s="196" t="s">
        <v>11</v>
      </c>
      <c r="Y2" s="196" t="s">
        <v>12</v>
      </c>
      <c r="Z2" s="196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96"/>
      <c r="W3" s="196"/>
      <c r="X3" s="196"/>
      <c r="Y3" s="196"/>
      <c r="Z3" s="196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269</v>
      </c>
      <c r="F4" s="2" t="s">
        <v>89</v>
      </c>
      <c r="H4" s="65">
        <v>2100000</v>
      </c>
      <c r="I4" s="66">
        <v>0.3</v>
      </c>
      <c r="J4" s="65">
        <v>7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254</v>
      </c>
      <c r="F5" s="2" t="s">
        <v>255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256</v>
      </c>
      <c r="D6" s="56" t="s">
        <v>189</v>
      </c>
      <c r="E6" s="3" t="s">
        <v>257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273</v>
      </c>
      <c r="E8" s="119" t="s">
        <v>274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6" t="s">
        <v>199</v>
      </c>
      <c r="E9" s="3" t="s">
        <v>266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258</v>
      </c>
      <c r="E10" s="34" t="s">
        <v>259</v>
      </c>
      <c r="F10" s="33" t="s">
        <v>260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7" t="s">
        <v>282</v>
      </c>
      <c r="E11" s="34" t="s">
        <v>283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7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284</v>
      </c>
      <c r="D13" s="77" t="s">
        <v>285</v>
      </c>
      <c r="E13" s="34" t="s">
        <v>286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7" t="s">
        <v>279</v>
      </c>
      <c r="E14" s="80" t="s">
        <v>268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288</v>
      </c>
      <c r="D16" s="149" t="s">
        <v>289</v>
      </c>
      <c r="E16" s="150" t="s">
        <v>290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249</v>
      </c>
      <c r="D17" s="77" t="s">
        <v>250</v>
      </c>
      <c r="E17" s="34"/>
      <c r="F17" s="33" t="s">
        <v>251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252</v>
      </c>
      <c r="D18" s="77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262</v>
      </c>
      <c r="E19" s="150" t="s">
        <v>261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270</v>
      </c>
      <c r="D20" s="77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287</v>
      </c>
      <c r="E21" s="34" t="s">
        <v>264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247</v>
      </c>
      <c r="C22" s="79">
        <v>35076</v>
      </c>
      <c r="D22" s="77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02" t="s">
        <v>6</v>
      </c>
      <c r="B3" s="202" t="s">
        <v>5</v>
      </c>
      <c r="C3" s="64"/>
      <c r="D3" s="64"/>
      <c r="E3" s="64"/>
      <c r="F3" s="6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9"/>
      <c r="BD3" s="209"/>
      <c r="BE3" s="209"/>
      <c r="BF3" s="210">
        <v>42976</v>
      </c>
      <c r="BG3" s="204"/>
      <c r="BH3" s="204"/>
      <c r="BI3" s="204"/>
      <c r="BJ3" s="204"/>
      <c r="BK3" s="204"/>
      <c r="BL3" s="204"/>
      <c r="BM3" s="204"/>
      <c r="BN3" s="204"/>
      <c r="BO3" s="204"/>
      <c r="BP3" s="204"/>
      <c r="BQ3" s="204"/>
      <c r="BR3" s="210"/>
      <c r="BS3" s="204"/>
      <c r="BT3" s="204"/>
      <c r="BU3" s="204"/>
      <c r="BV3" s="204"/>
      <c r="BW3" s="204"/>
      <c r="BX3" s="204"/>
      <c r="BY3" s="204"/>
      <c r="BZ3" s="204"/>
      <c r="CA3" s="204"/>
      <c r="CB3" s="204"/>
      <c r="CC3" s="204"/>
      <c r="CD3" s="26"/>
    </row>
    <row r="4" spans="1:82" s="17" customFormat="1" ht="21" customHeight="1" x14ac:dyDescent="0.25">
      <c r="A4" s="202"/>
      <c r="B4" s="202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2" sqref="E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86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211" t="s">
        <v>224</v>
      </c>
      <c r="C1" s="211"/>
      <c r="D1" s="211"/>
      <c r="E1" s="157"/>
      <c r="F1" s="157"/>
      <c r="G1" s="157"/>
      <c r="H1" s="157"/>
      <c r="I1" s="157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7"/>
      <c r="E2" s="157"/>
      <c r="F2" s="157"/>
      <c r="G2" s="157"/>
      <c r="H2" s="157"/>
      <c r="I2" s="157"/>
      <c r="J2" s="53"/>
      <c r="K2" s="17"/>
      <c r="L2" s="17"/>
      <c r="M2" s="17"/>
      <c r="N2" s="197" t="s">
        <v>7</v>
      </c>
      <c r="O2" s="197"/>
      <c r="P2" s="197"/>
      <c r="Q2" s="197"/>
      <c r="R2" s="198" t="s">
        <v>8</v>
      </c>
      <c r="S2" s="198"/>
      <c r="T2" s="198"/>
      <c r="U2" s="196" t="s">
        <v>9</v>
      </c>
      <c r="V2" s="196" t="s">
        <v>10</v>
      </c>
      <c r="W2" s="196" t="s">
        <v>11</v>
      </c>
      <c r="X2" s="196" t="s">
        <v>12</v>
      </c>
      <c r="Y2" s="196" t="s">
        <v>13</v>
      </c>
    </row>
    <row r="3" spans="1:25" s="1" customFormat="1" ht="21" customHeight="1" x14ac:dyDescent="0.3">
      <c r="A3" s="158" t="s">
        <v>6</v>
      </c>
      <c r="B3" s="158" t="s">
        <v>5</v>
      </c>
      <c r="C3" s="158" t="s">
        <v>4</v>
      </c>
      <c r="D3" s="159" t="s">
        <v>3</v>
      </c>
      <c r="E3" s="159" t="s">
        <v>117</v>
      </c>
      <c r="F3" s="159" t="s">
        <v>71</v>
      </c>
      <c r="G3" s="159" t="s">
        <v>211</v>
      </c>
      <c r="H3" s="159" t="s">
        <v>223</v>
      </c>
      <c r="I3" s="159" t="s">
        <v>213</v>
      </c>
      <c r="J3" s="158" t="s">
        <v>214</v>
      </c>
      <c r="K3" s="158" t="s">
        <v>23</v>
      </c>
      <c r="L3" s="158" t="s">
        <v>173</v>
      </c>
      <c r="M3" s="15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96"/>
      <c r="V3" s="196"/>
      <c r="W3" s="196"/>
      <c r="X3" s="196"/>
      <c r="Y3" s="196"/>
    </row>
    <row r="4" spans="1:25" s="1" customFormat="1" ht="21" customHeight="1" x14ac:dyDescent="0.3">
      <c r="A4" s="17">
        <v>1</v>
      </c>
      <c r="B4" s="17" t="s">
        <v>193</v>
      </c>
      <c r="C4" s="160"/>
      <c r="D4" s="183" t="s">
        <v>194</v>
      </c>
      <c r="E4" s="160"/>
      <c r="F4" s="17" t="s">
        <v>291</v>
      </c>
      <c r="G4" s="161">
        <v>2400000</v>
      </c>
      <c r="H4" s="162">
        <v>0.3</v>
      </c>
      <c r="I4" s="161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3">
        <v>2</v>
      </c>
      <c r="B5" s="163" t="s">
        <v>195</v>
      </c>
      <c r="C5" s="164"/>
      <c r="D5" s="184"/>
      <c r="E5" s="164"/>
      <c r="F5" s="163" t="s">
        <v>291</v>
      </c>
      <c r="G5" s="165">
        <v>2400000</v>
      </c>
      <c r="H5" s="166">
        <v>0.3</v>
      </c>
      <c r="I5" s="165">
        <v>1680000</v>
      </c>
      <c r="J5" s="167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</row>
    <row r="6" spans="1:25" s="1" customFormat="1" ht="21" customHeight="1" x14ac:dyDescent="0.3">
      <c r="A6" s="17">
        <v>3</v>
      </c>
      <c r="B6" s="17" t="s">
        <v>196</v>
      </c>
      <c r="C6" s="160" t="s">
        <v>240</v>
      </c>
      <c r="D6" s="183" t="s">
        <v>197</v>
      </c>
      <c r="E6" s="160" t="s">
        <v>241</v>
      </c>
      <c r="F6" s="17" t="s">
        <v>242</v>
      </c>
      <c r="G6" s="161">
        <v>2400000</v>
      </c>
      <c r="H6" s="162">
        <v>0.3</v>
      </c>
      <c r="I6" s="161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0" t="s">
        <v>72</v>
      </c>
      <c r="D7" s="183" t="s">
        <v>201</v>
      </c>
      <c r="E7" s="160" t="s">
        <v>434</v>
      </c>
      <c r="F7" s="17" t="s">
        <v>246</v>
      </c>
      <c r="G7" s="161">
        <v>2400000</v>
      </c>
      <c r="H7" s="162">
        <v>0.3</v>
      </c>
      <c r="I7" s="161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0" t="s">
        <v>243</v>
      </c>
      <c r="D8" s="168" t="s">
        <v>244</v>
      </c>
      <c r="E8" s="168" t="s">
        <v>245</v>
      </c>
      <c r="F8" s="17" t="s">
        <v>246</v>
      </c>
      <c r="G8" s="161">
        <v>2400000</v>
      </c>
      <c r="H8" s="162">
        <v>0.3</v>
      </c>
      <c r="I8" s="161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0" t="s">
        <v>233</v>
      </c>
      <c r="D9" s="168" t="s">
        <v>349</v>
      </c>
      <c r="E9" s="160" t="s">
        <v>234</v>
      </c>
      <c r="F9" s="17" t="s">
        <v>235</v>
      </c>
      <c r="G9" s="161">
        <v>2400000</v>
      </c>
      <c r="H9" s="162">
        <v>0.3</v>
      </c>
      <c r="I9" s="161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69" t="s">
        <v>145</v>
      </c>
      <c r="B10" s="160" t="s">
        <v>231</v>
      </c>
      <c r="C10" s="160" t="s">
        <v>236</v>
      </c>
      <c r="D10" s="168" t="s">
        <v>237</v>
      </c>
      <c r="E10" s="160" t="s">
        <v>238</v>
      </c>
      <c r="F10" s="160" t="s">
        <v>239</v>
      </c>
      <c r="G10" s="161">
        <v>2400000</v>
      </c>
      <c r="H10" s="162">
        <v>0.3</v>
      </c>
      <c r="I10" s="161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0"/>
      <c r="D11" s="168" t="s">
        <v>311</v>
      </c>
      <c r="E11" s="160"/>
      <c r="F11" s="17" t="s">
        <v>235</v>
      </c>
      <c r="G11" s="161">
        <v>2400000</v>
      </c>
      <c r="H11" s="162">
        <v>0.3</v>
      </c>
      <c r="I11" s="161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69" t="s">
        <v>305</v>
      </c>
      <c r="B12" s="160" t="s">
        <v>306</v>
      </c>
      <c r="C12" s="160" t="s">
        <v>307</v>
      </c>
      <c r="D12" s="168" t="s">
        <v>308</v>
      </c>
      <c r="E12" s="160" t="s">
        <v>309</v>
      </c>
      <c r="F12" s="160" t="s">
        <v>239</v>
      </c>
      <c r="G12" s="161">
        <v>2400000</v>
      </c>
      <c r="H12" s="162">
        <v>0.3</v>
      </c>
      <c r="I12" s="161">
        <v>1680000</v>
      </c>
      <c r="J12" s="157"/>
      <c r="K12" s="160"/>
      <c r="L12" s="160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312</v>
      </c>
      <c r="C13" s="17"/>
      <c r="D13" s="168" t="s">
        <v>313</v>
      </c>
      <c r="E13" s="17"/>
      <c r="F13" s="17"/>
      <c r="G13" s="157"/>
      <c r="H13" s="157"/>
      <c r="I13" s="157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85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85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85"/>
    </row>
    <row r="17" spans="4:4" ht="21" customHeight="1" x14ac:dyDescent="0.25">
      <c r="D17" s="185"/>
    </row>
    <row r="18" spans="4:4" ht="21" customHeight="1" x14ac:dyDescent="0.25">
      <c r="D18" s="185"/>
    </row>
    <row r="19" spans="4:4" ht="21" customHeight="1" x14ac:dyDescent="0.25">
      <c r="D19" s="185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292</v>
      </c>
      <c r="M1" s="49" t="s">
        <v>28</v>
      </c>
    </row>
    <row r="3" spans="1:84" s="17" customFormat="1" ht="21" customHeight="1" x14ac:dyDescent="0.25">
      <c r="A3" s="202" t="s">
        <v>6</v>
      </c>
      <c r="B3" s="202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204" t="s">
        <v>31</v>
      </c>
      <c r="H3" s="204"/>
      <c r="I3" s="204"/>
      <c r="J3" s="199" t="s">
        <v>32</v>
      </c>
      <c r="K3" s="200"/>
      <c r="L3" s="201"/>
      <c r="M3" s="199" t="s">
        <v>33</v>
      </c>
      <c r="N3" s="200"/>
      <c r="O3" s="201"/>
      <c r="P3" s="199" t="s">
        <v>34</v>
      </c>
      <c r="Q3" s="200"/>
      <c r="R3" s="201"/>
      <c r="S3" s="199" t="s">
        <v>35</v>
      </c>
      <c r="T3" s="200"/>
      <c r="U3" s="201"/>
      <c r="V3" s="199" t="s">
        <v>36</v>
      </c>
      <c r="W3" s="200"/>
      <c r="X3" s="201"/>
      <c r="Y3" s="199" t="s">
        <v>37</v>
      </c>
      <c r="Z3" s="200"/>
      <c r="AA3" s="201"/>
      <c r="AB3" s="199" t="s">
        <v>38</v>
      </c>
      <c r="AC3" s="200"/>
      <c r="AD3" s="201"/>
      <c r="AE3" s="199" t="s">
        <v>39</v>
      </c>
      <c r="AF3" s="200"/>
      <c r="AG3" s="201"/>
      <c r="AH3" s="199" t="s">
        <v>40</v>
      </c>
      <c r="AI3" s="200"/>
      <c r="AJ3" s="201"/>
      <c r="AK3" s="199" t="s">
        <v>41</v>
      </c>
      <c r="AL3" s="200"/>
      <c r="AM3" s="201"/>
      <c r="AN3" s="199" t="s">
        <v>42</v>
      </c>
      <c r="AO3" s="200"/>
      <c r="AP3" s="201"/>
      <c r="AQ3" s="199" t="s">
        <v>43</v>
      </c>
      <c r="AR3" s="200"/>
      <c r="AS3" s="201"/>
      <c r="AT3" s="199" t="s">
        <v>44</v>
      </c>
      <c r="AU3" s="200"/>
      <c r="AV3" s="201"/>
      <c r="AW3" s="199" t="s">
        <v>45</v>
      </c>
      <c r="AX3" s="200"/>
      <c r="AY3" s="201"/>
      <c r="AZ3" s="199" t="s">
        <v>46</v>
      </c>
      <c r="BA3" s="200"/>
      <c r="BB3" s="201"/>
      <c r="BC3" s="199" t="s">
        <v>47</v>
      </c>
      <c r="BD3" s="200"/>
      <c r="BE3" s="201"/>
      <c r="BF3" s="199" t="s">
        <v>48</v>
      </c>
      <c r="BG3" s="200"/>
      <c r="BH3" s="201"/>
      <c r="BI3" s="199" t="s">
        <v>49</v>
      </c>
      <c r="BJ3" s="200"/>
      <c r="BK3" s="201"/>
      <c r="BL3" s="205">
        <v>42970</v>
      </c>
      <c r="BM3" s="200"/>
      <c r="BN3" s="201"/>
      <c r="BO3" s="205">
        <v>42972</v>
      </c>
      <c r="BP3" s="200"/>
      <c r="BQ3" s="201"/>
      <c r="BR3" s="205">
        <v>42975</v>
      </c>
      <c r="BS3" s="200"/>
      <c r="BT3" s="201"/>
      <c r="BU3" s="205">
        <v>42977</v>
      </c>
      <c r="BV3" s="200"/>
      <c r="BW3" s="201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202"/>
      <c r="B4" s="202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opLeftCell="A10" workbookViewId="0">
      <pane xSplit="1" topLeftCell="B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style="182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12" t="s">
        <v>432</v>
      </c>
      <c r="C1" s="212"/>
      <c r="D1" s="212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15" t="s">
        <v>7</v>
      </c>
      <c r="L2" s="215"/>
      <c r="M2" s="215"/>
      <c r="N2" s="215"/>
      <c r="O2" s="216" t="s">
        <v>8</v>
      </c>
      <c r="P2" s="216"/>
      <c r="Q2" s="216"/>
      <c r="R2" s="213" t="s">
        <v>324</v>
      </c>
      <c r="S2" s="213" t="s">
        <v>325</v>
      </c>
      <c r="T2" s="214" t="s">
        <v>11</v>
      </c>
      <c r="U2" s="214" t="s">
        <v>12</v>
      </c>
      <c r="V2" s="213" t="s">
        <v>326</v>
      </c>
    </row>
    <row r="3" spans="1:22" s="63" customFormat="1" ht="18.75" x14ac:dyDescent="0.3">
      <c r="A3" s="181" t="s">
        <v>6</v>
      </c>
      <c r="B3" s="18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81" t="s">
        <v>2</v>
      </c>
      <c r="I3" s="181" t="s">
        <v>173</v>
      </c>
      <c r="J3" s="181" t="s">
        <v>1</v>
      </c>
      <c r="K3" s="172" t="s">
        <v>14</v>
      </c>
      <c r="L3" s="173" t="s">
        <v>15</v>
      </c>
      <c r="M3" s="174" t="s">
        <v>16</v>
      </c>
      <c r="N3" s="175" t="s">
        <v>17</v>
      </c>
      <c r="O3" s="176" t="s">
        <v>18</v>
      </c>
      <c r="P3" s="177" t="s">
        <v>19</v>
      </c>
      <c r="Q3" s="178" t="s">
        <v>20</v>
      </c>
      <c r="R3" s="214"/>
      <c r="S3" s="214"/>
      <c r="T3" s="214"/>
      <c r="U3" s="214"/>
      <c r="V3" s="214"/>
    </row>
    <row r="4" spans="1:22" ht="18.75" x14ac:dyDescent="0.3">
      <c r="A4" s="2">
        <v>1</v>
      </c>
      <c r="B4" s="1" t="s">
        <v>302</v>
      </c>
      <c r="C4" s="179">
        <v>34005</v>
      </c>
      <c r="D4" s="3" t="s">
        <v>303</v>
      </c>
      <c r="E4" s="3" t="s">
        <v>304</v>
      </c>
      <c r="F4" s="1" t="s">
        <v>373</v>
      </c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323</v>
      </c>
      <c r="C5" s="3" t="s">
        <v>401</v>
      </c>
      <c r="D5" s="3" t="s">
        <v>321</v>
      </c>
      <c r="E5" s="3" t="s">
        <v>121</v>
      </c>
      <c r="F5" s="3" t="s">
        <v>400</v>
      </c>
      <c r="G5" s="33"/>
      <c r="H5" s="2" t="s">
        <v>53</v>
      </c>
      <c r="I5" s="2" t="s">
        <v>310</v>
      </c>
      <c r="J5" s="1"/>
      <c r="K5" s="171">
        <v>4</v>
      </c>
      <c r="L5" s="171">
        <v>12</v>
      </c>
      <c r="M5" s="171">
        <v>12</v>
      </c>
      <c r="N5" s="171">
        <v>11</v>
      </c>
      <c r="O5" s="171">
        <v>20</v>
      </c>
      <c r="P5" s="171">
        <v>2</v>
      </c>
      <c r="Q5" s="171">
        <v>16</v>
      </c>
      <c r="R5" s="171">
        <v>39</v>
      </c>
      <c r="S5" s="171">
        <v>38</v>
      </c>
      <c r="T5" s="171">
        <v>180</v>
      </c>
      <c r="U5" s="171">
        <v>140</v>
      </c>
      <c r="V5" s="171">
        <v>320</v>
      </c>
    </row>
    <row r="6" spans="1:22" ht="18.75" x14ac:dyDescent="0.3">
      <c r="A6" s="2">
        <v>3</v>
      </c>
      <c r="B6" s="1" t="s">
        <v>320</v>
      </c>
      <c r="C6" s="3" t="s">
        <v>399</v>
      </c>
      <c r="D6" s="3" t="s">
        <v>322</v>
      </c>
      <c r="E6" s="3" t="s">
        <v>121</v>
      </c>
      <c r="F6" s="3" t="s">
        <v>400</v>
      </c>
      <c r="G6" s="33"/>
      <c r="H6" s="2" t="s">
        <v>53</v>
      </c>
      <c r="I6" s="2" t="s">
        <v>310</v>
      </c>
      <c r="J6" s="1"/>
      <c r="K6" s="171">
        <v>0</v>
      </c>
      <c r="L6" s="171">
        <v>14</v>
      </c>
      <c r="M6" s="171">
        <v>8</v>
      </c>
      <c r="N6" s="171">
        <v>7</v>
      </c>
      <c r="O6" s="171">
        <v>15</v>
      </c>
      <c r="P6" s="171">
        <v>5</v>
      </c>
      <c r="Q6" s="171">
        <v>19</v>
      </c>
      <c r="R6" s="171">
        <v>29</v>
      </c>
      <c r="S6" s="171">
        <v>39</v>
      </c>
      <c r="T6" s="171">
        <v>125</v>
      </c>
      <c r="U6" s="171">
        <v>145</v>
      </c>
      <c r="V6" s="171">
        <v>270</v>
      </c>
    </row>
    <row r="7" spans="1:22" s="1" customFormat="1" ht="18.75" x14ac:dyDescent="0.3">
      <c r="A7" s="2">
        <v>4</v>
      </c>
      <c r="B7" s="1" t="s">
        <v>334</v>
      </c>
      <c r="C7" s="3" t="s">
        <v>388</v>
      </c>
      <c r="D7" s="3" t="s">
        <v>337</v>
      </c>
      <c r="E7" s="3" t="s">
        <v>372</v>
      </c>
      <c r="F7" s="3" t="s">
        <v>373</v>
      </c>
      <c r="G7" s="33"/>
      <c r="H7" s="2" t="s">
        <v>53</v>
      </c>
      <c r="I7" s="2" t="s">
        <v>333</v>
      </c>
      <c r="K7" s="170">
        <v>4</v>
      </c>
      <c r="L7" s="170">
        <v>9</v>
      </c>
      <c r="M7" s="170">
        <v>9</v>
      </c>
      <c r="N7" s="170">
        <v>7</v>
      </c>
      <c r="O7" s="170">
        <v>21</v>
      </c>
      <c r="P7" s="170">
        <v>4</v>
      </c>
      <c r="Q7" s="170">
        <v>5</v>
      </c>
      <c r="R7" s="170">
        <v>29</v>
      </c>
      <c r="S7" s="170">
        <v>30</v>
      </c>
      <c r="T7" s="170">
        <v>125</v>
      </c>
      <c r="U7" s="170">
        <v>90</v>
      </c>
      <c r="V7" s="170">
        <v>215</v>
      </c>
    </row>
    <row r="8" spans="1:22" ht="18.75" x14ac:dyDescent="0.3">
      <c r="A8" s="2">
        <v>5</v>
      </c>
      <c r="B8" s="1" t="s">
        <v>335</v>
      </c>
      <c r="C8" s="3" t="s">
        <v>387</v>
      </c>
      <c r="D8" s="3" t="s">
        <v>338</v>
      </c>
      <c r="E8" s="3" t="s">
        <v>336</v>
      </c>
      <c r="F8" s="3" t="s">
        <v>373</v>
      </c>
      <c r="G8" s="33"/>
      <c r="H8" s="2" t="s">
        <v>53</v>
      </c>
      <c r="I8" s="2" t="s">
        <v>333</v>
      </c>
      <c r="J8" s="1"/>
      <c r="K8" s="170">
        <v>4</v>
      </c>
      <c r="L8" s="170">
        <v>9</v>
      </c>
      <c r="M8" s="170">
        <v>9</v>
      </c>
      <c r="N8" s="170">
        <v>8</v>
      </c>
      <c r="O8" s="170">
        <v>19</v>
      </c>
      <c r="P8" s="170">
        <v>1</v>
      </c>
      <c r="Q8" s="170">
        <v>15</v>
      </c>
      <c r="R8" s="170">
        <v>30</v>
      </c>
      <c r="S8" s="170">
        <v>35</v>
      </c>
      <c r="T8" s="170">
        <v>130</v>
      </c>
      <c r="U8" s="170">
        <v>120</v>
      </c>
      <c r="V8" s="170">
        <v>250</v>
      </c>
    </row>
    <row r="9" spans="1:22" ht="18.75" x14ac:dyDescent="0.3">
      <c r="A9" s="2">
        <v>6</v>
      </c>
      <c r="B9" s="1" t="s">
        <v>339</v>
      </c>
      <c r="C9" s="3" t="s">
        <v>383</v>
      </c>
      <c r="D9" s="3" t="s">
        <v>340</v>
      </c>
      <c r="E9" s="3" t="s">
        <v>384</v>
      </c>
      <c r="F9" s="3" t="s">
        <v>381</v>
      </c>
      <c r="G9" s="33"/>
      <c r="H9" s="2" t="s">
        <v>53</v>
      </c>
      <c r="I9" s="2" t="s">
        <v>333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341</v>
      </c>
      <c r="C10" s="3" t="s">
        <v>382</v>
      </c>
      <c r="D10" s="3" t="s">
        <v>342</v>
      </c>
      <c r="E10" s="3" t="s">
        <v>343</v>
      </c>
      <c r="F10" s="3" t="s">
        <v>381</v>
      </c>
      <c r="G10" s="33"/>
      <c r="H10" s="2" t="s">
        <v>53</v>
      </c>
      <c r="I10" s="2" t="s">
        <v>333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346</v>
      </c>
      <c r="C11" s="3" t="s">
        <v>391</v>
      </c>
      <c r="D11" s="3" t="s">
        <v>348</v>
      </c>
      <c r="E11" s="3" t="s">
        <v>392</v>
      </c>
      <c r="F11" s="1" t="s">
        <v>373</v>
      </c>
      <c r="G11" s="33"/>
      <c r="H11" s="2" t="s">
        <v>53</v>
      </c>
      <c r="I11" s="2" t="s">
        <v>347</v>
      </c>
      <c r="J11" s="1"/>
      <c r="K11" s="170">
        <v>4</v>
      </c>
      <c r="L11" s="170">
        <v>11</v>
      </c>
      <c r="M11" s="170">
        <v>5</v>
      </c>
      <c r="N11" s="170">
        <v>12</v>
      </c>
      <c r="O11" s="170">
        <v>17</v>
      </c>
      <c r="P11" s="170">
        <v>3</v>
      </c>
      <c r="Q11" s="170">
        <v>12</v>
      </c>
      <c r="R11" s="170">
        <v>32</v>
      </c>
      <c r="S11" s="170">
        <v>32</v>
      </c>
      <c r="T11" s="170">
        <v>140</v>
      </c>
      <c r="U11" s="170">
        <v>100</v>
      </c>
      <c r="V11" s="170">
        <v>240</v>
      </c>
    </row>
    <row r="12" spans="1:22" ht="18.75" x14ac:dyDescent="0.3">
      <c r="A12" s="2">
        <v>9</v>
      </c>
      <c r="B12" s="1" t="s">
        <v>351</v>
      </c>
      <c r="C12" s="3" t="s">
        <v>397</v>
      </c>
      <c r="D12" s="3" t="s">
        <v>350</v>
      </c>
      <c r="E12" s="3" t="s">
        <v>398</v>
      </c>
      <c r="F12" s="1" t="s">
        <v>395</v>
      </c>
      <c r="G12" s="33"/>
      <c r="H12" s="2" t="s">
        <v>53</v>
      </c>
      <c r="I12" s="2" t="s">
        <v>333</v>
      </c>
      <c r="J12" s="1"/>
      <c r="K12" s="170">
        <v>2</v>
      </c>
      <c r="L12" s="170">
        <v>12</v>
      </c>
      <c r="M12" s="170">
        <v>8</v>
      </c>
      <c r="N12" s="170">
        <v>9</v>
      </c>
      <c r="O12" s="170">
        <v>15</v>
      </c>
      <c r="P12" s="170">
        <v>3</v>
      </c>
      <c r="Q12" s="170">
        <v>12</v>
      </c>
      <c r="R12" s="170">
        <v>31</v>
      </c>
      <c r="S12" s="170">
        <v>30</v>
      </c>
      <c r="T12" s="170">
        <v>135</v>
      </c>
      <c r="U12" s="170">
        <v>90</v>
      </c>
      <c r="V12" s="170">
        <v>225</v>
      </c>
    </row>
    <row r="13" spans="1:22" ht="18.75" x14ac:dyDescent="0.3">
      <c r="A13" s="2">
        <v>10</v>
      </c>
      <c r="B13" s="1" t="s">
        <v>355</v>
      </c>
      <c r="C13" s="3" t="s">
        <v>376</v>
      </c>
      <c r="D13" s="56" t="s">
        <v>357</v>
      </c>
      <c r="E13" s="3" t="s">
        <v>379</v>
      </c>
      <c r="F13" s="3" t="s">
        <v>375</v>
      </c>
      <c r="G13" s="33"/>
      <c r="H13" s="2" t="s">
        <v>53</v>
      </c>
      <c r="I13" s="2" t="s">
        <v>333</v>
      </c>
      <c r="J13" s="1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</row>
    <row r="14" spans="1:22" ht="18.75" x14ac:dyDescent="0.3">
      <c r="A14" s="2">
        <v>11</v>
      </c>
      <c r="B14" s="1" t="s">
        <v>356</v>
      </c>
      <c r="C14" s="3" t="s">
        <v>374</v>
      </c>
      <c r="D14" s="56" t="s">
        <v>358</v>
      </c>
      <c r="E14" s="3" t="s">
        <v>380</v>
      </c>
      <c r="F14" s="3" t="s">
        <v>375</v>
      </c>
      <c r="G14" s="33"/>
      <c r="H14" s="2" t="s">
        <v>53</v>
      </c>
      <c r="I14" s="2" t="s">
        <v>333</v>
      </c>
      <c r="J14" s="1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</row>
    <row r="15" spans="1:22" ht="18.75" x14ac:dyDescent="0.3">
      <c r="A15" s="2">
        <v>12</v>
      </c>
      <c r="B15" s="1" t="s">
        <v>359</v>
      </c>
      <c r="C15" s="3" t="s">
        <v>389</v>
      </c>
      <c r="D15" s="3" t="s">
        <v>377</v>
      </c>
      <c r="E15" s="3" t="s">
        <v>378</v>
      </c>
      <c r="F15" s="1" t="s">
        <v>381</v>
      </c>
      <c r="G15" s="33"/>
      <c r="H15" s="2" t="s">
        <v>53</v>
      </c>
      <c r="I15" s="2" t="s">
        <v>347</v>
      </c>
      <c r="J15" s="1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360</v>
      </c>
      <c r="F16" s="1" t="s">
        <v>390</v>
      </c>
      <c r="G16" s="33"/>
      <c r="H16" s="2" t="s">
        <v>53</v>
      </c>
      <c r="I16" s="2" t="s">
        <v>361</v>
      </c>
      <c r="J16" s="1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</row>
    <row r="17" spans="1:22" ht="18.75" x14ac:dyDescent="0.3">
      <c r="A17" s="2">
        <v>14</v>
      </c>
      <c r="B17" s="1" t="s">
        <v>362</v>
      </c>
      <c r="C17" s="3" t="s">
        <v>385</v>
      </c>
      <c r="D17" s="3" t="s">
        <v>386</v>
      </c>
      <c r="E17" s="3" t="s">
        <v>363</v>
      </c>
      <c r="F17" s="1" t="s">
        <v>373</v>
      </c>
      <c r="G17" s="33"/>
      <c r="H17" s="2" t="s">
        <v>53</v>
      </c>
      <c r="I17" s="2" t="s">
        <v>310</v>
      </c>
      <c r="J17" s="1"/>
      <c r="K17" s="170"/>
      <c r="L17" s="170"/>
      <c r="M17" s="170"/>
      <c r="N17" s="170"/>
      <c r="O17" s="170"/>
      <c r="P17" s="170"/>
      <c r="Q17" s="170"/>
      <c r="R17" s="170"/>
      <c r="S17" s="170"/>
      <c r="T17" s="170"/>
      <c r="U17" s="170"/>
      <c r="V17" s="170"/>
    </row>
    <row r="18" spans="1:22" ht="18.75" x14ac:dyDescent="0.3">
      <c r="A18" s="2">
        <v>15</v>
      </c>
      <c r="B18" s="1" t="s">
        <v>364</v>
      </c>
      <c r="C18" s="3" t="s">
        <v>393</v>
      </c>
      <c r="D18" s="3" t="s">
        <v>394</v>
      </c>
      <c r="E18" s="3" t="s">
        <v>365</v>
      </c>
      <c r="F18" s="1" t="s">
        <v>395</v>
      </c>
      <c r="G18" s="33"/>
      <c r="H18" s="2" t="s">
        <v>53</v>
      </c>
      <c r="I18" s="2" t="s">
        <v>333</v>
      </c>
      <c r="J18" s="1"/>
      <c r="K18" s="170">
        <v>2</v>
      </c>
      <c r="L18" s="170">
        <v>10</v>
      </c>
      <c r="M18" s="170">
        <v>11</v>
      </c>
      <c r="N18" s="170">
        <v>14</v>
      </c>
      <c r="O18" s="170">
        <v>26</v>
      </c>
      <c r="P18" s="170">
        <v>5</v>
      </c>
      <c r="Q18" s="170">
        <v>18</v>
      </c>
      <c r="R18" s="170">
        <v>37</v>
      </c>
      <c r="S18" s="170">
        <v>49</v>
      </c>
      <c r="T18" s="170">
        <v>170</v>
      </c>
      <c r="U18" s="170">
        <v>210</v>
      </c>
      <c r="V18" s="170">
        <v>380</v>
      </c>
    </row>
    <row r="19" spans="1:22" ht="18.75" x14ac:dyDescent="0.3">
      <c r="A19" s="2">
        <v>16</v>
      </c>
      <c r="B19" s="1" t="s">
        <v>366</v>
      </c>
      <c r="C19" s="3" t="s">
        <v>396</v>
      </c>
      <c r="D19" s="3" t="s">
        <v>368</v>
      </c>
      <c r="E19" s="3" t="s">
        <v>367</v>
      </c>
      <c r="F19" s="1" t="s">
        <v>395</v>
      </c>
      <c r="G19" s="33"/>
      <c r="H19" s="2" t="s">
        <v>53</v>
      </c>
      <c r="I19" s="2" t="s">
        <v>333</v>
      </c>
      <c r="J19" s="1"/>
      <c r="K19" s="170">
        <v>0</v>
      </c>
      <c r="L19" s="170">
        <v>10</v>
      </c>
      <c r="M19" s="170">
        <v>5</v>
      </c>
      <c r="N19" s="170">
        <v>8</v>
      </c>
      <c r="O19" s="170">
        <v>12</v>
      </c>
      <c r="P19" s="170">
        <v>1</v>
      </c>
      <c r="Q19" s="170">
        <v>11</v>
      </c>
      <c r="R19" s="170">
        <v>23</v>
      </c>
      <c r="S19" s="170">
        <v>24</v>
      </c>
      <c r="T19" s="170">
        <v>90</v>
      </c>
      <c r="U19" s="170">
        <v>50</v>
      </c>
      <c r="V19" s="170">
        <v>140</v>
      </c>
    </row>
    <row r="20" spans="1:22" ht="18.75" x14ac:dyDescent="0.3">
      <c r="A20" s="2">
        <v>17</v>
      </c>
      <c r="B20" s="1" t="s">
        <v>425</v>
      </c>
      <c r="C20" s="3" t="s">
        <v>424</v>
      </c>
      <c r="D20" s="3" t="s">
        <v>421</v>
      </c>
      <c r="E20" s="3" t="s">
        <v>422</v>
      </c>
      <c r="F20" s="1" t="s">
        <v>395</v>
      </c>
      <c r="G20" s="33"/>
      <c r="H20" s="2" t="s">
        <v>53</v>
      </c>
      <c r="I20" s="2" t="s">
        <v>423</v>
      </c>
      <c r="J20" s="1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170"/>
      <c r="V20" s="170"/>
    </row>
    <row r="21" spans="1:22" ht="18.75" x14ac:dyDescent="0.3">
      <c r="A21" s="2">
        <v>18</v>
      </c>
      <c r="B21" s="1" t="s">
        <v>427</v>
      </c>
      <c r="C21" s="3" t="s">
        <v>429</v>
      </c>
      <c r="D21" s="3" t="s">
        <v>430</v>
      </c>
      <c r="E21" s="3" t="s">
        <v>428</v>
      </c>
      <c r="F21" s="1" t="s">
        <v>381</v>
      </c>
      <c r="G21" s="33"/>
      <c r="H21" s="2" t="s">
        <v>53</v>
      </c>
      <c r="I21" s="2" t="s">
        <v>310</v>
      </c>
      <c r="J21" s="1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</row>
    <row r="22" spans="1:22" ht="18.75" x14ac:dyDescent="0.3">
      <c r="A22" s="2">
        <v>19</v>
      </c>
      <c r="B22" s="1" t="s">
        <v>431</v>
      </c>
      <c r="C22" s="3" t="s">
        <v>385</v>
      </c>
      <c r="D22" s="3" t="s">
        <v>435</v>
      </c>
      <c r="E22" s="3" t="s">
        <v>363</v>
      </c>
      <c r="F22" s="1" t="s">
        <v>373</v>
      </c>
      <c r="G22" s="33"/>
      <c r="H22" s="2" t="s">
        <v>53</v>
      </c>
      <c r="I22" s="2" t="s">
        <v>310</v>
      </c>
      <c r="J22" s="1"/>
      <c r="K22" s="170"/>
      <c r="L22" s="170"/>
      <c r="M22" s="170"/>
      <c r="N22" s="170"/>
      <c r="O22" s="170"/>
      <c r="P22" s="170"/>
      <c r="Q22" s="170"/>
      <c r="R22" s="170"/>
      <c r="S22" s="170"/>
      <c r="T22" s="170"/>
      <c r="U22" s="170"/>
      <c r="V22" s="170"/>
    </row>
    <row r="23" spans="1:22" s="1" customFormat="1" ht="18.75" x14ac:dyDescent="0.3">
      <c r="A23" s="2">
        <v>20</v>
      </c>
      <c r="B23" s="1" t="s">
        <v>436</v>
      </c>
      <c r="C23" s="3" t="s">
        <v>437</v>
      </c>
      <c r="D23" s="3" t="s">
        <v>438</v>
      </c>
      <c r="E23" s="3" t="s">
        <v>439</v>
      </c>
      <c r="F23" s="1" t="s">
        <v>373</v>
      </c>
      <c r="G23" s="33"/>
      <c r="H23" s="2" t="s">
        <v>53</v>
      </c>
      <c r="I23" s="2" t="s">
        <v>310</v>
      </c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70"/>
    </row>
    <row r="24" spans="1:22" ht="18.75" x14ac:dyDescent="0.3">
      <c r="A24" s="2"/>
      <c r="C24" s="3"/>
      <c r="G24" s="33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433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97" t="s">
        <v>7</v>
      </c>
      <c r="L2" s="197"/>
      <c r="M2" s="197"/>
      <c r="N2" s="197"/>
      <c r="O2" s="198" t="s">
        <v>8</v>
      </c>
      <c r="P2" s="198"/>
      <c r="Q2" s="198"/>
      <c r="R2" s="196" t="s">
        <v>9</v>
      </c>
      <c r="S2" s="196" t="s">
        <v>10</v>
      </c>
      <c r="T2" s="196" t="s">
        <v>11</v>
      </c>
      <c r="U2" s="196" t="s">
        <v>12</v>
      </c>
      <c r="V2" s="196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96"/>
      <c r="S3" s="196"/>
      <c r="T3" s="196"/>
      <c r="U3" s="196"/>
      <c r="V3" s="196"/>
    </row>
    <row r="4" spans="1:22" ht="18.75" x14ac:dyDescent="0.3">
      <c r="A4" s="2">
        <v>1</v>
      </c>
      <c r="B4" s="1" t="s">
        <v>317</v>
      </c>
      <c r="C4" s="1" t="s">
        <v>426</v>
      </c>
      <c r="D4" s="3" t="s">
        <v>319</v>
      </c>
      <c r="E4" s="3" t="s">
        <v>318</v>
      </c>
      <c r="F4" s="1" t="s">
        <v>375</v>
      </c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0" t="s">
        <v>328</v>
      </c>
      <c r="C5" s="1" t="s">
        <v>410</v>
      </c>
      <c r="D5" s="56" t="s">
        <v>329</v>
      </c>
      <c r="E5" s="3" t="s">
        <v>411</v>
      </c>
      <c r="F5" s="1" t="s">
        <v>412</v>
      </c>
      <c r="G5" s="2"/>
      <c r="H5" s="2" t="s">
        <v>53</v>
      </c>
      <c r="I5" s="2" t="s">
        <v>310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330</v>
      </c>
      <c r="C6" s="3" t="s">
        <v>413</v>
      </c>
      <c r="D6" s="3" t="s">
        <v>331</v>
      </c>
      <c r="E6" s="3" t="s">
        <v>332</v>
      </c>
      <c r="F6" s="3" t="s">
        <v>412</v>
      </c>
      <c r="G6" s="33"/>
      <c r="H6" s="2" t="s">
        <v>53</v>
      </c>
      <c r="I6" s="2" t="s">
        <v>333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344</v>
      </c>
      <c r="C7" s="3" t="s">
        <v>406</v>
      </c>
      <c r="D7" s="3" t="s">
        <v>345</v>
      </c>
      <c r="E7" s="3" t="s">
        <v>407</v>
      </c>
      <c r="F7" s="180" t="s">
        <v>408</v>
      </c>
      <c r="G7" s="33"/>
      <c r="H7" s="2" t="s">
        <v>53</v>
      </c>
      <c r="I7" s="2" t="s">
        <v>310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352</v>
      </c>
      <c r="C8" s="3" t="s">
        <v>409</v>
      </c>
      <c r="D8" s="3" t="s">
        <v>354</v>
      </c>
      <c r="E8" s="3" t="s">
        <v>353</v>
      </c>
      <c r="F8" s="3" t="s">
        <v>98</v>
      </c>
      <c r="G8" s="33"/>
      <c r="H8" s="2" t="s">
        <v>53</v>
      </c>
      <c r="I8" s="2" t="s">
        <v>310</v>
      </c>
    </row>
    <row r="9" spans="1:22" ht="18.75" x14ac:dyDescent="0.3">
      <c r="A9" s="2">
        <v>6</v>
      </c>
      <c r="B9" s="1" t="s">
        <v>404</v>
      </c>
      <c r="C9" s="3" t="s">
        <v>405</v>
      </c>
      <c r="D9" s="3" t="s">
        <v>369</v>
      </c>
      <c r="E9" s="3" t="s">
        <v>370</v>
      </c>
      <c r="F9" s="3" t="s">
        <v>373</v>
      </c>
      <c r="G9" s="33"/>
      <c r="H9" s="2" t="s">
        <v>53</v>
      </c>
      <c r="I9" s="2" t="s">
        <v>347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371</v>
      </c>
    </row>
    <row r="11" spans="1:22" ht="18.75" x14ac:dyDescent="0.3">
      <c r="A11" s="2">
        <v>8</v>
      </c>
      <c r="B11" s="1" t="s">
        <v>402</v>
      </c>
      <c r="C11" s="3" t="s">
        <v>414</v>
      </c>
      <c r="D11" s="3" t="s">
        <v>415</v>
      </c>
      <c r="E11" s="3" t="s">
        <v>416</v>
      </c>
      <c r="F11" s="3"/>
      <c r="G11" s="33"/>
      <c r="H11" s="2" t="s">
        <v>53</v>
      </c>
      <c r="I11" s="2" t="s">
        <v>310</v>
      </c>
    </row>
    <row r="12" spans="1:22" ht="18.75" x14ac:dyDescent="0.3">
      <c r="A12" s="2">
        <v>9</v>
      </c>
      <c r="B12" s="1" t="s">
        <v>418</v>
      </c>
      <c r="C12" s="3" t="s">
        <v>419</v>
      </c>
      <c r="D12" s="3" t="s">
        <v>403</v>
      </c>
      <c r="E12" s="3" t="s">
        <v>420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417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tabSelected="1" workbookViewId="0">
      <selection activeCell="C9" sqref="C9"/>
    </sheetView>
  </sheetViews>
  <sheetFormatPr defaultRowHeight="15" x14ac:dyDescent="0.25"/>
  <cols>
    <col min="2" max="2" width="24.5703125" customWidth="1"/>
    <col min="3" max="3" width="16.28515625" style="218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442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97" t="s">
        <v>7</v>
      </c>
      <c r="L2" s="197"/>
      <c r="M2" s="197"/>
      <c r="N2" s="197"/>
      <c r="O2" s="198" t="s">
        <v>8</v>
      </c>
      <c r="P2" s="198"/>
      <c r="Q2" s="198"/>
      <c r="R2" s="217" t="s">
        <v>324</v>
      </c>
      <c r="S2" s="217" t="s">
        <v>325</v>
      </c>
      <c r="T2" s="196" t="s">
        <v>11</v>
      </c>
      <c r="U2" s="196" t="s">
        <v>12</v>
      </c>
      <c r="V2" s="217" t="s">
        <v>326</v>
      </c>
    </row>
    <row r="3" spans="1:22" s="22" customFormat="1" ht="18.75" x14ac:dyDescent="0.3">
      <c r="A3" s="193" t="s">
        <v>6</v>
      </c>
      <c r="B3" s="193" t="s">
        <v>5</v>
      </c>
      <c r="C3" s="194" t="s">
        <v>4</v>
      </c>
      <c r="D3" s="194" t="s">
        <v>3</v>
      </c>
      <c r="E3" s="194" t="s">
        <v>117</v>
      </c>
      <c r="F3" s="194" t="s">
        <v>71</v>
      </c>
      <c r="G3" s="194" t="s">
        <v>106</v>
      </c>
      <c r="H3" s="193" t="s">
        <v>2</v>
      </c>
      <c r="I3" s="193" t="s">
        <v>173</v>
      </c>
      <c r="J3" s="193" t="s">
        <v>1</v>
      </c>
      <c r="K3" s="187" t="s">
        <v>14</v>
      </c>
      <c r="L3" s="130" t="s">
        <v>15</v>
      </c>
      <c r="M3" s="188" t="s">
        <v>16</v>
      </c>
      <c r="N3" s="189" t="s">
        <v>17</v>
      </c>
      <c r="O3" s="190" t="s">
        <v>18</v>
      </c>
      <c r="P3" s="191" t="s">
        <v>19</v>
      </c>
      <c r="Q3" s="192" t="s">
        <v>20</v>
      </c>
      <c r="R3" s="196"/>
      <c r="S3" s="196"/>
      <c r="T3" s="196"/>
      <c r="U3" s="196"/>
      <c r="V3" s="196"/>
    </row>
    <row r="4" spans="1:22" ht="18.75" x14ac:dyDescent="0.3">
      <c r="A4" s="2">
        <v>1</v>
      </c>
      <c r="B4" s="1" t="s">
        <v>314</v>
      </c>
      <c r="C4" s="80"/>
      <c r="D4" s="3" t="s">
        <v>315</v>
      </c>
      <c r="E4" s="3" t="s">
        <v>316</v>
      </c>
      <c r="F4" s="1"/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440</v>
      </c>
      <c r="C5" s="34"/>
      <c r="D5" s="3" t="s">
        <v>441</v>
      </c>
      <c r="E5" s="3"/>
      <c r="F5" s="3"/>
      <c r="G5" s="33"/>
      <c r="H5" s="2" t="s">
        <v>53</v>
      </c>
      <c r="I5" s="2" t="s">
        <v>310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79">
        <v>35560</v>
      </c>
      <c r="D6" s="3" t="s">
        <v>262</v>
      </c>
      <c r="E6" s="3" t="s">
        <v>261</v>
      </c>
      <c r="F6" s="3" t="s">
        <v>69</v>
      </c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4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4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2017-11-18T02:47:55Z</dcterms:modified>
</cp:coreProperties>
</file>