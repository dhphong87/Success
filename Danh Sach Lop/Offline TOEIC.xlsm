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activeTab="1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  <sheet name="TOEIC AK9" sheetId="32" r:id="rId16"/>
    <sheet name="TOEIC BK7" sheetId="33" r:id="rId17"/>
    <sheet name="TOEIC AK10" sheetId="34" r:id="rId18"/>
    <sheet name="TOEIC BK8" sheetId="35" r:id="rId19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<sst xmlns="http://schemas.openxmlformats.org/spreadsheetml/2006/main" count="2539" uniqueCount="590">
  <si>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</si>
  <si>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</si>
  <si>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</si>
  <si>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</si>
  <si>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</si>
  <si>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</si>
  <si>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</si>
  <si>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</si>
  <si>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</si>
  <si>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</si>
  <si>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</si>
  <si>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</si>
  <si>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</si>
  <si>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</si>
  <si>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</si>
  <si>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</si>
  <si>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</si>
  <si>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</si>
  <si>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</si>
  <si>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</si>
  <si>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</si>
  <si>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</si>
  <si>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</si>
  <si>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</si>
  <si>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</si>
  <si>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</si>
  <si>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</si>
  <si>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</si>
  <si>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</si>
  <si>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</si>
  <si>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</si>
  <si>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</si>
  <si>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</si>
  <si>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</si>
  <si>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</si>
  <si>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</si>
  <si>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</si>
  <si>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</si>
  <si>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</si>
  <si>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</si>
  <si>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</si>
  <si>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</si>
  <si>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</si>
  <si>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</si>
  <si>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</si>
  <si>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</si>
  <si>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</si>
  <si>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</si>
  <si>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</si>
  <si>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</si>
  <si>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</si>
  <si>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</si>
  <si>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</si>
  <si>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</si>
  <si>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</si>
  <si>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</si>
  <si>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</si>
  <si>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</si>
  <si>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</si>
  <si>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</si>
  <si>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</si>
  <si>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</si>
  <si>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</si>
  <si>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</si>
  <si>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</si>
  <si>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</si>
  <si>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</si>
  <si>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</si>
  <si>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</si>
  <si>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</si>
  <si>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</si>
  <si>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</si>
  <si>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</si>
  <si>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</si>
  <si>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</si>
  <si>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</si>
  <si>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</si>
  <si>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</si>
  <si>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</si>
  <si>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</si>
  <si>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</si>
  <si>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</si>
  <si>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</si>
  <si>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</si>
  <si>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</si>
  <si>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</si>
  <si>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</si>
  <si>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</si>
  <si>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</si>
  <si>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</si>
  <si>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</si>
  <si>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</si>
  <si>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</si>
  <si>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</si>
  <si>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</si>
  <si>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</si>
  <si>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</si>
  <si>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</si>
  <si>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</si>
  <si>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</si>
  <si>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</si>
  <si>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</si>
  <si>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</si>
  <si>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</si>
  <si>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</si>
  <si>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</si>
  <si>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</si>
  <si>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</si>
  <si>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</si>
  <si>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</si>
  <si>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</si>
  <si>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</si>
  <si>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</si>
  <si>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</si>
  <si>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</si>
  <si>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</si>
  <si>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</si>
  <si>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</si>
  <si>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</si>
  <si>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</si>
  <si>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</si>
  <si>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</si>
  <si>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</si>
  <si>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</si>
  <si>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</si>
  <si>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</si>
  <si>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</si>
  <si>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</si>
  <si>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</si>
  <si>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</si>
  <si>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</si>
  <si>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</si>
  <si>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</si>
  <si>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</si>
  <si>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</si>
  <si>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</si>
  <si>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</si>
  <si>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</si>
  <si>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</si>
  <si>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</si>
  <si>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</si>
  <si>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</si>
  <si>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</si>
  <si>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</si>
  <si>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</si>
  <si>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</si>
  <si>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</si>
  <si>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</si>
  <si>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</si>
  <si>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</si>
  <si>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</si>
  <si>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</si>
  <si>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</si>
  <si>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</si>
  <si>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</si>
  <si>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</si>
  <si>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</si>
  <si>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</si>
  <si>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</si>
  <si>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</si>
  <si>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</si>
  <si>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</si>
  <si>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</si>
  <si>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</si>
  <si>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</si>
  <si>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</si>
  <si>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</si>
  <si>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</si>
  <si>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</si>
  <si>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</si>
  <si>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</si>
  <si>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</si>
  <si>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</si>
  <si>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</si>
  <si>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</si>
  <si>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</si>
  <si>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</si>
  <si>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</si>
  <si>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</si>
  <si>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</si>
  <si>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</si>
  <si>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</si>
  <si>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</si>
  <si>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</si>
  <si>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</si>
  <si>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</si>
  <si>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</si>
  <si>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</si>
  <si>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</si>
  <si>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</si>
  <si>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</si>
  <si>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</si>
  <si>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</si>
  <si>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</si>
  <si>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</si>
  <si>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</si>
  <si>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</si>
  <si>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</si>
  <si>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</si>
  <si>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</si>
  <si>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</si>
  <si>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</si>
  <si>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</si>
  <si>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</si>
  <si>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</si>
  <si>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</si>
  <si>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</si>
  <si>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</si>
  <si>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</si>
  <si>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</si>
  <si>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</si>
  <si>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</si>
  <si>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</si>
  <si>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</si>
  <si>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</si>
  <si>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</si>
  <si>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</si>
  <si>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</si>
  <si>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</si>
  <si>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</si>
  <si>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</si>
  <si>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</si>
  <si>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</si>
  <si>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</si>
  <si>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</si>
  <si>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</si>
  <si>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</si>
  <si>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</si>
  <si>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</si>
  <si>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</si>
  <si>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</si>
  <si>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</si>
  <si>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</si>
  <si>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</si>
  <si>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</si>
  <si>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</si>
  <si>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</si>
  <si>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</si>
  <si>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</si>
  <si>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</si>
  <si>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</si>
  <si>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</si>
  <si>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</si>
  <si>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</si>
  <si>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</si>
  <si>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</si>
  <si>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</si>
  <si>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</si>
  <si>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</si>
  <si>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</si>
  <si>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</si>
  <si>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</si>
  <si>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</si>
  <si>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</si>
  <si>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</si>
  <si>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</si>
  <si>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</si>
  <si>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</si>
  <si>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</si>
  <si>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</si>
  <si>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</si>
  <si>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</si>
  <si>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</si>
  <si>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</si>
  <si>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</si>
  <si>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</si>
  <si>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</si>
  <si>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</si>
  <si>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</si>
  <si>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</si>
  <si>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</si>
  <si>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</si>
  <si>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</si>
  <si>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</si>
  <si>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</si>
  <si>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</si>
  <si>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</si>
  <si>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</si>
  <si>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</si>
  <si>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</si>
  <si>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</si>
  <si>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</si>
  <si>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</si>
  <si>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</si>
  <si>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</si>
  <si>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</si>
  <si>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</si>
  <si>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</si>
  <si>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</si>
  <si>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</si>
  <si>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</si>
  <si>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</si>
  <si>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</si>
  <si>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</si>
  <si>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</si>
  <si>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</si>
  <si>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</si>
  <si>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</si>
  <si>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</si>
  <si>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</si>
  <si>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</si>
  <si>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</si>
  <si>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</si>
  <si>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</si>
  <si>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</si>
  <si>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</si>
  <si>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</si>
  <si>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</si>
  <si>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</si>
  <si>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</si>
  <si>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</si>
  <si>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</si>
  <si>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</si>
  <si>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</si>
  <si>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</si>
  <si>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</si>
  <si>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</si>
  <si>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</si>
  <si>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</si>
  <si>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</si>
  <si>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</si>
  <si>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</si>
  <si>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</si>
  <si>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</si>
  <si>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</si>
  <si>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</si>
  <si>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</si>
  <si>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</si>
  <si>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</si>
  <si>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</si>
  <si>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</si>
  <si>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</si>
  <si>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</si>
  <si>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</si>
  <si>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</si>
  <si>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</si>
  <si>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</si>
  <si>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</si>
  <si>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</si>
  <si>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</si>
  <si>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</si>
  <si>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</si>
  <si>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</si>
  <si>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</si>
  <si>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</si>
  <si>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</si>
  <si>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</si>
  <si>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</si>
  <si>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</si>
  <si>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</si>
  <si>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</si>
  <si>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</si>
  <si>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</si>
  <si>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</si>
  <si>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</si>
  <si>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</si>
  <si>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</si>
  <si>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</si>
  <si>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</si>
  <si>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</si>
  <si>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</si>
  <si>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</si>
  <si>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</si>
  <si>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</si>
  <si>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</si>
  <si>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</si>
  <si>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</si>
  <si>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</si>
  <si>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</si>
  <si>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</si>
  <si>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</si>
  <si>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</si>
  <si>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</si>
  <si>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</si>
  <si>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</si>
  <si>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</si>
  <si>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</si>
  <si>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</si>
  <si>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</si>
  <si>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</si>
  <si>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</si>
  <si>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</si>
  <si>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</si>
  <si>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</si>
  <si>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</si>
  <si>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</si>
  <si>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</si>
  <si>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</si>
  <si>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</si>
  <si>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</si>
  <si>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</si>
  <si>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</si>
  <si>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</si>
  <si>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</si>
  <si>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</si>
  <si>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</si>
  <si>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</si>
  <si>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</si>
  <si>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</si>
  <si>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</si>
  <si>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</si>
  <si>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</si>
  <si>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</si>
  <si>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</si>
  <si>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</si>
  <si>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</si>
  <si>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</si>
  <si>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</si>
  <si>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</si>
  <si>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</si>
  <si>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</si>
  <si>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</si>
  <si>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</si>
  <si>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</si>
  <si>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</si>
  <si>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</si>
  <si>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</si>
  <si>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</si>
  <si>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</si>
  <si>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</si>
  <si>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</si>
  <si>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</si>
  <si>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</si>
  <si>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</si>
  <si>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</si>
  <si>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</si>
  <si>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</si>
  <si>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</si>
  <si>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</si>
  <si>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</si>
  <si>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</si>
  <si>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</si>
  <si>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</si>
  <si>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</si>
  <si>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</si>
  <si>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</si>
  <si>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</si>
  <si>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</si>
  <si>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</si>
  <si>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</si>
  <si>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</si>
  <si>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</si>
  <si>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</si>
  <si>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</si>
  <si>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</si>
  <si>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</si>
  <si>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</si>
  <si>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</si>
  <si>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</si>
  <si>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</si>
  <si>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</si>
  <si>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</si>
  <si>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</si>
  <si>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</si>
  <si>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</si>
  <si>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</si>
  <si>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</si>
  <si>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</si>
  <si>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</si>
  <si>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</si>
  <si>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</si>
  <si>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</si>
  <si>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</si>
  <si>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</si>
  <si>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</si>
  <si>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</si>
  <si>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</si>
  <si>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</si>
  <si>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</si>
  <si>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</si>
  <si>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</si>
  <si>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</si>
  <si>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</si>
  <si>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</si>
  <si>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</si>
  <si>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</si>
  <si>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</si>
  <si>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</si>
  <si>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</si>
  <si>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</si>
  <si>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</si>
  <si>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</si>
  <si>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</si>
  <si>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</si>
  <si>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</si>
  <si>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</si>
  <si>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</si>
  <si>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</si>
  <si>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</si>
  <si>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</si>
  <si>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</si>
  <si>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</si>
  <si>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</si>
  <si>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</si>
  <si>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</si>
  <si>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</si>
  <si>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</si>
  <si>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</si>
  <si>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</si>
  <si>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</si>
  <si>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</si>
  <si>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</si>
  <si>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</si>
  <si>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</si>
  <si>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</si>
  <si>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</si>
  <si>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</si>
  <si>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</si>
  <si>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</si>
  <si>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</si>
  <si>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</si>
  <si>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</si>
  <si>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</si>
  <si>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</si>
  <si>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</si>
  <si>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</si>
  <si>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</si>
  <si>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</si>
  <si>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</si>
  <si>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</si>
  <si>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</si>
  <si>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</si>
  <si>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</si>
  <si>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</si>
  <si>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</si>
  <si>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</si>
  <si>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</si>
  <si>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</si>
  <si>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</si>
  <si>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</si>
  <si>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</si>
  <si>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</si>
  <si>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</si>
  <si>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</si>
  <si>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</si>
  <si>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</si>
  <si>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</si>
  <si>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</si>
  <si>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</si>
  <si>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</si>
  <si>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</si>
  <si>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26/9/1997</t>
  </si>
  <si>
    <t>Hương Thủy</t>
  </si>
  <si>
    <t xml:space="preserve">6/3 Văn Cao </t>
  </si>
  <si>
    <t>Khóa TOEIC B K8 (5/2018 - 8/2018)</t>
  </si>
  <si>
    <t>Mai Sĩ Phú</t>
  </si>
  <si>
    <t>Khóa TOEIC A K10 (5/2018 - 8/2018)</t>
  </si>
  <si>
    <t>DS bảo lưu</t>
  </si>
  <si>
    <t>Trương Thị Bích Việt</t>
  </si>
  <si>
    <t>01662267490</t>
  </si>
  <si>
    <t>0901901610</t>
  </si>
  <si>
    <t>Trần Thị Minh Châu</t>
  </si>
  <si>
    <t xml:space="preserve">Lê Văn Đức </t>
  </si>
  <si>
    <t>0989270424</t>
  </si>
  <si>
    <t>Hồ Thị Thủy Phương</t>
  </si>
  <si>
    <t>0948650633</t>
  </si>
  <si>
    <t>Nguyễn Thị Thu Phương</t>
  </si>
  <si>
    <t>01216556117</t>
  </si>
  <si>
    <t>Bạn Hoàng Mai</t>
  </si>
  <si>
    <t>Vũ Lê Thành</t>
  </si>
  <si>
    <t>Nguyễn Thị Lam</t>
  </si>
  <si>
    <t>Nguyễ Thị Tố Uyên</t>
  </si>
  <si>
    <t>Lê Phan Thúy Giao</t>
  </si>
  <si>
    <t>01699772727</t>
  </si>
  <si>
    <t>01655017333</t>
  </si>
  <si>
    <t>01629424075</t>
  </si>
  <si>
    <t>01227961540</t>
  </si>
  <si>
    <t>Lớp Ngân Hàng</t>
  </si>
  <si>
    <t>Học bổng KT</t>
  </si>
  <si>
    <t>Số 10 kiệt 44 Bà Triệu - Tp Huế</t>
  </si>
  <si>
    <t>10/10/1997</t>
  </si>
  <si>
    <t>Đại học Kinh tế - Huế</t>
  </si>
  <si>
    <t>01679172761
0961901296</t>
  </si>
  <si>
    <t xml:space="preserve">Đặng Thị Ngọc Ánh
</t>
  </si>
  <si>
    <t xml:space="preserve">13/09/1997
</t>
  </si>
  <si>
    <t xml:space="preserve">Quảng Châu, Quảng Trạch, Quảng Bình
</t>
  </si>
  <si>
    <t xml:space="preserve">Đại học Kinh tế - Huế
</t>
  </si>
  <si>
    <t>22/03/1999</t>
  </si>
  <si>
    <t>164 Lê Duẩn, Phường Phú Nhuận, Tp Huế</t>
  </si>
  <si>
    <t>Khoa Du lịch</t>
  </si>
  <si>
    <t>06/08/1996</t>
  </si>
  <si>
    <t>Phú Mỹ, Phú Vang, Thừa Thiên Huế</t>
  </si>
  <si>
    <t>Đại học Khoa học - Huế</t>
  </si>
  <si>
    <t>Phường Quỳnh Phương, tx Hoàng Mai, tình Nghệ An</t>
  </si>
  <si>
    <t>Đại học Kinh tế Huế</t>
  </si>
  <si>
    <t>19/11/1997</t>
  </si>
  <si>
    <t>57 Tôn Thất Dương Kỵ, phường An Cựu, tp Huế</t>
  </si>
  <si>
    <t>TOEIC A K10</t>
  </si>
  <si>
    <t>15/05/2018</t>
  </si>
  <si>
    <t>15/11/2018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</si>
</sst>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2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5" fillId="15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  <xf numFmtId="0" fontId="13" fillId="5" borderId="1" xfId="4" applyFont="1" applyBorder="1" applyAlignment="1">
      <alignment horizontal="center"/>
    </xf>
    <xf numFmtId="0" fontId="13" fillId="5" borderId="1" xfId="4" applyFont="1" applyBorder="1"/>
    <xf numFmtId="0" fontId="13" fillId="5" borderId="1" xfId="4" applyFont="1" applyBorder="1" applyAlignment="1">
      <alignment horizontal="left"/>
    </xf>
    <xf numFmtId="0" fontId="13" fillId="0" borderId="0" xfId="0" applyFont="1"/>
    <xf numFmtId="0" fontId="13" fillId="16" borderId="1" xfId="0" applyFont="1" applyFill="1" applyBorder="1" applyAlignment="1">
      <alignment horizontal="center"/>
    </xf>
    <xf numFmtId="49" fontId="13" fillId="16" borderId="1" xfId="0" applyNumberFormat="1" applyFont="1" applyFill="1" applyBorder="1"/>
    <xf numFmtId="0" fontId="13" fillId="16" borderId="1" xfId="0" applyFont="1" applyFill="1" applyBorder="1"/>
    <xf numFmtId="0" fontId="13" fillId="16" borderId="1" xfId="0" applyFont="1" applyFill="1" applyBorder="1" applyAlignment="1">
      <alignment horizontal="left"/>
    </xf>
    <xf numFmtId="0" fontId="13" fillId="16" borderId="0" xfId="0" applyFont="1" applyFill="1"/>
    <xf numFmtId="49" fontId="13" fillId="16" borderId="1" xfId="0" applyNumberFormat="1" applyFont="1" applyFill="1" applyBorder="1" applyAlignment="1">
      <alignment horizontal="left"/>
    </xf>
    <xf numFmtId="0" fontId="13" fillId="18" borderId="0" xfId="0" applyFont="1" applyFill="1"/>
    <xf numFmtId="0" fontId="13" fillId="16" borderId="5" xfId="0" applyFont="1" applyFill="1" applyBorder="1"/>
    <xf numFmtId="49" fontId="13" fillId="16" borderId="1" xfId="0" applyNumberFormat="1" applyFont="1" applyFill="1" applyBorder="1" applyAlignment="1"/>
    <xf numFmtId="0" fontId="13" fillId="0" borderId="1" xfId="0" applyFont="1" applyFill="1" applyBorder="1" applyAlignment="1">
      <alignment horizontal="center"/>
    </xf>
    <xf numFmtId="49" fontId="13" fillId="0" borderId="1" xfId="0" applyNumberFormat="1" applyFont="1" applyFill="1" applyBorder="1" applyAlignment="1">
      <alignment horizontal="left"/>
    </xf>
    <xf numFmtId="49" fontId="13" fillId="0" borderId="1" xfId="0" applyNumberFormat="1" applyFont="1" applyFill="1" applyBorder="1"/>
    <xf numFmtId="0" fontId="13" fillId="0" borderId="1" xfId="0" applyFont="1" applyFill="1" applyBorder="1" applyAlignment="1">
      <alignment horizontal="left"/>
    </xf>
    <xf numFmtId="14" fontId="13" fillId="16" borderId="1" xfId="0" applyNumberFormat="1" applyFont="1" applyFill="1" applyBorder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16" borderId="19" xfId="0" applyFont="1" applyFill="1" applyBorder="1"/>
    <xf numFmtId="0" fontId="13" fillId="16" borderId="4" xfId="0" applyFont="1" applyFill="1" applyBorder="1"/>
    <xf numFmtId="0" fontId="13" fillId="0" borderId="4" xfId="0" applyFont="1" applyFill="1" applyBorder="1"/>
    <xf numFmtId="0" fontId="13" fillId="18" borderId="1" xfId="0" applyFont="1" applyFill="1" applyBorder="1" applyAlignment="1">
      <alignment horizontal="center"/>
    </xf>
    <xf numFmtId="0" fontId="13" fillId="18" borderId="1" xfId="0" applyFont="1" applyFill="1" applyBorder="1"/>
    <xf numFmtId="14" fontId="13" fillId="18" borderId="1" xfId="0" applyNumberFormat="1" applyFont="1" applyFill="1" applyBorder="1" applyAlignment="1">
      <alignment horizontal="left"/>
    </xf>
    <xf numFmtId="49" fontId="13" fillId="18" borderId="1" xfId="0" applyNumberFormat="1" applyFont="1" applyFill="1" applyBorder="1" applyAlignment="1"/>
    <xf numFmtId="49" fontId="13" fillId="18" borderId="1" xfId="0" applyNumberFormat="1" applyFont="1" applyFill="1" applyBorder="1" applyAlignment="1">
      <alignment horizontal="left"/>
    </xf>
    <xf numFmtId="0" fontId="13" fillId="18" borderId="1" xfId="0" applyFont="1" applyFill="1" applyBorder="1" applyAlignment="1">
      <alignment horizontal="left"/>
    </xf>
    <xf numFmtId="49" fontId="1" fillId="0" borderId="0" xfId="0" applyNumberFormat="1" applyFont="1" applyFill="1" applyAlignment="1">
      <alignment horizontal="left" wrapText="1"/>
    </xf>
    <xf numFmtId="0" fontId="1" fillId="0" borderId="0" xfId="0" applyFont="1" applyFill="1" applyBorder="1" applyAlignment="1">
      <alignment wrapText="1"/>
    </xf>
    <xf numFmtId="0" fontId="1" fillId="0" borderId="0" xfId="0" applyFont="1" applyAlignment="1">
      <alignment wrapText="1"/>
    </xf>
    <xf numFmtId="49" fontId="1" fillId="0" borderId="0" xfId="0" applyNumberFormat="1" applyFont="1" applyFill="1" applyBorder="1" applyAlignment="1">
      <alignment wrapText="1"/>
    </xf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horizontal="left" vertical="center"/>
    </xf>
    <xf numFmtId="49" fontId="1" fillId="0" borderId="0" xfId="0" applyNumberFormat="1" applyFont="1" applyFill="1" applyAlignment="1">
      <alignment horizontal="left" vertical="center"/>
    </xf>
    <xf numFmtId="0" fontId="1" fillId="0" borderId="0" xfId="0" applyFont="1" applyAlignment="1">
      <alignment vertical="center" wrapText="1"/>
    </xf>
    <xf numFmtId="49" fontId="1" fillId="0" borderId="0" xfId="0" applyNumberFormat="1" applyFont="1" applyAlignment="1">
      <alignment horizontal="left" vertical="center"/>
    </xf>
    <xf numFmtId="49" fontId="1" fillId="0" borderId="0" xfId="0" applyNumberFormat="1" applyFont="1" applyAlignment="1">
      <alignment vertical="center" wrapText="1"/>
    </xf>
    <xf numFmtId="49" fontId="1" fillId="0" borderId="0" xfId="0" applyNumberFormat="1" applyFont="1" applyAlignment="1">
      <alignment horizontal="center" vertical="center"/>
    </xf>
    <xf numFmtId="0" fontId="1" fillId="19" borderId="0" xfId="0" applyFont="1" applyFill="1" applyAlignment="1">
      <alignment horizontal="center"/>
    </xf>
    <xf numFmtId="0" fontId="1" fillId="19" borderId="0" xfId="0" applyFont="1" applyFill="1" applyBorder="1"/>
    <xf numFmtId="49" fontId="1" fillId="19" borderId="0" xfId="0" applyNumberFormat="1" applyFont="1" applyFill="1" applyAlignment="1">
      <alignment horizontal="left"/>
    </xf>
    <xf numFmtId="49" fontId="1" fillId="19" borderId="0" xfId="0" applyNumberFormat="1" applyFont="1" applyFill="1"/>
    <xf numFmtId="49" fontId="1" fillId="19" borderId="0" xfId="0" applyNumberFormat="1" applyFont="1" applyFill="1" applyAlignment="1">
      <alignment horizontal="center"/>
    </xf>
    <xf numFmtId="0" fontId="1" fillId="19" borderId="0" xfId="0" applyFont="1" applyFill="1"/>
    <xf numFmtId="0" fontId="1" fillId="18" borderId="0" xfId="0" applyFont="1" applyFill="1" applyAlignment="1">
      <alignment horizontal="center"/>
    </xf>
    <xf numFmtId="0" fontId="1" fillId="18" borderId="0" xfId="0" applyFont="1" applyFill="1"/>
    <xf numFmtId="49" fontId="1" fillId="18" borderId="0" xfId="0" applyNumberFormat="1" applyFont="1" applyFill="1" applyAlignment="1">
      <alignment horizontal="left"/>
    </xf>
    <xf numFmtId="49" fontId="1" fillId="18" borderId="0" xfId="0" applyNumberFormat="1" applyFont="1" applyFill="1"/>
    <xf numFmtId="49" fontId="1" fillId="18" borderId="0" xfId="0" applyNumberFormat="1" applyFont="1" applyFill="1" applyAlignment="1">
      <alignment horizontal="center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9" fillId="8" borderId="0" xfId="7" applyFont="1" applyBorder="1" applyAlignment="1">
      <alignment horizontal="center" vertical="center" wrapText="1"/>
    </xf>
    <xf numFmtId="0" fontId="18" fillId="2" borderId="0" xfId="1" applyFont="1" applyBorder="1" applyAlignment="1">
      <alignment horizontal="center"/>
    </xf>
    <xf numFmtId="0" fontId="19" fillId="7" borderId="0" xfId="6" applyFont="1" applyBorder="1" applyAlignment="1">
      <alignment horizontal="center"/>
    </xf>
    <xf numFmtId="0" fontId="13" fillId="16" borderId="5" xfId="0" applyFont="1" applyFill="1" applyBorder="1" applyAlignment="1">
      <alignment horizontal="center"/>
    </xf>
    <xf numFmtId="49" fontId="13" fillId="16" borderId="5" xfId="0" applyNumberFormat="1" applyFont="1" applyFill="1" applyBorder="1"/>
    <xf numFmtId="14" fontId="13" fillId="16" borderId="5" xfId="0" applyNumberFormat="1" applyFont="1" applyFill="1" applyBorder="1" applyAlignment="1">
      <alignment horizontal="left"/>
    </xf>
    <xf numFmtId="0" fontId="1" fillId="20" borderId="1" xfId="0" applyFont="1" applyFill="1" applyBorder="1" applyAlignment="1">
      <alignment horizontal="center"/>
    </xf>
    <xf numFmtId="0" fontId="1" fillId="20" borderId="1" xfId="0" applyFont="1" applyFill="1" applyBorder="1"/>
    <xf numFmtId="49" fontId="1" fillId="20" borderId="1" xfId="0" applyNumberFormat="1" applyFont="1" applyFill="1" applyBorder="1" applyAlignment="1">
      <alignment horizontal="left"/>
    </xf>
    <xf numFmtId="49" fontId="1" fillId="20" borderId="1" xfId="0" applyNumberFormat="1" applyFont="1" applyFill="1" applyBorder="1"/>
    <xf numFmtId="0" fontId="13" fillId="16" borderId="5" xfId="0" applyFont="1" applyFill="1" applyBorder="1" applyAlignment="1">
      <alignment horizontal="left"/>
    </xf>
    <xf numFmtId="0" fontId="1" fillId="20" borderId="1" xfId="0" applyFont="1" applyFill="1" applyBorder="1" applyAlignment="1">
      <alignment horizontal="left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1"/>
  <sheetViews>
    <sheetView tabSelected="1" workbookViewId="0">
      <selection activeCell="C10" sqref="C10"/>
    </sheetView>
  </sheetViews>
  <sheetFormatPr defaultRowHeight="17.25" x14ac:dyDescent="0.3"/>
  <cols>
    <col min="1" max="1" width="5.7109375" style="249" customWidth="1"/>
    <col min="2" max="2" width="24.140625" style="234" customWidth="1"/>
    <col min="3" max="3" width="16.7109375" style="234" customWidth="1"/>
    <col min="4" max="4" width="17.7109375" style="234" customWidth="1"/>
    <col min="5" max="5" width="41" style="234" customWidth="1"/>
    <col min="6" max="6" width="19.140625" style="234" customWidth="1"/>
    <col min="7" max="7" width="30.5703125" style="234" customWidth="1"/>
    <col min="8" max="8" width="22.28515625" style="250" customWidth="1"/>
    <col min="9" max="9" width="22.5703125" style="234" customWidth="1"/>
    <col min="10" max="10" width="19.7109375" style="234" customWidth="1"/>
    <col min="11" max="16384" width="9.140625" style="234"/>
  </cols>
  <sheetData>
    <row r="1" spans="1:23" x14ac:dyDescent="0.3">
      <c r="A1" s="231" t="s">
        <v>6</v>
      </c>
      <c r="B1" s="232" t="s">
        <v>5</v>
      </c>
      <c r="C1" s="232" t="s">
        <v>139</v>
      </c>
      <c r="D1" s="232" t="s">
        <v>140</v>
      </c>
      <c r="E1" s="232" t="s">
        <v>117</v>
      </c>
      <c r="F1" s="232" t="s">
        <v>141</v>
      </c>
      <c r="G1" s="232" t="s">
        <v>146</v>
      </c>
      <c r="H1" s="233" t="s">
        <v>142</v>
      </c>
      <c r="I1" s="232" t="s">
        <v>144</v>
      </c>
      <c r="J1" s="232" t="s">
        <v>208</v>
      </c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3" s="239" customFormat="1" x14ac:dyDescent="0.3">
      <c r="A2" s="235">
        <v>1</v>
      </c>
      <c r="B2" s="236" t="s">
        <v>108</v>
      </c>
      <c r="C2" s="236" t="s">
        <v>109</v>
      </c>
      <c r="D2" s="236" t="s">
        <v>110</v>
      </c>
      <c r="E2" s="236" t="s">
        <v>120</v>
      </c>
      <c r="F2" s="237" t="s">
        <v>79</v>
      </c>
      <c r="G2" s="238" t="s">
        <v>149</v>
      </c>
      <c r="H2" s="238" t="s">
        <v>143</v>
      </c>
      <c r="I2" s="237" t="s">
        <v>297</v>
      </c>
      <c r="J2" s="237"/>
      <c r="K2" s="237"/>
      <c r="L2" s="237"/>
      <c r="M2" s="237"/>
      <c r="N2" s="237"/>
      <c r="O2" s="237"/>
      <c r="P2" s="237"/>
      <c r="Q2" s="237"/>
      <c r="R2" s="237"/>
      <c r="S2" s="237"/>
      <c r="T2" s="237"/>
      <c r="U2" s="237"/>
      <c r="V2" s="237"/>
    </row>
    <row r="3" spans="1:23" s="239" customFormat="1" ht="21" customHeight="1" x14ac:dyDescent="0.3">
      <c r="A3" s="235">
        <v>2</v>
      </c>
      <c r="B3" s="237" t="s">
        <v>63</v>
      </c>
      <c r="C3" s="236" t="s">
        <v>85</v>
      </c>
      <c r="D3" s="236" t="s">
        <v>86</v>
      </c>
      <c r="E3" s="236" t="s">
        <v>125</v>
      </c>
      <c r="F3" s="236" t="s">
        <v>89</v>
      </c>
      <c r="G3" s="240" t="s">
        <v>154</v>
      </c>
      <c r="H3" s="240" t="s">
        <v>171</v>
      </c>
      <c r="I3" s="236" t="s">
        <v>299</v>
      </c>
      <c r="J3" s="237" t="s">
        <v>209</v>
      </c>
      <c r="K3" s="237"/>
      <c r="L3" s="237"/>
      <c r="M3" s="237"/>
      <c r="N3" s="237"/>
      <c r="O3" s="237"/>
      <c r="P3" s="237"/>
      <c r="Q3" s="237"/>
      <c r="R3" s="237"/>
      <c r="S3" s="237"/>
      <c r="T3" s="237"/>
      <c r="U3" s="237"/>
      <c r="V3" s="237"/>
    </row>
    <row r="4" spans="1:23" s="241" customFormat="1" x14ac:dyDescent="0.3">
      <c r="A4" s="254">
        <v>3</v>
      </c>
      <c r="B4" s="255" t="s">
        <v>225</v>
      </c>
      <c r="C4" s="256">
        <v>35560</v>
      </c>
      <c r="D4" s="257" t="s">
        <v>262</v>
      </c>
      <c r="E4" s="258" t="s">
        <v>261</v>
      </c>
      <c r="F4" s="258" t="s">
        <v>69</v>
      </c>
      <c r="G4" s="258" t="s">
        <v>174</v>
      </c>
      <c r="H4" s="259" t="s">
        <v>292</v>
      </c>
      <c r="I4" s="255" t="s">
        <v>293</v>
      </c>
      <c r="J4" s="255" t="s">
        <v>496</v>
      </c>
      <c r="K4" s="255"/>
      <c r="L4" s="255"/>
      <c r="M4" s="255"/>
      <c r="N4" s="255"/>
      <c r="O4" s="255"/>
      <c r="P4" s="255"/>
      <c r="Q4" s="255"/>
      <c r="R4" s="255"/>
      <c r="S4" s="255"/>
      <c r="T4" s="255"/>
      <c r="U4" s="255"/>
      <c r="V4" s="255"/>
    </row>
    <row r="5" spans="1:23" s="242" customFormat="1" x14ac:dyDescent="0.3">
      <c r="A5" s="235">
        <v>4</v>
      </c>
      <c r="B5" s="237" t="s">
        <v>195</v>
      </c>
      <c r="C5" s="237"/>
      <c r="D5" s="237"/>
      <c r="E5" s="237"/>
      <c r="F5" s="237" t="s">
        <v>294</v>
      </c>
      <c r="G5" s="238" t="s">
        <v>176</v>
      </c>
      <c r="H5" s="248" t="s">
        <v>296</v>
      </c>
      <c r="I5" s="248" t="s">
        <v>295</v>
      </c>
      <c r="J5" s="237"/>
      <c r="K5" s="237"/>
      <c r="L5" s="237"/>
      <c r="M5" s="237"/>
      <c r="N5" s="237"/>
      <c r="O5" s="237"/>
      <c r="P5" s="237"/>
      <c r="Q5" s="237"/>
      <c r="R5" s="237"/>
      <c r="S5" s="237"/>
      <c r="T5" s="237"/>
      <c r="U5" s="237"/>
      <c r="V5" s="237"/>
      <c r="W5" s="251"/>
    </row>
    <row r="6" spans="1:23" s="237" customFormat="1" x14ac:dyDescent="0.3">
      <c r="A6" s="235">
        <v>5</v>
      </c>
      <c r="B6" s="237" t="s">
        <v>210</v>
      </c>
      <c r="C6" s="238" t="s">
        <v>287</v>
      </c>
      <c r="D6" s="243" t="s">
        <v>288</v>
      </c>
      <c r="E6" s="237" t="s">
        <v>289</v>
      </c>
      <c r="G6" s="238" t="s">
        <v>300</v>
      </c>
      <c r="H6" s="238" t="s">
        <v>292</v>
      </c>
      <c r="I6" s="237" t="s">
        <v>298</v>
      </c>
      <c r="W6" s="252"/>
    </row>
    <row r="7" spans="1:23" s="78" customFormat="1" x14ac:dyDescent="0.3">
      <c r="A7" s="244">
        <v>1</v>
      </c>
      <c r="B7" s="78" t="s">
        <v>188</v>
      </c>
      <c r="C7" s="245" t="s">
        <v>256</v>
      </c>
      <c r="D7" s="246" t="s">
        <v>189</v>
      </c>
      <c r="E7" s="246" t="s">
        <v>257</v>
      </c>
      <c r="F7" s="245" t="s">
        <v>89</v>
      </c>
      <c r="G7" s="247" t="s">
        <v>493</v>
      </c>
      <c r="H7" s="247" t="s">
        <v>494</v>
      </c>
      <c r="I7" s="78" t="s">
        <v>495</v>
      </c>
      <c r="W7" s="253"/>
    </row>
    <row r="8" spans="1:23" s="239" customFormat="1" x14ac:dyDescent="0.3">
      <c r="A8" s="316">
        <v>1</v>
      </c>
      <c r="B8" s="242" t="s">
        <v>520</v>
      </c>
      <c r="C8" s="242"/>
      <c r="D8" s="317" t="s">
        <v>519</v>
      </c>
      <c r="E8" s="242"/>
      <c r="F8" s="242"/>
      <c r="G8" s="323" t="s">
        <v>521</v>
      </c>
      <c r="H8" s="318">
        <v>43437</v>
      </c>
      <c r="I8" s="318">
        <v>43443</v>
      </c>
      <c r="J8" s="242"/>
      <c r="K8" s="316">
        <v>4</v>
      </c>
      <c r="L8" s="316">
        <v>11</v>
      </c>
      <c r="M8" s="316">
        <v>4</v>
      </c>
      <c r="N8" s="316">
        <v>8</v>
      </c>
      <c r="O8" s="316">
        <v>15</v>
      </c>
      <c r="P8" s="316">
        <v>4</v>
      </c>
      <c r="Q8" s="316">
        <v>13</v>
      </c>
      <c r="R8" s="316">
        <f>SUM(K8:N8)</f>
        <v>27</v>
      </c>
      <c r="S8" s="316">
        <f>SUM(O8:Q8)</f>
        <v>32</v>
      </c>
      <c r="T8" s="316">
        <v>115</v>
      </c>
      <c r="U8" s="316">
        <v>100</v>
      </c>
      <c r="V8" s="316">
        <f>T8+U8</f>
        <v>215</v>
      </c>
    </row>
    <row r="9" spans="1:23" s="320" customFormat="1" ht="18.75" x14ac:dyDescent="0.3">
      <c r="A9" s="319">
        <v>3</v>
      </c>
      <c r="B9" s="320" t="s">
        <v>552</v>
      </c>
      <c r="C9" s="321" t="s">
        <v>390</v>
      </c>
      <c r="D9" s="321" t="s">
        <v>553</v>
      </c>
      <c r="E9" s="322"/>
      <c r="F9" s="321" t="s">
        <v>579</v>
      </c>
      <c r="G9" s="321" t="s">
        <v>587</v>
      </c>
      <c r="H9" s="324" t="s">
        <v>588</v>
      </c>
      <c r="I9" s="324" t="s">
        <v>589</v>
      </c>
    </row>
    <row r="10" spans="1:23" x14ac:dyDescent="0.3">
      <c r="G10" s="250"/>
    </row>
    <row r="11" spans="1:23" x14ac:dyDescent="0.3">
      <c r="G11" s="250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282" t="s">
        <v>165</v>
      </c>
      <c r="B2" s="282"/>
      <c r="C2" s="282"/>
      <c r="D2" s="282"/>
      <c r="E2" s="282"/>
      <c r="F2" s="282"/>
      <c r="G2" s="38"/>
    </row>
    <row r="3" spans="1:8" x14ac:dyDescent="0.25">
      <c r="B3" s="69" t="s">
        <v>166</v>
      </c>
      <c r="C3" s="70">
        <f ca="1">MONTH(TODAY())</f>
        <v>5</v>
      </c>
      <c r="D3" s="80"/>
      <c r="E3" s="67" t="s">
        <v>167</v>
      </c>
      <c r="G3" t="s">
        <v>227</v>
      </c>
      <c r="H3" s="71">
        <f ca="1">TODAY()</f>
        <v>43236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>Chuẩn bị tổ chức</v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43262</v>
      </c>
      <c r="F8" s="39" t="str">
        <f t="shared" ca="1" si="1"/>
        <v/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43216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43257</v>
      </c>
      <c r="F11" s="39" t="str">
        <f t="shared" ca="1" si="1"/>
        <v/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43449</v>
      </c>
      <c r="F15" s="93" t="str">
        <f t="shared" ca="1" si="1"/>
        <v/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43132</v>
      </c>
      <c r="F16" s="88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43138</v>
      </c>
      <c r="F17" s="39" t="str">
        <f t="shared" ca="1" si="1"/>
        <v>Đã xong</v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43283</v>
      </c>
      <c r="F21" s="39" t="str">
        <f t="shared" ca="1" si="1"/>
        <v/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43201</v>
      </c>
      <c r="F22" s="93" t="str">
        <f t="shared" ca="1" si="1"/>
        <v>Đã xong</v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43411</v>
      </c>
      <c r="F23" s="88" t="str">
        <f t="shared" ca="1" si="1"/>
        <v/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43107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43377</v>
      </c>
      <c r="F27" s="39" t="str">
        <f t="shared" ca="1" si="1"/>
        <v/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43365</v>
      </c>
      <c r="F28" s="39" t="str">
        <f t="shared" ca="1" si="1"/>
        <v/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43252</v>
      </c>
      <c r="F29" s="39" t="str">
        <f t="shared" ca="1" si="1"/>
        <v/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43388</v>
      </c>
      <c r="F30" s="39" t="str">
        <f t="shared" ca="1" si="1"/>
        <v/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43156</v>
      </c>
      <c r="F31" s="39" t="str">
        <f t="shared" ca="1" si="1"/>
        <v>Đã xong</v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43200</v>
      </c>
      <c r="F32" s="39" t="str">
        <f t="shared" ca="1" si="1"/>
        <v>Đã xong</v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43188</v>
      </c>
      <c r="F33" s="39" t="str">
        <f t="shared" ca="1" si="1"/>
        <v>Đã xong</v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43418</v>
      </c>
      <c r="F34" s="39" t="str">
        <f t="shared" ca="1" si="1"/>
        <v/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43125</v>
      </c>
      <c r="F35" s="39" t="str">
        <f t="shared" ca="1" si="1"/>
        <v>Đã xong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43390</v>
      </c>
      <c r="F36" s="39" t="str">
        <f t="shared" ca="1" si="1"/>
        <v/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43307</v>
      </c>
      <c r="F37" s="39" t="str">
        <f t="shared" ca="1" si="1"/>
        <v/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43378</v>
      </c>
      <c r="F38" s="39" t="str">
        <f t="shared" ca="1" si="1"/>
        <v/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43421</v>
      </c>
      <c r="F39" s="39" t="str">
        <f t="shared" ca="1" si="1"/>
        <v/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43347</v>
      </c>
      <c r="F40" s="39" t="str">
        <f t="shared" ca="1" si="1"/>
        <v/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43435</v>
      </c>
      <c r="F41" s="93" t="str">
        <f t="shared" ca="1" si="1"/>
        <v/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43237</v>
      </c>
      <c r="F44" s="39" t="str">
        <f t="shared" ca="1" si="1"/>
        <v>Chuẩn bị tổ chức</v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43353</v>
      </c>
      <c r="F45" s="39" t="str">
        <f t="shared" ca="1" si="1"/>
        <v/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43242</v>
      </c>
      <c r="F46" s="39" t="str">
        <f t="shared" ca="1" si="1"/>
        <v>Chuẩn bị tổ chức</v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43181</v>
      </c>
      <c r="F47" s="39" t="str">
        <f t="shared" ca="1" si="1"/>
        <v>Đã xong</v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43364</v>
      </c>
      <c r="F48" s="39" t="str">
        <f t="shared" ca="1" si="1"/>
        <v/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4" customWidth="1"/>
  </cols>
  <sheetData>
    <row r="1" spans="1:21" ht="26.25" x14ac:dyDescent="0.4">
      <c r="B1" s="5" t="s">
        <v>51</v>
      </c>
    </row>
    <row r="2" spans="1:21" ht="15.75" x14ac:dyDescent="0.25">
      <c r="J2" s="284" t="s">
        <v>7</v>
      </c>
      <c r="K2" s="284"/>
      <c r="L2" s="284"/>
      <c r="M2" s="284"/>
      <c r="N2" s="285" t="s">
        <v>8</v>
      </c>
      <c r="O2" s="285"/>
      <c r="P2" s="285"/>
      <c r="Q2" s="286" t="s">
        <v>9</v>
      </c>
      <c r="R2" s="286" t="s">
        <v>10</v>
      </c>
      <c r="S2" s="286" t="s">
        <v>11</v>
      </c>
      <c r="T2" s="286" t="s">
        <v>12</v>
      </c>
      <c r="U2" s="283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86"/>
      <c r="R3" s="286"/>
      <c r="S3" s="286"/>
      <c r="T3" s="286"/>
      <c r="U3" s="283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75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75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75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75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75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75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75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90" t="s">
        <v>6</v>
      </c>
      <c r="B3" s="290" t="s">
        <v>5</v>
      </c>
      <c r="C3" s="24"/>
      <c r="D3" s="24"/>
      <c r="E3" s="24"/>
      <c r="F3" s="24"/>
      <c r="G3" s="292"/>
      <c r="H3" s="292"/>
      <c r="I3" s="292"/>
      <c r="J3" s="287"/>
      <c r="K3" s="288"/>
      <c r="L3" s="289"/>
      <c r="M3" s="287"/>
      <c r="N3" s="288"/>
      <c r="O3" s="289"/>
      <c r="P3" s="287"/>
      <c r="Q3" s="288"/>
      <c r="R3" s="289"/>
      <c r="S3" s="287"/>
      <c r="T3" s="288"/>
      <c r="U3" s="289"/>
      <c r="V3" s="287"/>
      <c r="W3" s="288"/>
      <c r="X3" s="289"/>
      <c r="Y3" s="287"/>
      <c r="Z3" s="288"/>
      <c r="AA3" s="289"/>
      <c r="AB3" s="287"/>
      <c r="AC3" s="288"/>
      <c r="AD3" s="289"/>
      <c r="AE3" s="287"/>
      <c r="AF3" s="288"/>
      <c r="AG3" s="289"/>
      <c r="AH3" s="287"/>
      <c r="AI3" s="288"/>
      <c r="AJ3" s="289"/>
      <c r="AK3" s="287"/>
      <c r="AL3" s="288"/>
      <c r="AM3" s="289"/>
      <c r="AN3" s="287"/>
      <c r="AO3" s="288"/>
      <c r="AP3" s="289"/>
      <c r="AQ3" s="287"/>
      <c r="AR3" s="288"/>
      <c r="AS3" s="289"/>
      <c r="AT3" s="287"/>
      <c r="AU3" s="288"/>
      <c r="AV3" s="289"/>
      <c r="AW3" s="287"/>
      <c r="AX3" s="288"/>
      <c r="AY3" s="289"/>
      <c r="AZ3" s="287"/>
      <c r="BA3" s="288"/>
      <c r="BB3" s="289"/>
      <c r="BC3" s="294" t="s">
        <v>116</v>
      </c>
      <c r="BD3" s="295"/>
      <c r="BE3" s="296"/>
      <c r="BF3" s="293">
        <v>42930</v>
      </c>
      <c r="BG3" s="288"/>
      <c r="BH3" s="289"/>
      <c r="BI3" s="287" t="s">
        <v>147</v>
      </c>
      <c r="BJ3" s="288"/>
      <c r="BK3" s="289"/>
      <c r="BL3" s="287" t="s">
        <v>148</v>
      </c>
      <c r="BM3" s="288"/>
      <c r="BN3" s="289"/>
      <c r="BO3" s="287" t="s">
        <v>170</v>
      </c>
      <c r="BP3" s="288"/>
      <c r="BQ3" s="289"/>
      <c r="BR3" s="293">
        <v>42940</v>
      </c>
      <c r="BS3" s="288"/>
      <c r="BT3" s="289"/>
      <c r="BU3" s="293">
        <v>42942</v>
      </c>
      <c r="BV3" s="288"/>
      <c r="BW3" s="289"/>
      <c r="BX3" s="293">
        <v>42944</v>
      </c>
      <c r="BY3" s="288"/>
      <c r="BZ3" s="289"/>
      <c r="CA3" s="293">
        <v>42947</v>
      </c>
      <c r="CB3" s="288"/>
      <c r="CC3" s="289"/>
      <c r="CD3" s="26"/>
    </row>
    <row r="4" spans="1:82" s="17" customFormat="1" ht="21" customHeight="1" x14ac:dyDescent="0.25">
      <c r="A4" s="291"/>
      <c r="B4" s="291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4" customWidth="1"/>
  </cols>
  <sheetData>
    <row r="1" spans="1:21" ht="26.25" x14ac:dyDescent="0.4">
      <c r="B1" s="5" t="s">
        <v>326</v>
      </c>
    </row>
    <row r="2" spans="1:21" ht="15.75" x14ac:dyDescent="0.25">
      <c r="J2" s="284" t="s">
        <v>7</v>
      </c>
      <c r="K2" s="284"/>
      <c r="L2" s="284"/>
      <c r="M2" s="284"/>
      <c r="N2" s="285" t="s">
        <v>8</v>
      </c>
      <c r="O2" s="285"/>
      <c r="P2" s="285"/>
      <c r="Q2" s="286" t="s">
        <v>9</v>
      </c>
      <c r="R2" s="286" t="s">
        <v>10</v>
      </c>
      <c r="S2" s="286" t="s">
        <v>11</v>
      </c>
      <c r="T2" s="286" t="s">
        <v>12</v>
      </c>
      <c r="U2" s="283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86"/>
      <c r="R3" s="286"/>
      <c r="S3" s="286"/>
      <c r="T3" s="286"/>
      <c r="U3" s="283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75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75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75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75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75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75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75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90" t="s">
        <v>6</v>
      </c>
      <c r="B3" s="290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92" t="s">
        <v>31</v>
      </c>
      <c r="H3" s="292"/>
      <c r="I3" s="292"/>
      <c r="J3" s="287" t="s">
        <v>32</v>
      </c>
      <c r="K3" s="288"/>
      <c r="L3" s="289"/>
      <c r="M3" s="287" t="s">
        <v>33</v>
      </c>
      <c r="N3" s="288"/>
      <c r="O3" s="289"/>
      <c r="P3" s="287" t="s">
        <v>34</v>
      </c>
      <c r="Q3" s="288"/>
      <c r="R3" s="289"/>
      <c r="S3" s="287" t="s">
        <v>35</v>
      </c>
      <c r="T3" s="288"/>
      <c r="U3" s="289"/>
      <c r="V3" s="287" t="s">
        <v>36</v>
      </c>
      <c r="W3" s="288"/>
      <c r="X3" s="289"/>
      <c r="Y3" s="287" t="s">
        <v>37</v>
      </c>
      <c r="Z3" s="288"/>
      <c r="AA3" s="289"/>
      <c r="AB3" s="287" t="s">
        <v>38</v>
      </c>
      <c r="AC3" s="288"/>
      <c r="AD3" s="289"/>
      <c r="AE3" s="287" t="s">
        <v>39</v>
      </c>
      <c r="AF3" s="288"/>
      <c r="AG3" s="289"/>
      <c r="AH3" s="287" t="s">
        <v>40</v>
      </c>
      <c r="AI3" s="288"/>
      <c r="AJ3" s="289"/>
      <c r="AK3" s="287" t="s">
        <v>41</v>
      </c>
      <c r="AL3" s="288"/>
      <c r="AM3" s="289"/>
      <c r="AN3" s="287" t="s">
        <v>42</v>
      </c>
      <c r="AO3" s="288"/>
      <c r="AP3" s="289"/>
      <c r="AQ3" s="287" t="s">
        <v>43</v>
      </c>
      <c r="AR3" s="288"/>
      <c r="AS3" s="289"/>
      <c r="AT3" s="287" t="s">
        <v>44</v>
      </c>
      <c r="AU3" s="288"/>
      <c r="AV3" s="289"/>
      <c r="AW3" s="287" t="s">
        <v>45</v>
      </c>
      <c r="AX3" s="288"/>
      <c r="AY3" s="289"/>
      <c r="AZ3" s="287" t="s">
        <v>46</v>
      </c>
      <c r="BA3" s="288"/>
      <c r="BB3" s="289"/>
      <c r="BC3" s="287" t="s">
        <v>47</v>
      </c>
      <c r="BD3" s="288"/>
      <c r="BE3" s="289"/>
      <c r="BF3" s="287" t="s">
        <v>48</v>
      </c>
      <c r="BG3" s="288"/>
      <c r="BH3" s="289"/>
      <c r="BI3" s="287" t="s">
        <v>49</v>
      </c>
      <c r="BJ3" s="288"/>
      <c r="BK3" s="289"/>
      <c r="BL3" s="287"/>
      <c r="BM3" s="288"/>
      <c r="BN3" s="289"/>
      <c r="BO3" s="287"/>
      <c r="BP3" s="288"/>
      <c r="BQ3" s="289"/>
      <c r="BR3" s="287"/>
      <c r="BS3" s="288"/>
      <c r="BT3" s="289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90"/>
      <c r="B4" s="290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E16" sqref="E16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77" customWidth="1"/>
    <col min="27" max="16384" width="9.140625" style="1"/>
  </cols>
  <sheetData>
    <row r="1" spans="1:26" x14ac:dyDescent="0.3">
      <c r="B1" s="162" t="s">
        <v>204</v>
      </c>
    </row>
    <row r="2" spans="1:26" x14ac:dyDescent="0.3">
      <c r="O2" s="298" t="s">
        <v>7</v>
      </c>
      <c r="P2" s="298"/>
      <c r="Q2" s="298"/>
      <c r="R2" s="298"/>
      <c r="S2" s="299" t="s">
        <v>8</v>
      </c>
      <c r="T2" s="299"/>
      <c r="U2" s="299"/>
      <c r="V2" s="300" t="s">
        <v>9</v>
      </c>
      <c r="W2" s="300" t="s">
        <v>10</v>
      </c>
      <c r="X2" s="300" t="s">
        <v>11</v>
      </c>
      <c r="Y2" s="300" t="s">
        <v>12</v>
      </c>
      <c r="Z2" s="297" t="s">
        <v>13</v>
      </c>
    </row>
    <row r="3" spans="1:26" ht="21" customHeight="1" x14ac:dyDescent="0.3">
      <c r="A3" s="171" t="s">
        <v>6</v>
      </c>
      <c r="B3" s="171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71" t="s">
        <v>213</v>
      </c>
      <c r="K3" s="171" t="s">
        <v>214</v>
      </c>
      <c r="L3" s="171" t="s">
        <v>183</v>
      </c>
      <c r="M3" s="171" t="s">
        <v>173</v>
      </c>
      <c r="N3" s="171" t="s">
        <v>1</v>
      </c>
      <c r="O3" s="145" t="s">
        <v>14</v>
      </c>
      <c r="P3" s="146" t="s">
        <v>15</v>
      </c>
      <c r="Q3" s="147" t="s">
        <v>16</v>
      </c>
      <c r="R3" s="148" t="s">
        <v>17</v>
      </c>
      <c r="S3" s="149" t="s">
        <v>18</v>
      </c>
      <c r="T3" s="150" t="s">
        <v>19</v>
      </c>
      <c r="U3" s="151" t="s">
        <v>20</v>
      </c>
      <c r="V3" s="300"/>
      <c r="W3" s="300"/>
      <c r="X3" s="300"/>
      <c r="Y3" s="300"/>
      <c r="Z3" s="297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78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77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448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77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77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76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76">
        <v>6</v>
      </c>
      <c r="P15" s="176">
        <v>17</v>
      </c>
      <c r="Q15" s="176">
        <v>10</v>
      </c>
      <c r="R15" s="176">
        <v>12</v>
      </c>
      <c r="S15" s="176">
        <v>17</v>
      </c>
      <c r="T15" s="176">
        <v>8</v>
      </c>
      <c r="U15" s="176">
        <v>15</v>
      </c>
      <c r="V15" s="176">
        <v>45</v>
      </c>
      <c r="W15" s="176">
        <v>40</v>
      </c>
      <c r="X15" s="176">
        <v>215</v>
      </c>
      <c r="Y15" s="176">
        <v>150</v>
      </c>
      <c r="Z15" s="179">
        <v>365</v>
      </c>
    </row>
    <row r="16" spans="1:26" s="124" customFormat="1" ht="21" customHeight="1" x14ac:dyDescent="0.3">
      <c r="A16" s="124">
        <v>13</v>
      </c>
      <c r="B16" s="124" t="s">
        <v>210</v>
      </c>
      <c r="C16" s="125" t="s">
        <v>287</v>
      </c>
      <c r="D16" s="126" t="s">
        <v>288</v>
      </c>
      <c r="E16" s="127" t="s">
        <v>289</v>
      </c>
      <c r="F16" s="128"/>
      <c r="G16" s="128"/>
      <c r="H16" s="128" t="s">
        <v>217</v>
      </c>
      <c r="I16" s="128" t="s">
        <v>218</v>
      </c>
      <c r="J16" s="129">
        <v>1470000</v>
      </c>
      <c r="K16" s="125"/>
      <c r="O16" s="125"/>
      <c r="P16" s="125"/>
      <c r="Q16" s="125"/>
      <c r="R16" s="125"/>
      <c r="S16" s="125"/>
      <c r="T16" s="125"/>
      <c r="U16" s="125"/>
      <c r="Z16" s="180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77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77">
        <v>405</v>
      </c>
    </row>
    <row r="19" spans="1:26" s="124" customFormat="1" ht="21" customHeight="1" x14ac:dyDescent="0.3">
      <c r="A19" s="124">
        <v>16</v>
      </c>
      <c r="B19" s="124" t="s">
        <v>225</v>
      </c>
      <c r="C19" s="130">
        <v>35560</v>
      </c>
      <c r="D19" s="126" t="s">
        <v>262</v>
      </c>
      <c r="E19" s="127" t="s">
        <v>261</v>
      </c>
      <c r="F19" s="128" t="s">
        <v>69</v>
      </c>
      <c r="G19" s="128"/>
      <c r="H19" s="128" t="s">
        <v>217</v>
      </c>
      <c r="I19" s="128" t="s">
        <v>218</v>
      </c>
      <c r="J19" s="129">
        <v>1470000</v>
      </c>
      <c r="K19" s="125"/>
      <c r="O19" s="125"/>
      <c r="P19" s="125"/>
      <c r="Q19" s="125"/>
      <c r="R19" s="125"/>
      <c r="S19" s="125"/>
      <c r="T19" s="125"/>
      <c r="U19" s="125"/>
      <c r="Z19" s="180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77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90" t="s">
        <v>6</v>
      </c>
      <c r="B3" s="290" t="s">
        <v>5</v>
      </c>
      <c r="C3" s="61"/>
      <c r="D3" s="61"/>
      <c r="E3" s="61"/>
      <c r="F3" s="61"/>
      <c r="G3" s="292"/>
      <c r="H3" s="292"/>
      <c r="I3" s="292"/>
      <c r="J3" s="292"/>
      <c r="K3" s="292"/>
      <c r="L3" s="292"/>
      <c r="M3" s="292"/>
      <c r="N3" s="292"/>
      <c r="O3" s="292"/>
      <c r="P3" s="292"/>
      <c r="Q3" s="292"/>
      <c r="R3" s="292"/>
      <c r="S3" s="292"/>
      <c r="T3" s="292"/>
      <c r="U3" s="292"/>
      <c r="V3" s="292"/>
      <c r="W3" s="292"/>
      <c r="X3" s="292"/>
      <c r="Y3" s="292"/>
      <c r="Z3" s="292"/>
      <c r="AA3" s="292"/>
      <c r="AB3" s="292"/>
      <c r="AC3" s="292"/>
      <c r="AD3" s="292"/>
      <c r="AE3" s="292"/>
      <c r="AF3" s="292"/>
      <c r="AG3" s="292"/>
      <c r="AH3" s="292"/>
      <c r="AI3" s="292"/>
      <c r="AJ3" s="292"/>
      <c r="AK3" s="292"/>
      <c r="AL3" s="292"/>
      <c r="AM3" s="292"/>
      <c r="AN3" s="292"/>
      <c r="AO3" s="292"/>
      <c r="AP3" s="292"/>
      <c r="AQ3" s="292"/>
      <c r="AR3" s="292"/>
      <c r="AS3" s="292"/>
      <c r="AT3" s="292"/>
      <c r="AU3" s="292"/>
      <c r="AV3" s="292"/>
      <c r="AW3" s="292"/>
      <c r="AX3" s="292"/>
      <c r="AY3" s="292"/>
      <c r="AZ3" s="292"/>
      <c r="BA3" s="292"/>
      <c r="BB3" s="292"/>
      <c r="BC3" s="301"/>
      <c r="BD3" s="301"/>
      <c r="BE3" s="301"/>
      <c r="BF3" s="302">
        <v>42976</v>
      </c>
      <c r="BG3" s="292"/>
      <c r="BH3" s="292"/>
      <c r="BI3" s="292"/>
      <c r="BJ3" s="292"/>
      <c r="BK3" s="292"/>
      <c r="BL3" s="292"/>
      <c r="BM3" s="292"/>
      <c r="BN3" s="292"/>
      <c r="BO3" s="292"/>
      <c r="BP3" s="292"/>
      <c r="BQ3" s="292"/>
      <c r="BR3" s="302"/>
      <c r="BS3" s="292"/>
      <c r="BT3" s="292"/>
      <c r="BU3" s="292"/>
      <c r="BV3" s="292"/>
      <c r="BW3" s="292"/>
      <c r="BX3" s="292"/>
      <c r="BY3" s="292"/>
      <c r="BZ3" s="292"/>
      <c r="CA3" s="292"/>
      <c r="CB3" s="292"/>
      <c r="CC3" s="292"/>
      <c r="CD3" s="26"/>
    </row>
    <row r="4" spans="1:82" s="17" customFormat="1" ht="21" customHeight="1" x14ac:dyDescent="0.25">
      <c r="A4" s="290"/>
      <c r="B4" s="290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58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74" customWidth="1"/>
  </cols>
  <sheetData>
    <row r="1" spans="1:25" ht="21" x14ac:dyDescent="0.35">
      <c r="A1" s="17"/>
      <c r="B1" s="303" t="s">
        <v>224</v>
      </c>
      <c r="C1" s="303"/>
      <c r="D1" s="303"/>
      <c r="E1" s="131"/>
      <c r="F1" s="131"/>
      <c r="G1" s="131"/>
      <c r="H1" s="131"/>
      <c r="I1" s="131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72"/>
    </row>
    <row r="2" spans="1:25" ht="15.75" x14ac:dyDescent="0.25">
      <c r="A2" s="17"/>
      <c r="B2" s="17"/>
      <c r="C2" s="17"/>
      <c r="D2" s="131"/>
      <c r="E2" s="131"/>
      <c r="F2" s="131"/>
      <c r="G2" s="131"/>
      <c r="H2" s="131"/>
      <c r="I2" s="131"/>
      <c r="J2" s="52"/>
      <c r="K2" s="17"/>
      <c r="L2" s="17"/>
      <c r="M2" s="17"/>
      <c r="N2" s="284" t="s">
        <v>7</v>
      </c>
      <c r="O2" s="284"/>
      <c r="P2" s="284"/>
      <c r="Q2" s="284"/>
      <c r="R2" s="285" t="s">
        <v>8</v>
      </c>
      <c r="S2" s="285"/>
      <c r="T2" s="285"/>
      <c r="U2" s="286" t="s">
        <v>9</v>
      </c>
      <c r="V2" s="286" t="s">
        <v>10</v>
      </c>
      <c r="W2" s="286" t="s">
        <v>11</v>
      </c>
      <c r="X2" s="286" t="s">
        <v>12</v>
      </c>
      <c r="Y2" s="283" t="s">
        <v>13</v>
      </c>
    </row>
    <row r="3" spans="1:25" s="1" customFormat="1" ht="21" customHeight="1" x14ac:dyDescent="0.3">
      <c r="A3" s="132" t="s">
        <v>6</v>
      </c>
      <c r="B3" s="132" t="s">
        <v>5</v>
      </c>
      <c r="C3" s="132" t="s">
        <v>4</v>
      </c>
      <c r="D3" s="133" t="s">
        <v>3</v>
      </c>
      <c r="E3" s="133" t="s">
        <v>117</v>
      </c>
      <c r="F3" s="133" t="s">
        <v>71</v>
      </c>
      <c r="G3" s="133" t="s">
        <v>211</v>
      </c>
      <c r="H3" s="133" t="s">
        <v>223</v>
      </c>
      <c r="I3" s="133" t="s">
        <v>213</v>
      </c>
      <c r="J3" s="132" t="s">
        <v>214</v>
      </c>
      <c r="K3" s="132" t="s">
        <v>23</v>
      </c>
      <c r="L3" s="132" t="s">
        <v>173</v>
      </c>
      <c r="M3" s="132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86"/>
      <c r="V3" s="286"/>
      <c r="W3" s="286"/>
      <c r="X3" s="286"/>
      <c r="Y3" s="283"/>
    </row>
    <row r="4" spans="1:25" s="1" customFormat="1" ht="21" customHeight="1" x14ac:dyDescent="0.3">
      <c r="A4" s="17">
        <v>1</v>
      </c>
      <c r="B4" s="17" t="s">
        <v>193</v>
      </c>
      <c r="C4" s="134"/>
      <c r="D4" s="155" t="s">
        <v>194</v>
      </c>
      <c r="E4" s="134"/>
      <c r="F4" s="17" t="s">
        <v>290</v>
      </c>
      <c r="G4" s="135">
        <v>2400000</v>
      </c>
      <c r="H4" s="136">
        <v>0.3</v>
      </c>
      <c r="I4" s="135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2"/>
    </row>
    <row r="5" spans="1:25" s="123" customFormat="1" ht="21" customHeight="1" x14ac:dyDescent="0.3">
      <c r="A5" s="137">
        <v>2</v>
      </c>
      <c r="B5" s="137" t="s">
        <v>195</v>
      </c>
      <c r="C5" s="138"/>
      <c r="D5" s="156"/>
      <c r="E5" s="138"/>
      <c r="F5" s="137" t="s">
        <v>290</v>
      </c>
      <c r="G5" s="139">
        <v>2400000</v>
      </c>
      <c r="H5" s="140">
        <v>0.3</v>
      </c>
      <c r="I5" s="139">
        <v>1680000</v>
      </c>
      <c r="J5" s="141"/>
      <c r="K5" s="137"/>
      <c r="L5" s="137"/>
      <c r="M5" s="137"/>
      <c r="N5" s="137"/>
      <c r="O5" s="137"/>
      <c r="P5" s="137"/>
      <c r="Q5" s="137"/>
      <c r="R5" s="137"/>
      <c r="S5" s="137"/>
      <c r="T5" s="137"/>
      <c r="U5" s="137"/>
      <c r="V5" s="137"/>
      <c r="W5" s="137"/>
      <c r="X5" s="137"/>
      <c r="Y5" s="173"/>
    </row>
    <row r="6" spans="1:25" s="1" customFormat="1" ht="21" customHeight="1" x14ac:dyDescent="0.3">
      <c r="A6" s="17">
        <v>3</v>
      </c>
      <c r="B6" s="17" t="s">
        <v>196</v>
      </c>
      <c r="C6" s="134" t="s">
        <v>240</v>
      </c>
      <c r="D6" s="155" t="s">
        <v>197</v>
      </c>
      <c r="E6" s="134" t="s">
        <v>241</v>
      </c>
      <c r="F6" s="17" t="s">
        <v>242</v>
      </c>
      <c r="G6" s="135">
        <v>2400000</v>
      </c>
      <c r="H6" s="136">
        <v>0.3</v>
      </c>
      <c r="I6" s="135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72">
        <v>495</v>
      </c>
    </row>
    <row r="7" spans="1:25" s="1" customFormat="1" ht="21" customHeight="1" x14ac:dyDescent="0.3">
      <c r="A7" s="17">
        <v>4</v>
      </c>
      <c r="B7" s="17" t="s">
        <v>200</v>
      </c>
      <c r="C7" s="134" t="s">
        <v>72</v>
      </c>
      <c r="D7" s="155" t="s">
        <v>201</v>
      </c>
      <c r="E7" s="134" t="s">
        <v>433</v>
      </c>
      <c r="F7" s="17" t="s">
        <v>246</v>
      </c>
      <c r="G7" s="135">
        <v>2400000</v>
      </c>
      <c r="H7" s="136">
        <v>0.3</v>
      </c>
      <c r="I7" s="135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2"/>
    </row>
    <row r="8" spans="1:25" ht="21" customHeight="1" x14ac:dyDescent="0.25">
      <c r="A8" s="17">
        <v>5</v>
      </c>
      <c r="B8" s="17" t="s">
        <v>229</v>
      </c>
      <c r="C8" s="134" t="s">
        <v>243</v>
      </c>
      <c r="D8" s="142" t="s">
        <v>244</v>
      </c>
      <c r="E8" s="142" t="s">
        <v>245</v>
      </c>
      <c r="F8" s="17" t="s">
        <v>246</v>
      </c>
      <c r="G8" s="135">
        <v>2400000</v>
      </c>
      <c r="H8" s="136">
        <v>0.3</v>
      </c>
      <c r="I8" s="135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2"/>
    </row>
    <row r="9" spans="1:25" ht="21" customHeight="1" x14ac:dyDescent="0.25">
      <c r="A9" s="17">
        <v>6</v>
      </c>
      <c r="B9" s="17" t="s">
        <v>230</v>
      </c>
      <c r="C9" s="134" t="s">
        <v>233</v>
      </c>
      <c r="D9" s="142" t="s">
        <v>348</v>
      </c>
      <c r="E9" s="134" t="s">
        <v>234</v>
      </c>
      <c r="F9" s="17" t="s">
        <v>235</v>
      </c>
      <c r="G9" s="135">
        <v>2400000</v>
      </c>
      <c r="H9" s="136">
        <v>0.3</v>
      </c>
      <c r="I9" s="135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72">
        <v>225</v>
      </c>
    </row>
    <row r="10" spans="1:25" ht="21" customHeight="1" x14ac:dyDescent="0.25">
      <c r="A10" s="143" t="s">
        <v>145</v>
      </c>
      <c r="B10" s="134" t="s">
        <v>231</v>
      </c>
      <c r="C10" s="134" t="s">
        <v>236</v>
      </c>
      <c r="D10" s="142" t="s">
        <v>237</v>
      </c>
      <c r="E10" s="134" t="s">
        <v>238</v>
      </c>
      <c r="F10" s="134" t="s">
        <v>239</v>
      </c>
      <c r="G10" s="135">
        <v>2400000</v>
      </c>
      <c r="H10" s="136">
        <v>0.3</v>
      </c>
      <c r="I10" s="135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72">
        <v>455</v>
      </c>
    </row>
    <row r="11" spans="1:25" ht="21" customHeight="1" x14ac:dyDescent="0.25">
      <c r="A11" s="17">
        <v>8</v>
      </c>
      <c r="B11" s="17" t="s">
        <v>232</v>
      </c>
      <c r="C11" s="134"/>
      <c r="D11" s="142" t="s">
        <v>310</v>
      </c>
      <c r="E11" s="134"/>
      <c r="F11" s="17" t="s">
        <v>235</v>
      </c>
      <c r="G11" s="135">
        <v>2400000</v>
      </c>
      <c r="H11" s="136">
        <v>0.3</v>
      </c>
      <c r="I11" s="135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2"/>
    </row>
    <row r="12" spans="1:25" ht="21" customHeight="1" x14ac:dyDescent="0.25">
      <c r="A12" s="143" t="s">
        <v>304</v>
      </c>
      <c r="B12" s="134" t="s">
        <v>305</v>
      </c>
      <c r="C12" s="134" t="s">
        <v>306</v>
      </c>
      <c r="D12" s="142" t="s">
        <v>307</v>
      </c>
      <c r="E12" s="134" t="s">
        <v>308</v>
      </c>
      <c r="F12" s="134" t="s">
        <v>239</v>
      </c>
      <c r="G12" s="135">
        <v>2400000</v>
      </c>
      <c r="H12" s="136">
        <v>0.3</v>
      </c>
      <c r="I12" s="135">
        <v>1680000</v>
      </c>
      <c r="J12" s="131"/>
      <c r="K12" s="134"/>
      <c r="L12" s="134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72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42" t="s">
        <v>312</v>
      </c>
      <c r="E13" s="17"/>
      <c r="F13" s="17"/>
      <c r="G13" s="131"/>
      <c r="H13" s="131"/>
      <c r="I13" s="131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72">
        <v>395</v>
      </c>
    </row>
    <row r="14" spans="1:25" ht="21" customHeight="1" x14ac:dyDescent="0.3">
      <c r="D14" s="157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7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7"/>
    </row>
    <row r="17" spans="4:4" ht="21" customHeight="1" x14ac:dyDescent="0.25">
      <c r="D17" s="157"/>
    </row>
    <row r="18" spans="4:4" ht="21" customHeight="1" x14ac:dyDescent="0.25">
      <c r="D18" s="157"/>
    </row>
    <row r="19" spans="4:4" ht="21" customHeight="1" x14ac:dyDescent="0.25">
      <c r="D19" s="157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90" t="s">
        <v>6</v>
      </c>
      <c r="B3" s="290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92" t="s">
        <v>31</v>
      </c>
      <c r="H3" s="292"/>
      <c r="I3" s="292"/>
      <c r="J3" s="287" t="s">
        <v>32</v>
      </c>
      <c r="K3" s="288"/>
      <c r="L3" s="289"/>
      <c r="M3" s="287" t="s">
        <v>33</v>
      </c>
      <c r="N3" s="288"/>
      <c r="O3" s="289"/>
      <c r="P3" s="287" t="s">
        <v>34</v>
      </c>
      <c r="Q3" s="288"/>
      <c r="R3" s="289"/>
      <c r="S3" s="287" t="s">
        <v>35</v>
      </c>
      <c r="T3" s="288"/>
      <c r="U3" s="289"/>
      <c r="V3" s="287" t="s">
        <v>36</v>
      </c>
      <c r="W3" s="288"/>
      <c r="X3" s="289"/>
      <c r="Y3" s="287" t="s">
        <v>37</v>
      </c>
      <c r="Z3" s="288"/>
      <c r="AA3" s="289"/>
      <c r="AB3" s="287" t="s">
        <v>38</v>
      </c>
      <c r="AC3" s="288"/>
      <c r="AD3" s="289"/>
      <c r="AE3" s="287" t="s">
        <v>39</v>
      </c>
      <c r="AF3" s="288"/>
      <c r="AG3" s="289"/>
      <c r="AH3" s="287" t="s">
        <v>40</v>
      </c>
      <c r="AI3" s="288"/>
      <c r="AJ3" s="289"/>
      <c r="AK3" s="287" t="s">
        <v>41</v>
      </c>
      <c r="AL3" s="288"/>
      <c r="AM3" s="289"/>
      <c r="AN3" s="287" t="s">
        <v>42</v>
      </c>
      <c r="AO3" s="288"/>
      <c r="AP3" s="289"/>
      <c r="AQ3" s="287" t="s">
        <v>43</v>
      </c>
      <c r="AR3" s="288"/>
      <c r="AS3" s="289"/>
      <c r="AT3" s="287" t="s">
        <v>44</v>
      </c>
      <c r="AU3" s="288"/>
      <c r="AV3" s="289"/>
      <c r="AW3" s="287" t="s">
        <v>45</v>
      </c>
      <c r="AX3" s="288"/>
      <c r="AY3" s="289"/>
      <c r="AZ3" s="287" t="s">
        <v>46</v>
      </c>
      <c r="BA3" s="288"/>
      <c r="BB3" s="289"/>
      <c r="BC3" s="287" t="s">
        <v>47</v>
      </c>
      <c r="BD3" s="288"/>
      <c r="BE3" s="289"/>
      <c r="BF3" s="287" t="s">
        <v>48</v>
      </c>
      <c r="BG3" s="288"/>
      <c r="BH3" s="289"/>
      <c r="BI3" s="287" t="s">
        <v>49</v>
      </c>
      <c r="BJ3" s="288"/>
      <c r="BK3" s="289"/>
      <c r="BL3" s="293">
        <v>42970</v>
      </c>
      <c r="BM3" s="288"/>
      <c r="BN3" s="289"/>
      <c r="BO3" s="293">
        <v>42972</v>
      </c>
      <c r="BP3" s="288"/>
      <c r="BQ3" s="289"/>
      <c r="BR3" s="293">
        <v>42975</v>
      </c>
      <c r="BS3" s="288"/>
      <c r="BT3" s="289"/>
      <c r="BU3" s="293">
        <v>42977</v>
      </c>
      <c r="BV3" s="288"/>
      <c r="BW3" s="289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90"/>
      <c r="B4" s="290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7" workbookViewId="0">
      <selection activeCell="C20" sqref="C20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54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style="60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307" t="s">
        <v>431</v>
      </c>
      <c r="B1" s="308"/>
      <c r="C1" s="308"/>
      <c r="D1" s="308"/>
      <c r="E1" s="308"/>
      <c r="F1" s="199"/>
      <c r="G1" s="199"/>
      <c r="H1" s="49"/>
      <c r="I1" s="49"/>
      <c r="J1" s="207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506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308"/>
      <c r="B2" s="308"/>
      <c r="C2" s="308"/>
      <c r="D2" s="308"/>
      <c r="E2" s="308"/>
      <c r="F2" s="199"/>
      <c r="G2" s="199"/>
      <c r="H2" s="49"/>
      <c r="I2" s="49"/>
      <c r="J2" s="207"/>
      <c r="K2" s="309" t="s">
        <v>7</v>
      </c>
      <c r="L2" s="309"/>
      <c r="M2" s="309"/>
      <c r="N2" s="309"/>
      <c r="O2" s="310" t="s">
        <v>8</v>
      </c>
      <c r="P2" s="310"/>
      <c r="Q2" s="310"/>
      <c r="R2" s="305" t="s">
        <v>323</v>
      </c>
      <c r="S2" s="305" t="s">
        <v>324</v>
      </c>
      <c r="T2" s="304" t="s">
        <v>11</v>
      </c>
      <c r="U2" s="304" t="s">
        <v>12</v>
      </c>
      <c r="V2" s="305" t="s">
        <v>325</v>
      </c>
      <c r="W2" s="197"/>
      <c r="X2" s="309" t="s">
        <v>7</v>
      </c>
      <c r="Y2" s="309"/>
      <c r="Z2" s="309"/>
      <c r="AA2" s="309"/>
      <c r="AB2" s="310" t="s">
        <v>8</v>
      </c>
      <c r="AC2" s="310"/>
      <c r="AD2" s="310"/>
      <c r="AE2" s="305" t="s">
        <v>323</v>
      </c>
      <c r="AF2" s="305" t="s">
        <v>324</v>
      </c>
      <c r="AG2" s="304" t="s">
        <v>11</v>
      </c>
      <c r="AH2" s="304" t="s">
        <v>12</v>
      </c>
      <c r="AI2" s="305" t="s">
        <v>325</v>
      </c>
    </row>
    <row r="3" spans="1:35" s="60" customFormat="1" ht="18.75" x14ac:dyDescent="0.3">
      <c r="A3" s="200" t="s">
        <v>6</v>
      </c>
      <c r="B3" s="200" t="s">
        <v>5</v>
      </c>
      <c r="C3" s="201" t="s">
        <v>4</v>
      </c>
      <c r="D3" s="201" t="s">
        <v>3</v>
      </c>
      <c r="E3" s="201" t="s">
        <v>117</v>
      </c>
      <c r="F3" s="201" t="s">
        <v>71</v>
      </c>
      <c r="G3" s="201" t="s">
        <v>106</v>
      </c>
      <c r="H3" s="200" t="s">
        <v>2</v>
      </c>
      <c r="I3" s="200" t="s">
        <v>173</v>
      </c>
      <c r="J3" s="200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304"/>
      <c r="S3" s="304"/>
      <c r="T3" s="304"/>
      <c r="U3" s="304"/>
      <c r="V3" s="304"/>
      <c r="W3" s="198"/>
      <c r="X3" s="163" t="s">
        <v>14</v>
      </c>
      <c r="Y3" s="164" t="s">
        <v>15</v>
      </c>
      <c r="Z3" s="165" t="s">
        <v>16</v>
      </c>
      <c r="AA3" s="166" t="s">
        <v>17</v>
      </c>
      <c r="AB3" s="167" t="s">
        <v>18</v>
      </c>
      <c r="AC3" s="168" t="s">
        <v>19</v>
      </c>
      <c r="AD3" s="169" t="s">
        <v>20</v>
      </c>
      <c r="AE3" s="304"/>
      <c r="AF3" s="304"/>
      <c r="AG3" s="304"/>
      <c r="AH3" s="304"/>
      <c r="AI3" s="304"/>
    </row>
    <row r="4" spans="1:35" ht="18.75" x14ac:dyDescent="0.3">
      <c r="A4" s="49">
        <v>1</v>
      </c>
      <c r="B4" s="21" t="s">
        <v>301</v>
      </c>
      <c r="C4" s="202">
        <v>34005</v>
      </c>
      <c r="D4" s="203" t="s">
        <v>302</v>
      </c>
      <c r="E4" s="204" t="s">
        <v>303</v>
      </c>
      <c r="F4" s="21" t="s">
        <v>372</v>
      </c>
      <c r="G4" s="49"/>
      <c r="H4" s="49" t="s">
        <v>53</v>
      </c>
      <c r="I4" s="49" t="s">
        <v>309</v>
      </c>
      <c r="J4" s="207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306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322</v>
      </c>
      <c r="C5" s="204" t="s">
        <v>400</v>
      </c>
      <c r="D5" s="203" t="s">
        <v>320</v>
      </c>
      <c r="E5" s="204" t="s">
        <v>121</v>
      </c>
      <c r="F5" s="204" t="s">
        <v>399</v>
      </c>
      <c r="G5" s="199"/>
      <c r="H5" s="49" t="s">
        <v>53</v>
      </c>
      <c r="I5" s="49" t="s">
        <v>309</v>
      </c>
      <c r="J5" s="207"/>
      <c r="K5" s="205">
        <v>4</v>
      </c>
      <c r="L5" s="205">
        <v>12</v>
      </c>
      <c r="M5" s="205">
        <v>12</v>
      </c>
      <c r="N5" s="205">
        <v>11</v>
      </c>
      <c r="O5" s="205">
        <v>20</v>
      </c>
      <c r="P5" s="205">
        <v>2</v>
      </c>
      <c r="Q5" s="205">
        <v>16</v>
      </c>
      <c r="R5" s="205">
        <v>39</v>
      </c>
      <c r="S5" s="205">
        <v>38</v>
      </c>
      <c r="T5" s="205">
        <v>180</v>
      </c>
      <c r="U5" s="205">
        <v>140</v>
      </c>
      <c r="V5" s="205">
        <v>320</v>
      </c>
      <c r="W5" s="306"/>
      <c r="X5" s="206">
        <v>3</v>
      </c>
      <c r="Y5" s="206">
        <v>21</v>
      </c>
      <c r="Z5" s="206">
        <v>11</v>
      </c>
      <c r="AA5" s="206">
        <v>12</v>
      </c>
      <c r="AB5" s="206">
        <v>19</v>
      </c>
      <c r="AC5" s="206">
        <v>4</v>
      </c>
      <c r="AD5" s="206">
        <v>20</v>
      </c>
      <c r="AE5" s="206">
        <v>47</v>
      </c>
      <c r="AF5" s="206">
        <v>43</v>
      </c>
      <c r="AG5" s="206">
        <v>230</v>
      </c>
      <c r="AH5" s="206">
        <v>170</v>
      </c>
      <c r="AI5" s="206">
        <v>400</v>
      </c>
    </row>
    <row r="6" spans="1:35" ht="18.75" x14ac:dyDescent="0.3">
      <c r="A6" s="49">
        <v>3</v>
      </c>
      <c r="B6" s="21" t="s">
        <v>319</v>
      </c>
      <c r="C6" s="204" t="s">
        <v>398</v>
      </c>
      <c r="D6" s="203" t="s">
        <v>321</v>
      </c>
      <c r="E6" s="204" t="s">
        <v>121</v>
      </c>
      <c r="F6" s="204" t="s">
        <v>399</v>
      </c>
      <c r="G6" s="199"/>
      <c r="H6" s="49" t="s">
        <v>53</v>
      </c>
      <c r="I6" s="49" t="s">
        <v>309</v>
      </c>
      <c r="J6" s="207"/>
      <c r="K6" s="205">
        <v>0</v>
      </c>
      <c r="L6" s="205">
        <v>14</v>
      </c>
      <c r="M6" s="205">
        <v>8</v>
      </c>
      <c r="N6" s="205">
        <v>7</v>
      </c>
      <c r="O6" s="205">
        <v>15</v>
      </c>
      <c r="P6" s="205">
        <v>5</v>
      </c>
      <c r="Q6" s="205">
        <v>19</v>
      </c>
      <c r="R6" s="205">
        <v>29</v>
      </c>
      <c r="S6" s="205">
        <v>39</v>
      </c>
      <c r="T6" s="205">
        <v>125</v>
      </c>
      <c r="U6" s="205">
        <v>145</v>
      </c>
      <c r="V6" s="205">
        <v>270</v>
      </c>
      <c r="W6" s="306"/>
      <c r="X6" s="206">
        <v>0</v>
      </c>
      <c r="Y6" s="206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333</v>
      </c>
      <c r="C7" s="204" t="s">
        <v>387</v>
      </c>
      <c r="D7" s="203" t="s">
        <v>336</v>
      </c>
      <c r="E7" s="204" t="s">
        <v>371</v>
      </c>
      <c r="F7" s="204" t="s">
        <v>372</v>
      </c>
      <c r="G7" s="199"/>
      <c r="H7" s="49" t="s">
        <v>53</v>
      </c>
      <c r="I7" s="49" t="s">
        <v>332</v>
      </c>
      <c r="J7" s="207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306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334</v>
      </c>
      <c r="C8" s="204" t="s">
        <v>386</v>
      </c>
      <c r="D8" s="203" t="s">
        <v>337</v>
      </c>
      <c r="E8" s="204" t="s">
        <v>335</v>
      </c>
      <c r="F8" s="204" t="s">
        <v>372</v>
      </c>
      <c r="G8" s="199"/>
      <c r="H8" s="49" t="s">
        <v>53</v>
      </c>
      <c r="I8" s="49" t="s">
        <v>332</v>
      </c>
      <c r="J8" s="207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306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338</v>
      </c>
      <c r="C9" s="204" t="s">
        <v>382</v>
      </c>
      <c r="D9" s="203" t="s">
        <v>339</v>
      </c>
      <c r="E9" s="204" t="s">
        <v>383</v>
      </c>
      <c r="F9" s="204" t="s">
        <v>380</v>
      </c>
      <c r="G9" s="199"/>
      <c r="H9" s="49" t="s">
        <v>53</v>
      </c>
      <c r="I9" s="49" t="s">
        <v>332</v>
      </c>
      <c r="J9" s="207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306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340</v>
      </c>
      <c r="C10" s="204" t="s">
        <v>381</v>
      </c>
      <c r="D10" s="203" t="s">
        <v>341</v>
      </c>
      <c r="E10" s="204" t="s">
        <v>342</v>
      </c>
      <c r="F10" s="204" t="s">
        <v>380</v>
      </c>
      <c r="G10" s="199"/>
      <c r="H10" s="49" t="s">
        <v>53</v>
      </c>
      <c r="I10" s="49" t="s">
        <v>332</v>
      </c>
      <c r="J10" s="207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306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345</v>
      </c>
      <c r="C11" s="204" t="s">
        <v>390</v>
      </c>
      <c r="D11" s="203" t="s">
        <v>347</v>
      </c>
      <c r="E11" s="204" t="s">
        <v>391</v>
      </c>
      <c r="F11" s="21" t="s">
        <v>372</v>
      </c>
      <c r="G11" s="199"/>
      <c r="H11" s="49" t="s">
        <v>53</v>
      </c>
      <c r="I11" s="49" t="s">
        <v>346</v>
      </c>
      <c r="J11" s="207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306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350</v>
      </c>
      <c r="C12" s="204" t="s">
        <v>396</v>
      </c>
      <c r="D12" s="203" t="s">
        <v>349</v>
      </c>
      <c r="E12" s="204" t="s">
        <v>397</v>
      </c>
      <c r="F12" s="21" t="s">
        <v>394</v>
      </c>
      <c r="G12" s="199"/>
      <c r="H12" s="49" t="s">
        <v>53</v>
      </c>
      <c r="I12" s="49" t="s">
        <v>332</v>
      </c>
      <c r="J12" s="207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306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354</v>
      </c>
      <c r="C13" s="204" t="s">
        <v>375</v>
      </c>
      <c r="D13" s="203" t="s">
        <v>356</v>
      </c>
      <c r="E13" s="204" t="s">
        <v>378</v>
      </c>
      <c r="F13" s="204" t="s">
        <v>374</v>
      </c>
      <c r="G13" s="199"/>
      <c r="H13" s="49" t="s">
        <v>53</v>
      </c>
      <c r="I13" s="49" t="s">
        <v>332</v>
      </c>
      <c r="J13" s="207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306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355</v>
      </c>
      <c r="C14" s="204" t="s">
        <v>373</v>
      </c>
      <c r="D14" s="203" t="s">
        <v>357</v>
      </c>
      <c r="E14" s="204" t="s">
        <v>379</v>
      </c>
      <c r="F14" s="204" t="s">
        <v>374</v>
      </c>
      <c r="G14" s="199"/>
      <c r="H14" s="49" t="s">
        <v>53</v>
      </c>
      <c r="I14" s="49" t="s">
        <v>332</v>
      </c>
      <c r="J14" s="207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306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358</v>
      </c>
      <c r="C15" s="204" t="s">
        <v>388</v>
      </c>
      <c r="D15" s="203" t="s">
        <v>376</v>
      </c>
      <c r="E15" s="204" t="s">
        <v>377</v>
      </c>
      <c r="F15" s="21" t="s">
        <v>380</v>
      </c>
      <c r="G15" s="199"/>
      <c r="H15" s="49" t="s">
        <v>53</v>
      </c>
      <c r="I15" s="49" t="s">
        <v>346</v>
      </c>
      <c r="J15" s="207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306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04" t="s">
        <v>136</v>
      </c>
      <c r="D16" s="203" t="s">
        <v>137</v>
      </c>
      <c r="E16" s="204" t="s">
        <v>359</v>
      </c>
      <c r="F16" s="21" t="s">
        <v>389</v>
      </c>
      <c r="G16" s="199"/>
      <c r="H16" s="49" t="s">
        <v>53</v>
      </c>
      <c r="I16" s="49" t="s">
        <v>360</v>
      </c>
      <c r="J16" s="207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306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361</v>
      </c>
      <c r="C17" s="204" t="s">
        <v>384</v>
      </c>
      <c r="D17" s="203" t="s">
        <v>385</v>
      </c>
      <c r="E17" s="204" t="s">
        <v>362</v>
      </c>
      <c r="F17" s="21" t="s">
        <v>372</v>
      </c>
      <c r="G17" s="199"/>
      <c r="H17" s="49" t="s">
        <v>53</v>
      </c>
      <c r="I17" s="49" t="s">
        <v>309</v>
      </c>
      <c r="J17" s="207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306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363</v>
      </c>
      <c r="C18" s="204" t="s">
        <v>392</v>
      </c>
      <c r="D18" s="203" t="s">
        <v>393</v>
      </c>
      <c r="E18" s="204" t="s">
        <v>364</v>
      </c>
      <c r="F18" s="21" t="s">
        <v>394</v>
      </c>
      <c r="G18" s="199"/>
      <c r="H18" s="49" t="s">
        <v>53</v>
      </c>
      <c r="I18" s="49" t="s">
        <v>332</v>
      </c>
      <c r="J18" s="207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306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365</v>
      </c>
      <c r="C19" s="204" t="s">
        <v>395</v>
      </c>
      <c r="D19" s="203" t="s">
        <v>367</v>
      </c>
      <c r="E19" s="204" t="s">
        <v>366</v>
      </c>
      <c r="F19" s="21" t="s">
        <v>394</v>
      </c>
      <c r="G19" s="199"/>
      <c r="H19" s="49" t="s">
        <v>53</v>
      </c>
      <c r="I19" s="49" t="s">
        <v>332</v>
      </c>
      <c r="J19" s="207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306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424</v>
      </c>
      <c r="C20" s="204" t="s">
        <v>423</v>
      </c>
      <c r="D20" s="203" t="s">
        <v>420</v>
      </c>
      <c r="E20" s="204" t="s">
        <v>421</v>
      </c>
      <c r="F20" s="21" t="s">
        <v>394</v>
      </c>
      <c r="G20" s="199"/>
      <c r="H20" s="49" t="s">
        <v>53</v>
      </c>
      <c r="I20" s="49" t="s">
        <v>422</v>
      </c>
      <c r="J20" s="207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306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426</v>
      </c>
      <c r="C21" s="204" t="s">
        <v>428</v>
      </c>
      <c r="D21" s="203" t="s">
        <v>429</v>
      </c>
      <c r="E21" s="204" t="s">
        <v>427</v>
      </c>
      <c r="F21" s="21" t="s">
        <v>380</v>
      </c>
      <c r="G21" s="199"/>
      <c r="H21" s="49" t="s">
        <v>53</v>
      </c>
      <c r="I21" s="49" t="s">
        <v>309</v>
      </c>
      <c r="J21" s="207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306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430</v>
      </c>
      <c r="C22" s="204" t="s">
        <v>384</v>
      </c>
      <c r="D22" s="203" t="s">
        <v>434</v>
      </c>
      <c r="E22" s="204" t="s">
        <v>362</v>
      </c>
      <c r="F22" s="21" t="s">
        <v>372</v>
      </c>
      <c r="G22" s="199"/>
      <c r="H22" s="49" t="s">
        <v>53</v>
      </c>
      <c r="I22" s="49" t="s">
        <v>309</v>
      </c>
      <c r="J22" s="207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306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435</v>
      </c>
      <c r="C23" s="204" t="s">
        <v>436</v>
      </c>
      <c r="D23" s="203" t="s">
        <v>437</v>
      </c>
      <c r="E23" s="204" t="s">
        <v>438</v>
      </c>
      <c r="F23" s="21" t="s">
        <v>372</v>
      </c>
      <c r="G23" s="199"/>
      <c r="H23" s="49" t="s">
        <v>53</v>
      </c>
      <c r="I23" s="49" t="s">
        <v>309</v>
      </c>
      <c r="J23" s="207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306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62" t="s">
        <v>432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298" t="s">
        <v>7</v>
      </c>
      <c r="L2" s="298"/>
      <c r="M2" s="298"/>
      <c r="N2" s="298"/>
      <c r="O2" s="299" t="s">
        <v>8</v>
      </c>
      <c r="P2" s="299"/>
      <c r="Q2" s="299"/>
      <c r="R2" s="300" t="s">
        <v>9</v>
      </c>
      <c r="S2" s="300" t="s">
        <v>10</v>
      </c>
      <c r="T2" s="300" t="s">
        <v>11</v>
      </c>
      <c r="U2" s="300" t="s">
        <v>12</v>
      </c>
      <c r="V2" s="300" t="s">
        <v>13</v>
      </c>
    </row>
    <row r="3" spans="1:22" s="2" customFormat="1" x14ac:dyDescent="0.3">
      <c r="A3" s="195" t="s">
        <v>6</v>
      </c>
      <c r="B3" s="195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95" t="s">
        <v>2</v>
      </c>
      <c r="I3" s="195" t="s">
        <v>173</v>
      </c>
      <c r="J3" s="195" t="s">
        <v>1</v>
      </c>
      <c r="K3" s="145" t="s">
        <v>14</v>
      </c>
      <c r="L3" s="146" t="s">
        <v>15</v>
      </c>
      <c r="M3" s="147" t="s">
        <v>16</v>
      </c>
      <c r="N3" s="148" t="s">
        <v>17</v>
      </c>
      <c r="O3" s="149" t="s">
        <v>18</v>
      </c>
      <c r="P3" s="150" t="s">
        <v>19</v>
      </c>
      <c r="Q3" s="151" t="s">
        <v>20</v>
      </c>
      <c r="R3" s="300"/>
      <c r="S3" s="300"/>
      <c r="T3" s="300"/>
      <c r="U3" s="300"/>
      <c r="V3" s="300"/>
    </row>
    <row r="4" spans="1:22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H4" s="2" t="s">
        <v>53</v>
      </c>
      <c r="I4" s="2" t="s">
        <v>309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196">
        <v>300</v>
      </c>
    </row>
    <row r="5" spans="1:22" x14ac:dyDescent="0.3">
      <c r="A5" s="2">
        <v>2</v>
      </c>
      <c r="B5" s="144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H5" s="2" t="s">
        <v>53</v>
      </c>
      <c r="I5" s="2" t="s">
        <v>309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196">
        <v>185</v>
      </c>
    </row>
    <row r="6" spans="1:22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V6" s="196"/>
    </row>
    <row r="7" spans="1:22" ht="21" customHeight="1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53" t="s">
        <v>407</v>
      </c>
      <c r="G7" s="33"/>
      <c r="H7" s="2" t="s">
        <v>53</v>
      </c>
      <c r="I7" s="2" t="s">
        <v>309</v>
      </c>
      <c r="V7" s="196"/>
    </row>
    <row r="8" spans="1:22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196">
        <v>235</v>
      </c>
    </row>
    <row r="9" spans="1:22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196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  <c r="V10" s="196"/>
    </row>
    <row r="11" spans="1:22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196">
        <v>285</v>
      </c>
    </row>
    <row r="12" spans="1:22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196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196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F5" activeCellId="3" sqref="C5 D5 E5 F5"/>
    </sheetView>
  </sheetViews>
  <sheetFormatPr defaultRowHeight="15" x14ac:dyDescent="0.25"/>
  <cols>
    <col min="2" max="2" width="27.85546875" customWidth="1"/>
    <col min="3" max="3" width="16.28515625" style="161" customWidth="1"/>
    <col min="4" max="4" width="20.85546875" style="161" customWidth="1"/>
    <col min="5" max="5" width="37.5703125" customWidth="1"/>
    <col min="6" max="6" width="43.8554687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62" t="s">
        <v>503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98" t="s">
        <v>7</v>
      </c>
      <c r="L2" s="298"/>
      <c r="M2" s="298"/>
      <c r="N2" s="298"/>
      <c r="O2" s="299" t="s">
        <v>8</v>
      </c>
      <c r="P2" s="299"/>
      <c r="Q2" s="299"/>
      <c r="R2" s="311" t="s">
        <v>323</v>
      </c>
      <c r="S2" s="311" t="s">
        <v>324</v>
      </c>
      <c r="T2" s="300" t="s">
        <v>11</v>
      </c>
      <c r="U2" s="300" t="s">
        <v>12</v>
      </c>
      <c r="V2" s="311" t="s">
        <v>325</v>
      </c>
    </row>
    <row r="3" spans="1:22" s="22" customFormat="1" ht="18.75" x14ac:dyDescent="0.3">
      <c r="A3" s="159" t="s">
        <v>6</v>
      </c>
      <c r="B3" s="159" t="s">
        <v>5</v>
      </c>
      <c r="C3" s="160" t="s">
        <v>4</v>
      </c>
      <c r="D3" s="160" t="s">
        <v>3</v>
      </c>
      <c r="E3" s="160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59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300"/>
      <c r="S3" s="300"/>
      <c r="T3" s="300"/>
      <c r="U3" s="300"/>
      <c r="V3" s="300"/>
    </row>
    <row r="4" spans="1:22" ht="18.75" x14ac:dyDescent="0.3">
      <c r="A4" s="2">
        <v>1</v>
      </c>
      <c r="B4" s="1" t="s">
        <v>313</v>
      </c>
      <c r="C4" s="152">
        <v>35107</v>
      </c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 t="s">
        <v>484</v>
      </c>
      <c r="D5" s="194" t="s">
        <v>440</v>
      </c>
      <c r="E5" s="3" t="s">
        <v>485</v>
      </c>
      <c r="F5" s="3" t="s">
        <v>486</v>
      </c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52">
        <v>35471</v>
      </c>
      <c r="D6" s="194" t="s">
        <v>262</v>
      </c>
      <c r="E6" s="3" t="s">
        <v>261</v>
      </c>
      <c r="F6" s="3" t="s">
        <v>69</v>
      </c>
      <c r="G6" s="33"/>
      <c r="H6" s="2"/>
      <c r="I6" s="2" t="s">
        <v>447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441</v>
      </c>
      <c r="C7" s="34" t="s">
        <v>476</v>
      </c>
      <c r="D7" s="34" t="s">
        <v>442</v>
      </c>
      <c r="E7" s="3" t="s">
        <v>477</v>
      </c>
      <c r="F7" s="3" t="s">
        <v>235</v>
      </c>
      <c r="G7" s="33"/>
      <c r="H7" s="2" t="s">
        <v>53</v>
      </c>
      <c r="I7" s="2" t="s">
        <v>332</v>
      </c>
      <c r="J7" s="1"/>
      <c r="K7" s="1">
        <v>4</v>
      </c>
      <c r="L7" s="1">
        <v>14</v>
      </c>
      <c r="M7" s="1">
        <v>13</v>
      </c>
      <c r="N7" s="1">
        <v>4</v>
      </c>
      <c r="O7" s="1">
        <v>15</v>
      </c>
      <c r="P7" s="1">
        <v>8</v>
      </c>
      <c r="Q7" s="1">
        <v>17</v>
      </c>
      <c r="R7" s="1">
        <v>35</v>
      </c>
      <c r="S7" s="1">
        <v>40</v>
      </c>
      <c r="T7" s="1">
        <v>160</v>
      </c>
      <c r="U7" s="1">
        <v>150</v>
      </c>
      <c r="V7" s="1">
        <v>310</v>
      </c>
    </row>
    <row r="8" spans="1:22" ht="18.75" x14ac:dyDescent="0.3">
      <c r="A8" s="2">
        <v>5</v>
      </c>
      <c r="B8" s="1" t="s">
        <v>443</v>
      </c>
      <c r="C8" s="34" t="s">
        <v>478</v>
      </c>
      <c r="D8" s="34" t="s">
        <v>445</v>
      </c>
      <c r="E8" s="3" t="s">
        <v>477</v>
      </c>
      <c r="F8" s="3" t="s">
        <v>235</v>
      </c>
      <c r="G8" s="33"/>
      <c r="H8" s="2" t="s">
        <v>53</v>
      </c>
      <c r="I8" s="2" t="s">
        <v>332</v>
      </c>
      <c r="J8" s="1"/>
      <c r="K8" s="1">
        <v>3</v>
      </c>
      <c r="L8" s="1">
        <v>11</v>
      </c>
      <c r="M8" s="1">
        <v>12</v>
      </c>
      <c r="N8" s="1">
        <v>7</v>
      </c>
      <c r="O8" s="1">
        <v>21</v>
      </c>
      <c r="P8" s="1">
        <v>6</v>
      </c>
      <c r="Q8" s="1">
        <v>19</v>
      </c>
      <c r="R8" s="1">
        <v>33</v>
      </c>
      <c r="S8" s="1">
        <v>46</v>
      </c>
      <c r="T8" s="1">
        <v>145</v>
      </c>
      <c r="U8" s="1">
        <v>190</v>
      </c>
      <c r="V8" s="1">
        <v>335</v>
      </c>
    </row>
    <row r="9" spans="1:22" s="1" customFormat="1" ht="18.75" x14ac:dyDescent="0.3">
      <c r="A9" s="2">
        <v>6</v>
      </c>
      <c r="B9" s="1" t="s">
        <v>444</v>
      </c>
      <c r="C9" s="152">
        <v>35217</v>
      </c>
      <c r="D9" s="194" t="s">
        <v>446</v>
      </c>
      <c r="E9" s="1" t="s">
        <v>477</v>
      </c>
      <c r="F9" s="1" t="s">
        <v>235</v>
      </c>
      <c r="G9" s="2"/>
      <c r="H9" s="2" t="s">
        <v>53</v>
      </c>
      <c r="I9" s="2" t="s">
        <v>332</v>
      </c>
      <c r="K9" s="1">
        <v>3</v>
      </c>
      <c r="L9" s="1">
        <v>14</v>
      </c>
      <c r="M9" s="1">
        <v>10</v>
      </c>
      <c r="N9" s="1">
        <v>11</v>
      </c>
      <c r="O9" s="1">
        <v>20</v>
      </c>
      <c r="P9" s="1">
        <v>7</v>
      </c>
      <c r="Q9" s="1">
        <v>12</v>
      </c>
      <c r="R9" s="1">
        <v>38</v>
      </c>
      <c r="S9" s="1">
        <v>39</v>
      </c>
      <c r="T9" s="1">
        <v>175</v>
      </c>
      <c r="U9" s="1">
        <v>145</v>
      </c>
      <c r="V9" s="1">
        <v>320</v>
      </c>
    </row>
    <row r="10" spans="1:22" ht="18.75" x14ac:dyDescent="0.3">
      <c r="A10" s="2">
        <v>7</v>
      </c>
      <c r="B10" s="1" t="s">
        <v>449</v>
      </c>
      <c r="C10" s="77" t="s">
        <v>487</v>
      </c>
      <c r="D10" s="194" t="s">
        <v>450</v>
      </c>
      <c r="E10" s="1" t="s">
        <v>488</v>
      </c>
      <c r="F10" s="1" t="s">
        <v>489</v>
      </c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452</v>
      </c>
      <c r="C11" s="152">
        <v>34820</v>
      </c>
      <c r="D11" s="34" t="s">
        <v>455</v>
      </c>
      <c r="E11" s="1" t="s">
        <v>479</v>
      </c>
      <c r="F11" s="1" t="s">
        <v>480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453</v>
      </c>
      <c r="C12" s="77" t="s">
        <v>481</v>
      </c>
      <c r="D12" s="194" t="s">
        <v>456</v>
      </c>
      <c r="E12" s="1" t="s">
        <v>482</v>
      </c>
      <c r="F12" s="1" t="s">
        <v>235</v>
      </c>
      <c r="G12" s="2"/>
      <c r="H12" s="2" t="s">
        <v>53</v>
      </c>
      <c r="I12" s="2" t="s">
        <v>309</v>
      </c>
      <c r="J12" s="1"/>
      <c r="K12" s="1">
        <v>4</v>
      </c>
      <c r="L12" s="1">
        <v>18</v>
      </c>
      <c r="M12" s="1">
        <v>11</v>
      </c>
      <c r="N12" s="1">
        <v>9</v>
      </c>
      <c r="O12" s="1">
        <v>13</v>
      </c>
      <c r="P12" s="1">
        <v>6</v>
      </c>
      <c r="Q12" s="1">
        <v>12</v>
      </c>
      <c r="R12" s="1">
        <v>42</v>
      </c>
      <c r="S12" s="1">
        <v>31</v>
      </c>
      <c r="T12" s="1">
        <v>195</v>
      </c>
      <c r="U12" s="1">
        <v>95</v>
      </c>
      <c r="V12" s="1">
        <v>290</v>
      </c>
    </row>
    <row r="13" spans="1:22" ht="18.75" x14ac:dyDescent="0.3">
      <c r="A13" s="2">
        <v>10</v>
      </c>
      <c r="B13" s="1" t="s">
        <v>454</v>
      </c>
      <c r="C13" s="152">
        <v>35318</v>
      </c>
      <c r="D13" s="34" t="s">
        <v>457</v>
      </c>
      <c r="E13" s="1" t="s">
        <v>483</v>
      </c>
      <c r="F13" s="1" t="s">
        <v>235</v>
      </c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491</v>
      </c>
      <c r="C14" s="77" t="s">
        <v>501</v>
      </c>
      <c r="D14" s="34" t="s">
        <v>492</v>
      </c>
      <c r="E14" s="1" t="s">
        <v>502</v>
      </c>
      <c r="G14" s="2"/>
      <c r="H14" s="2" t="s">
        <v>53</v>
      </c>
      <c r="I14" s="2" t="s">
        <v>309</v>
      </c>
      <c r="K14" s="1">
        <v>3</v>
      </c>
      <c r="L14" s="1">
        <v>13</v>
      </c>
      <c r="M14" s="1">
        <v>8</v>
      </c>
      <c r="N14" s="1">
        <v>8</v>
      </c>
      <c r="O14" s="1">
        <v>19</v>
      </c>
      <c r="P14" s="1">
        <v>9</v>
      </c>
      <c r="Q14" s="1">
        <v>8</v>
      </c>
      <c r="R14" s="1">
        <v>35</v>
      </c>
      <c r="S14" s="1">
        <v>36</v>
      </c>
      <c r="T14" s="1">
        <v>160</v>
      </c>
      <c r="U14" s="1">
        <v>125</v>
      </c>
      <c r="V14" s="1">
        <v>285</v>
      </c>
    </row>
    <row r="15" spans="1:22" s="1" customFormat="1" ht="18.75" x14ac:dyDescent="0.3">
      <c r="A15" s="2">
        <v>12</v>
      </c>
      <c r="B15" s="1" t="s">
        <v>497</v>
      </c>
      <c r="C15" s="152">
        <v>32606</v>
      </c>
      <c r="D15" s="34" t="s">
        <v>498</v>
      </c>
      <c r="E15" s="1" t="s">
        <v>499</v>
      </c>
      <c r="F15" s="1" t="s">
        <v>500</v>
      </c>
      <c r="G15" s="2"/>
      <c r="H15" s="2" t="s">
        <v>53</v>
      </c>
      <c r="I15" s="2" t="s">
        <v>332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D4" sqref="D4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61" customWidth="1"/>
    <col min="4" max="4" width="23.140625" customWidth="1"/>
    <col min="5" max="5" width="48.28515625" customWidth="1"/>
    <col min="6" max="6" width="31.42578125" style="161" customWidth="1"/>
    <col min="7" max="7" width="17.42578125" customWidth="1"/>
    <col min="8" max="8" width="14.7109375" customWidth="1"/>
    <col min="9" max="9" width="17.28515625" customWidth="1"/>
    <col min="10" max="10" width="15" style="60" customWidth="1"/>
  </cols>
  <sheetData>
    <row r="1" spans="1:22" ht="18.75" x14ac:dyDescent="0.3">
      <c r="A1" s="2"/>
      <c r="B1" s="162" t="s">
        <v>504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4"/>
      <c r="G2" s="33"/>
      <c r="H2" s="2"/>
      <c r="I2" s="2"/>
      <c r="J2" s="2"/>
      <c r="K2" s="309" t="s">
        <v>7</v>
      </c>
      <c r="L2" s="309"/>
      <c r="M2" s="309"/>
      <c r="N2" s="309"/>
      <c r="O2" s="310" t="s">
        <v>8</v>
      </c>
      <c r="P2" s="310"/>
      <c r="Q2" s="310"/>
      <c r="R2" s="305" t="s">
        <v>323</v>
      </c>
      <c r="S2" s="305" t="s">
        <v>324</v>
      </c>
      <c r="T2" s="304" t="s">
        <v>11</v>
      </c>
      <c r="U2" s="304" t="s">
        <v>12</v>
      </c>
      <c r="V2" s="305" t="s">
        <v>325</v>
      </c>
    </row>
    <row r="3" spans="1:22" ht="18.75" x14ac:dyDescent="0.3">
      <c r="A3" s="159" t="s">
        <v>6</v>
      </c>
      <c r="B3" s="159" t="s">
        <v>5</v>
      </c>
      <c r="C3" s="187" t="s">
        <v>4</v>
      </c>
      <c r="D3" s="160" t="s">
        <v>3</v>
      </c>
      <c r="E3" s="160" t="s">
        <v>117</v>
      </c>
      <c r="F3" s="187" t="s">
        <v>71</v>
      </c>
      <c r="G3" s="160" t="s">
        <v>106</v>
      </c>
      <c r="H3" s="159" t="s">
        <v>2</v>
      </c>
      <c r="I3" s="159" t="s">
        <v>173</v>
      </c>
      <c r="J3" s="170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304"/>
      <c r="S3" s="304"/>
      <c r="T3" s="304"/>
      <c r="U3" s="304"/>
      <c r="V3" s="304"/>
    </row>
    <row r="4" spans="1:22" s="193" customFormat="1" ht="18.75" x14ac:dyDescent="0.3">
      <c r="A4" s="188">
        <v>1</v>
      </c>
      <c r="B4" s="189" t="s">
        <v>188</v>
      </c>
      <c r="C4" s="190" t="s">
        <v>256</v>
      </c>
      <c r="D4" s="191" t="s">
        <v>189</v>
      </c>
      <c r="E4" s="192" t="s">
        <v>257</v>
      </c>
      <c r="F4" s="190" t="s">
        <v>89</v>
      </c>
      <c r="G4" s="188"/>
      <c r="H4" s="188" t="s">
        <v>53</v>
      </c>
      <c r="I4" s="188" t="s">
        <v>451</v>
      </c>
      <c r="J4" s="188"/>
      <c r="K4" s="189"/>
      <c r="L4" s="189"/>
      <c r="M4" s="189"/>
      <c r="N4" s="189"/>
      <c r="O4" s="189"/>
      <c r="P4" s="189"/>
      <c r="Q4" s="189"/>
      <c r="R4" s="189"/>
      <c r="S4" s="189"/>
      <c r="T4" s="189"/>
      <c r="U4" s="189"/>
      <c r="V4" s="189"/>
    </row>
    <row r="5" spans="1:22" ht="18.75" x14ac:dyDescent="0.3">
      <c r="A5" s="2">
        <v>2</v>
      </c>
      <c r="B5" s="1" t="s">
        <v>202</v>
      </c>
      <c r="C5" s="152">
        <v>34705</v>
      </c>
      <c r="D5" s="74" t="s">
        <v>467</v>
      </c>
      <c r="E5" s="34" t="s">
        <v>468</v>
      </c>
      <c r="F5" s="34" t="s">
        <v>260</v>
      </c>
      <c r="G5" s="33"/>
      <c r="H5" s="2" t="s">
        <v>53</v>
      </c>
      <c r="I5" s="2" t="s">
        <v>451</v>
      </c>
      <c r="J5" s="2"/>
      <c r="K5" s="1">
        <v>5</v>
      </c>
      <c r="L5" s="1">
        <v>17</v>
      </c>
      <c r="M5" s="1">
        <v>13</v>
      </c>
      <c r="N5" s="1">
        <v>15</v>
      </c>
      <c r="O5" s="1">
        <v>19</v>
      </c>
      <c r="P5" s="1">
        <v>4</v>
      </c>
      <c r="Q5" s="1">
        <v>17</v>
      </c>
      <c r="R5" s="1">
        <v>50</v>
      </c>
      <c r="S5" s="1">
        <v>40</v>
      </c>
      <c r="T5" s="1">
        <v>250</v>
      </c>
      <c r="U5" s="1">
        <v>150</v>
      </c>
      <c r="V5" s="1">
        <v>400</v>
      </c>
    </row>
    <row r="6" spans="1:22" ht="18.75" x14ac:dyDescent="0.3">
      <c r="A6" s="2">
        <v>3</v>
      </c>
      <c r="B6" s="1" t="s">
        <v>466</v>
      </c>
      <c r="C6" s="152">
        <v>34983</v>
      </c>
      <c r="D6" s="34" t="s">
        <v>458</v>
      </c>
      <c r="E6" s="3" t="s">
        <v>469</v>
      </c>
      <c r="F6" s="34" t="s">
        <v>260</v>
      </c>
      <c r="G6" s="33"/>
      <c r="H6" s="2" t="s">
        <v>53</v>
      </c>
      <c r="I6" s="2" t="s">
        <v>309</v>
      </c>
      <c r="J6" s="2"/>
      <c r="K6" s="1">
        <v>3</v>
      </c>
      <c r="L6" s="1">
        <v>12</v>
      </c>
      <c r="M6" s="1">
        <v>12</v>
      </c>
      <c r="N6" s="1">
        <v>7</v>
      </c>
      <c r="O6" s="1">
        <v>23</v>
      </c>
      <c r="P6" s="1">
        <v>3</v>
      </c>
      <c r="Q6" s="1">
        <v>17</v>
      </c>
      <c r="R6" s="1">
        <v>34</v>
      </c>
      <c r="S6" s="1">
        <v>43</v>
      </c>
      <c r="T6" s="1">
        <v>150</v>
      </c>
      <c r="U6" s="1">
        <v>170</v>
      </c>
      <c r="V6" s="1">
        <v>320</v>
      </c>
    </row>
    <row r="7" spans="1:22" ht="18.75" x14ac:dyDescent="0.3">
      <c r="A7" s="2">
        <v>4</v>
      </c>
      <c r="B7" s="1" t="s">
        <v>459</v>
      </c>
      <c r="C7" s="34" t="s">
        <v>470</v>
      </c>
      <c r="D7" s="34" t="s">
        <v>460</v>
      </c>
      <c r="E7" s="3" t="s">
        <v>469</v>
      </c>
      <c r="F7" s="34" t="s">
        <v>471</v>
      </c>
      <c r="G7" s="33"/>
      <c r="H7" s="2" t="s">
        <v>53</v>
      </c>
      <c r="I7" s="2" t="s">
        <v>332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86" customFormat="1" ht="18.75" x14ac:dyDescent="0.3">
      <c r="A8" s="181">
        <v>5</v>
      </c>
      <c r="B8" s="182" t="s">
        <v>463</v>
      </c>
      <c r="C8" s="183" t="s">
        <v>473</v>
      </c>
      <c r="D8" s="183" t="s">
        <v>461</v>
      </c>
      <c r="E8" s="184" t="s">
        <v>462</v>
      </c>
      <c r="F8" s="183" t="s">
        <v>472</v>
      </c>
      <c r="G8" s="185"/>
      <c r="H8" s="181" t="s">
        <v>53</v>
      </c>
      <c r="I8" s="181" t="s">
        <v>309</v>
      </c>
      <c r="J8" s="181"/>
      <c r="K8" s="182">
        <v>3</v>
      </c>
      <c r="L8" s="182">
        <v>16</v>
      </c>
      <c r="M8" s="182">
        <v>10</v>
      </c>
      <c r="N8" s="182">
        <v>12</v>
      </c>
      <c r="O8" s="182">
        <v>10</v>
      </c>
      <c r="P8" s="182">
        <v>3</v>
      </c>
      <c r="Q8" s="182">
        <v>12</v>
      </c>
      <c r="R8" s="182">
        <v>41</v>
      </c>
      <c r="S8" s="182">
        <v>25</v>
      </c>
      <c r="T8" s="182">
        <v>190</v>
      </c>
      <c r="U8" s="182">
        <v>60</v>
      </c>
      <c r="V8" s="182">
        <v>250</v>
      </c>
    </row>
    <row r="9" spans="1:22" ht="18.75" x14ac:dyDescent="0.3">
      <c r="A9" s="2">
        <v>6</v>
      </c>
      <c r="B9" s="1" t="s">
        <v>52</v>
      </c>
      <c r="C9" s="77" t="s">
        <v>96</v>
      </c>
      <c r="D9" s="34" t="s">
        <v>92</v>
      </c>
      <c r="E9" s="1" t="s">
        <v>128</v>
      </c>
      <c r="F9" s="77" t="s">
        <v>76</v>
      </c>
      <c r="G9" s="2"/>
      <c r="H9" s="2" t="s">
        <v>53</v>
      </c>
      <c r="I9" s="2" t="s">
        <v>490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8" t="s">
        <v>63</v>
      </c>
      <c r="C10" s="59" t="s">
        <v>85</v>
      </c>
      <c r="D10" s="75" t="s">
        <v>86</v>
      </c>
      <c r="E10" s="59" t="s">
        <v>125</v>
      </c>
      <c r="F10" s="59" t="s">
        <v>89</v>
      </c>
      <c r="G10" s="2"/>
      <c r="H10" s="2" t="s">
        <v>53</v>
      </c>
      <c r="I10" s="2" t="s">
        <v>451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464</v>
      </c>
      <c r="C11" s="77" t="s">
        <v>474</v>
      </c>
      <c r="D11" s="75" t="s">
        <v>465</v>
      </c>
      <c r="E11" s="1" t="s">
        <v>475</v>
      </c>
      <c r="F11" s="77" t="s">
        <v>89</v>
      </c>
      <c r="G11" s="2"/>
      <c r="H11" s="2" t="s">
        <v>53</v>
      </c>
      <c r="I11" s="2" t="s">
        <v>332</v>
      </c>
      <c r="J11" s="2"/>
      <c r="K11" s="1">
        <v>5</v>
      </c>
      <c r="L11" s="1">
        <v>16</v>
      </c>
      <c r="M11" s="1">
        <v>16</v>
      </c>
      <c r="N11" s="1">
        <v>10</v>
      </c>
      <c r="O11" s="1">
        <v>19</v>
      </c>
      <c r="P11" s="1">
        <v>4</v>
      </c>
      <c r="Q11" s="1">
        <v>23</v>
      </c>
      <c r="R11" s="1">
        <v>47</v>
      </c>
      <c r="S11" s="1">
        <v>46</v>
      </c>
      <c r="T11" s="1">
        <v>230</v>
      </c>
      <c r="U11" s="1">
        <v>190</v>
      </c>
      <c r="V11" s="1">
        <v>420</v>
      </c>
    </row>
    <row r="12" spans="1:22" ht="18.75" x14ac:dyDescent="0.3">
      <c r="A12" s="2">
        <v>9</v>
      </c>
      <c r="B12" s="1" t="s">
        <v>220</v>
      </c>
      <c r="C12" s="77" t="s">
        <v>249</v>
      </c>
      <c r="D12" s="75" t="s">
        <v>505</v>
      </c>
      <c r="E12" s="1"/>
      <c r="F12" s="77"/>
      <c r="G12" s="2"/>
      <c r="H12" s="2"/>
      <c r="I12" s="2"/>
      <c r="J12" s="2"/>
      <c r="K12" s="1">
        <v>5</v>
      </c>
      <c r="L12" s="1">
        <v>18</v>
      </c>
      <c r="M12" s="1">
        <v>12</v>
      </c>
      <c r="N12" s="1">
        <v>11</v>
      </c>
      <c r="O12" s="1">
        <v>22</v>
      </c>
      <c r="P12" s="1">
        <v>5</v>
      </c>
      <c r="Q12" s="1">
        <v>20</v>
      </c>
      <c r="R12" s="1">
        <v>46</v>
      </c>
      <c r="S12" s="1">
        <v>47</v>
      </c>
      <c r="T12" s="1">
        <v>220</v>
      </c>
      <c r="U12" s="1">
        <v>195</v>
      </c>
      <c r="V12" s="1">
        <v>415</v>
      </c>
    </row>
    <row r="13" spans="1:22" ht="18.75" x14ac:dyDescent="0.3">
      <c r="A13" s="2">
        <v>10</v>
      </c>
      <c r="B13" s="1"/>
      <c r="C13" s="77"/>
      <c r="D13" s="77"/>
      <c r="E13" s="1"/>
      <c r="F13" s="77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61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D4" sqref="D4"/>
    </sheetView>
  </sheetViews>
  <sheetFormatPr defaultRowHeight="15" x14ac:dyDescent="0.25"/>
  <cols>
    <col min="1" max="1" width="6.28515625" style="228" customWidth="1"/>
    <col min="2" max="2" width="26.28515625" style="219" customWidth="1"/>
    <col min="3" max="3" width="20.5703125" style="70" customWidth="1"/>
    <col min="4" max="4" width="28" style="229" customWidth="1"/>
    <col min="5" max="5" width="32.5703125" style="219" customWidth="1"/>
    <col min="6" max="6" width="15.5703125" style="219" bestFit="1" customWidth="1"/>
    <col min="7" max="7" width="12.85546875" style="219" bestFit="1" customWidth="1"/>
    <col min="8" max="8" width="9.7109375" style="219" bestFit="1" customWidth="1"/>
    <col min="9" max="9" width="16.5703125" style="228" bestFit="1" customWidth="1"/>
    <col min="10" max="10" width="10.7109375" style="219" bestFit="1" customWidth="1"/>
    <col min="11" max="22" width="9.28515625" style="219" bestFit="1" customWidth="1"/>
    <col min="23" max="16384" width="9.140625" style="219"/>
  </cols>
  <sheetData>
    <row r="1" spans="1:22" ht="18.75" x14ac:dyDescent="0.3">
      <c r="A1" s="214"/>
      <c r="B1" s="218" t="s">
        <v>508</v>
      </c>
      <c r="C1" s="215"/>
      <c r="D1" s="216"/>
      <c r="E1" s="217"/>
      <c r="F1" s="217"/>
      <c r="G1" s="217"/>
      <c r="H1" s="214"/>
      <c r="I1" s="214"/>
      <c r="J1" s="144"/>
      <c r="K1" s="214"/>
      <c r="L1" s="214"/>
      <c r="M1" s="214"/>
      <c r="N1" s="214"/>
      <c r="O1" s="214"/>
      <c r="P1" s="214"/>
      <c r="Q1" s="214"/>
      <c r="R1" s="144"/>
      <c r="S1" s="144"/>
      <c r="T1" s="144"/>
      <c r="U1" s="144"/>
      <c r="V1" s="144"/>
    </row>
    <row r="2" spans="1:22" ht="18.75" x14ac:dyDescent="0.3">
      <c r="A2" s="214"/>
      <c r="B2" s="144"/>
      <c r="C2" s="215"/>
      <c r="D2" s="216"/>
      <c r="E2" s="217"/>
      <c r="F2" s="217"/>
      <c r="G2" s="217"/>
      <c r="H2" s="214"/>
      <c r="I2" s="214"/>
      <c r="J2" s="144"/>
      <c r="K2" s="314" t="s">
        <v>7</v>
      </c>
      <c r="L2" s="314"/>
      <c r="M2" s="314"/>
      <c r="N2" s="314"/>
      <c r="O2" s="315" t="s">
        <v>8</v>
      </c>
      <c r="P2" s="315"/>
      <c r="Q2" s="315"/>
      <c r="R2" s="313" t="s">
        <v>323</v>
      </c>
      <c r="S2" s="313" t="s">
        <v>324</v>
      </c>
      <c r="T2" s="312" t="s">
        <v>11</v>
      </c>
      <c r="U2" s="312" t="s">
        <v>12</v>
      </c>
      <c r="V2" s="313" t="s">
        <v>325</v>
      </c>
    </row>
    <row r="3" spans="1:22" s="230" customFormat="1" ht="18.75" x14ac:dyDescent="0.3">
      <c r="A3" s="159" t="s">
        <v>6</v>
      </c>
      <c r="B3" s="159" t="s">
        <v>5</v>
      </c>
      <c r="C3" s="160" t="s">
        <v>4</v>
      </c>
      <c r="D3" s="160" t="s">
        <v>3</v>
      </c>
      <c r="E3" s="160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59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312"/>
      <c r="S3" s="312"/>
      <c r="T3" s="312"/>
      <c r="U3" s="312"/>
      <c r="V3" s="312"/>
    </row>
    <row r="4" spans="1:22" s="224" customFormat="1" ht="18.75" x14ac:dyDescent="0.3">
      <c r="A4" s="220">
        <v>1</v>
      </c>
      <c r="B4" s="221" t="s">
        <v>520</v>
      </c>
      <c r="C4" s="222"/>
      <c r="D4" s="223" t="s">
        <v>519</v>
      </c>
      <c r="E4" s="221"/>
      <c r="F4" s="221"/>
      <c r="G4" s="221"/>
      <c r="H4" s="221"/>
      <c r="I4" s="220" t="s">
        <v>309</v>
      </c>
      <c r="J4" s="221"/>
      <c r="K4" s="220">
        <v>4</v>
      </c>
      <c r="L4" s="220">
        <v>11</v>
      </c>
      <c r="M4" s="220">
        <v>4</v>
      </c>
      <c r="N4" s="220">
        <v>8</v>
      </c>
      <c r="O4" s="220">
        <v>15</v>
      </c>
      <c r="P4" s="220">
        <v>4</v>
      </c>
      <c r="Q4" s="220">
        <v>13</v>
      </c>
      <c r="R4" s="220">
        <f>SUM(K4:N4)</f>
        <v>27</v>
      </c>
      <c r="S4" s="220">
        <f>SUM(O4:Q4)</f>
        <v>32</v>
      </c>
      <c r="T4" s="220">
        <v>115</v>
      </c>
      <c r="U4" s="220">
        <v>100</v>
      </c>
      <c r="V4" s="220">
        <f>T4+U4</f>
        <v>215</v>
      </c>
    </row>
    <row r="5" spans="1:22" ht="18.75" x14ac:dyDescent="0.3">
      <c r="A5" s="214">
        <v>2</v>
      </c>
      <c r="B5" s="144" t="s">
        <v>509</v>
      </c>
      <c r="C5" s="215"/>
      <c r="D5" s="216" t="s">
        <v>510</v>
      </c>
      <c r="E5" s="144"/>
      <c r="F5" s="144"/>
      <c r="G5" s="144"/>
      <c r="H5" s="144"/>
      <c r="I5" s="214" t="s">
        <v>309</v>
      </c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</row>
    <row r="6" spans="1:22" ht="18.75" x14ac:dyDescent="0.3">
      <c r="A6" s="214">
        <v>3</v>
      </c>
      <c r="B6" s="215" t="s">
        <v>515</v>
      </c>
      <c r="C6" s="225">
        <v>35005</v>
      </c>
      <c r="D6" s="216" t="s">
        <v>517</v>
      </c>
      <c r="E6" s="144" t="s">
        <v>530</v>
      </c>
      <c r="F6" s="144"/>
      <c r="G6" s="214" t="s">
        <v>53</v>
      </c>
      <c r="H6" s="144"/>
      <c r="I6" s="214" t="s">
        <v>309</v>
      </c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</row>
    <row r="7" spans="1:22" ht="18.75" x14ac:dyDescent="0.3">
      <c r="A7" s="214">
        <v>4</v>
      </c>
      <c r="B7" s="215" t="s">
        <v>516</v>
      </c>
      <c r="C7" s="215" t="s">
        <v>528</v>
      </c>
      <c r="D7" s="216" t="s">
        <v>518</v>
      </c>
      <c r="E7" s="144" t="s">
        <v>531</v>
      </c>
      <c r="F7" s="144"/>
      <c r="G7" s="214" t="s">
        <v>53</v>
      </c>
      <c r="H7" s="144"/>
      <c r="I7" s="214" t="s">
        <v>309</v>
      </c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</row>
    <row r="8" spans="1:22" ht="18.75" x14ac:dyDescent="0.3">
      <c r="A8" s="214">
        <v>5</v>
      </c>
      <c r="B8" s="226" t="s">
        <v>522</v>
      </c>
      <c r="C8" s="215" t="s">
        <v>529</v>
      </c>
      <c r="D8" s="216" t="s">
        <v>523</v>
      </c>
      <c r="E8" s="211" t="s">
        <v>533</v>
      </c>
      <c r="F8" s="144"/>
      <c r="G8" s="214" t="s">
        <v>53</v>
      </c>
      <c r="H8" s="144"/>
      <c r="I8" s="214" t="s">
        <v>346</v>
      </c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</row>
    <row r="9" spans="1:22" ht="18.75" x14ac:dyDescent="0.3">
      <c r="A9" s="214">
        <v>6</v>
      </c>
      <c r="B9" s="226" t="s">
        <v>524</v>
      </c>
      <c r="C9" s="215" t="s">
        <v>527</v>
      </c>
      <c r="D9" s="227" t="s">
        <v>525</v>
      </c>
      <c r="E9" s="144" t="s">
        <v>532</v>
      </c>
      <c r="F9" s="144"/>
      <c r="G9" s="214" t="s">
        <v>53</v>
      </c>
      <c r="H9" s="144"/>
      <c r="I9" s="214" t="s">
        <v>309</v>
      </c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</row>
    <row r="10" spans="1:22" ht="18.75" x14ac:dyDescent="0.3">
      <c r="A10" s="214">
        <v>7</v>
      </c>
      <c r="B10" s="226" t="s">
        <v>545</v>
      </c>
      <c r="C10" s="225">
        <v>35342</v>
      </c>
      <c r="D10" s="216" t="s">
        <v>534</v>
      </c>
      <c r="E10" s="211" t="s">
        <v>535</v>
      </c>
      <c r="F10" s="144"/>
      <c r="G10" s="214" t="s">
        <v>53</v>
      </c>
      <c r="H10" s="144"/>
      <c r="I10" s="214"/>
      <c r="J10" s="144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4"/>
      <c r="V10" s="144"/>
    </row>
    <row r="11" spans="1:22" ht="18.75" x14ac:dyDescent="0.3">
      <c r="A11" s="214">
        <v>8</v>
      </c>
      <c r="B11" s="226" t="s">
        <v>536</v>
      </c>
      <c r="C11" s="225">
        <v>33428</v>
      </c>
      <c r="D11" s="216" t="s">
        <v>537</v>
      </c>
      <c r="E11" s="211" t="s">
        <v>538</v>
      </c>
      <c r="F11" s="144"/>
      <c r="G11" s="214" t="s">
        <v>53</v>
      </c>
      <c r="H11" s="144"/>
      <c r="I11" s="214"/>
      <c r="J11" s="144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44"/>
    </row>
    <row r="12" spans="1:22" ht="18.75" x14ac:dyDescent="0.3">
      <c r="A12" s="214"/>
      <c r="B12" s="144"/>
      <c r="C12" s="215"/>
      <c r="D12" s="216"/>
      <c r="E12" s="214"/>
      <c r="F12" s="144"/>
      <c r="G12" s="144"/>
      <c r="H12" s="144"/>
      <c r="I12" s="21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workbookViewId="0">
      <selection activeCell="F8" sqref="F8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62" t="s">
        <v>507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H2" s="2"/>
      <c r="I2" s="2"/>
      <c r="J2" s="309" t="s">
        <v>7</v>
      </c>
      <c r="K2" s="309"/>
      <c r="L2" s="309"/>
      <c r="M2" s="309"/>
      <c r="N2" s="310" t="s">
        <v>8</v>
      </c>
      <c r="O2" s="310"/>
      <c r="P2" s="310"/>
      <c r="Q2" s="305" t="s">
        <v>323</v>
      </c>
      <c r="R2" s="305" t="s">
        <v>324</v>
      </c>
      <c r="S2" s="304" t="s">
        <v>11</v>
      </c>
      <c r="T2" s="304" t="s">
        <v>12</v>
      </c>
      <c r="U2" s="305" t="s">
        <v>325</v>
      </c>
    </row>
    <row r="3" spans="1:21" x14ac:dyDescent="0.3">
      <c r="A3" s="159" t="s">
        <v>6</v>
      </c>
      <c r="B3" s="159" t="s">
        <v>5</v>
      </c>
      <c r="C3" s="208" t="s">
        <v>4</v>
      </c>
      <c r="D3" s="160" t="s">
        <v>3</v>
      </c>
      <c r="E3" s="209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63" t="s">
        <v>14</v>
      </c>
      <c r="K3" s="164" t="s">
        <v>15</v>
      </c>
      <c r="L3" s="165" t="s">
        <v>16</v>
      </c>
      <c r="M3" s="166" t="s">
        <v>17</v>
      </c>
      <c r="N3" s="167" t="s">
        <v>18</v>
      </c>
      <c r="O3" s="168" t="s">
        <v>19</v>
      </c>
      <c r="P3" s="169" t="s">
        <v>20</v>
      </c>
      <c r="Q3" s="304"/>
      <c r="R3" s="304"/>
      <c r="S3" s="304"/>
      <c r="T3" s="304"/>
      <c r="U3" s="304"/>
    </row>
    <row r="4" spans="1:21" x14ac:dyDescent="0.3">
      <c r="A4" s="2">
        <v>1</v>
      </c>
      <c r="B4" s="1" t="s">
        <v>363</v>
      </c>
      <c r="C4" s="152">
        <v>35013</v>
      </c>
      <c r="D4" s="210" t="s">
        <v>393</v>
      </c>
      <c r="E4" s="34" t="s">
        <v>364</v>
      </c>
      <c r="F4" s="34"/>
      <c r="G4" s="33"/>
      <c r="H4" s="2" t="s">
        <v>53</v>
      </c>
      <c r="I4" s="2" t="s">
        <v>451</v>
      </c>
    </row>
    <row r="5" spans="1:21" x14ac:dyDescent="0.3">
      <c r="A5" s="2">
        <v>2</v>
      </c>
      <c r="B5" s="1" t="s">
        <v>334</v>
      </c>
      <c r="C5" s="152">
        <v>34824</v>
      </c>
      <c r="D5" s="34" t="s">
        <v>337</v>
      </c>
      <c r="E5" s="3" t="s">
        <v>335</v>
      </c>
      <c r="F5" s="34"/>
      <c r="G5" s="33"/>
      <c r="H5" s="2" t="s">
        <v>53</v>
      </c>
      <c r="I5" s="2" t="s">
        <v>451</v>
      </c>
    </row>
    <row r="6" spans="1:21" x14ac:dyDescent="0.3">
      <c r="A6" s="2">
        <v>3</v>
      </c>
      <c r="B6" s="1" t="s">
        <v>511</v>
      </c>
      <c r="C6" s="34" t="s">
        <v>539</v>
      </c>
      <c r="D6" s="34" t="s">
        <v>512</v>
      </c>
      <c r="E6" s="3" t="s">
        <v>513</v>
      </c>
      <c r="F6" s="34"/>
      <c r="G6" s="33" t="s">
        <v>53</v>
      </c>
      <c r="H6" s="2" t="s">
        <v>53</v>
      </c>
      <c r="I6" s="2" t="s">
        <v>514</v>
      </c>
    </row>
    <row r="7" spans="1:21" x14ac:dyDescent="0.3">
      <c r="A7" s="181">
        <v>4</v>
      </c>
      <c r="B7" s="211" t="s">
        <v>424</v>
      </c>
      <c r="C7" s="183" t="s">
        <v>423</v>
      </c>
      <c r="D7" s="183" t="s">
        <v>526</v>
      </c>
      <c r="E7" s="184" t="s">
        <v>543</v>
      </c>
      <c r="F7" s="183"/>
      <c r="G7" s="185"/>
      <c r="H7" s="181" t="s">
        <v>53</v>
      </c>
      <c r="I7" s="181" t="s">
        <v>514</v>
      </c>
      <c r="J7" s="182"/>
      <c r="K7" s="182"/>
      <c r="L7" s="182"/>
      <c r="M7" s="182"/>
      <c r="N7" s="182"/>
      <c r="O7" s="182"/>
      <c r="P7" s="182"/>
      <c r="Q7" s="182"/>
      <c r="R7" s="182"/>
      <c r="S7" s="182"/>
      <c r="T7" s="182"/>
      <c r="U7" s="182"/>
    </row>
    <row r="8" spans="1:21" x14ac:dyDescent="0.3">
      <c r="A8" s="212">
        <v>5</v>
      </c>
      <c r="B8" s="211" t="s">
        <v>540</v>
      </c>
      <c r="C8" s="1" t="s">
        <v>541</v>
      </c>
      <c r="D8" s="183" t="s">
        <v>550</v>
      </c>
      <c r="E8" s="213" t="s">
        <v>542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0"/>
  <sheetViews>
    <sheetView workbookViewId="0">
      <selection activeCell="A6" sqref="A6:XFD6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0.85546875" style="1" customWidth="1"/>
    <col min="6" max="6" width="43.140625" style="1" customWidth="1"/>
    <col min="7" max="7" width="19.5703125" style="1" customWidth="1"/>
    <col min="8" max="8" width="13" style="2" customWidth="1"/>
    <col min="9" max="9" width="17.140625" style="2" customWidth="1"/>
    <col min="10" max="16384" width="9.140625" style="1"/>
  </cols>
  <sheetData>
    <row r="1" spans="1:21" x14ac:dyDescent="0.3">
      <c r="A1" s="2"/>
      <c r="B1" s="162" t="s">
        <v>546</v>
      </c>
      <c r="C1" s="77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J2" s="309" t="s">
        <v>7</v>
      </c>
      <c r="K2" s="309"/>
      <c r="L2" s="309"/>
      <c r="M2" s="309"/>
      <c r="N2" s="310" t="s">
        <v>8</v>
      </c>
      <c r="O2" s="310"/>
      <c r="P2" s="310"/>
      <c r="Q2" s="305" t="s">
        <v>323</v>
      </c>
      <c r="R2" s="305" t="s">
        <v>324</v>
      </c>
      <c r="S2" s="304" t="s">
        <v>11</v>
      </c>
      <c r="T2" s="304" t="s">
        <v>12</v>
      </c>
      <c r="U2" s="305" t="s">
        <v>325</v>
      </c>
    </row>
    <row r="3" spans="1:21" x14ac:dyDescent="0.3">
      <c r="A3" s="159" t="s">
        <v>6</v>
      </c>
      <c r="B3" s="159" t="s">
        <v>5</v>
      </c>
      <c r="C3" s="208" t="s">
        <v>4</v>
      </c>
      <c r="D3" s="160" t="s">
        <v>3</v>
      </c>
      <c r="E3" s="209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63" t="s">
        <v>14</v>
      </c>
      <c r="K3" s="164" t="s">
        <v>15</v>
      </c>
      <c r="L3" s="165" t="s">
        <v>16</v>
      </c>
      <c r="M3" s="166" t="s">
        <v>17</v>
      </c>
      <c r="N3" s="167" t="s">
        <v>18</v>
      </c>
      <c r="O3" s="168" t="s">
        <v>19</v>
      </c>
      <c r="P3" s="169" t="s">
        <v>20</v>
      </c>
      <c r="Q3" s="304"/>
      <c r="R3" s="304"/>
      <c r="S3" s="304"/>
      <c r="T3" s="304"/>
      <c r="U3" s="304"/>
    </row>
    <row r="4" spans="1:21" x14ac:dyDescent="0.3">
      <c r="A4" s="2">
        <v>1</v>
      </c>
      <c r="B4" s="1" t="s">
        <v>520</v>
      </c>
      <c r="C4" s="34" t="s">
        <v>580</v>
      </c>
      <c r="D4" s="194" t="s">
        <v>519</v>
      </c>
      <c r="E4" s="3" t="s">
        <v>581</v>
      </c>
      <c r="F4" s="3" t="s">
        <v>582</v>
      </c>
      <c r="G4" s="33"/>
      <c r="H4" s="2" t="s">
        <v>447</v>
      </c>
      <c r="I4" s="2" t="s">
        <v>547</v>
      </c>
    </row>
    <row r="5" spans="1:21" s="264" customFormat="1" ht="37.5" x14ac:dyDescent="0.25">
      <c r="A5" s="176">
        <v>2</v>
      </c>
      <c r="B5" s="264" t="s">
        <v>548</v>
      </c>
      <c r="C5" s="265" t="s">
        <v>585</v>
      </c>
      <c r="D5" s="268" t="s">
        <v>549</v>
      </c>
      <c r="E5" s="269" t="s">
        <v>586</v>
      </c>
      <c r="F5" s="268" t="s">
        <v>584</v>
      </c>
      <c r="G5" s="270"/>
      <c r="H5" s="176" t="s">
        <v>53</v>
      </c>
      <c r="I5" s="176" t="s">
        <v>309</v>
      </c>
    </row>
    <row r="6" spans="1:21" s="278" customFormat="1" x14ac:dyDescent="0.3">
      <c r="A6" s="277">
        <v>3</v>
      </c>
      <c r="B6" s="278" t="s">
        <v>552</v>
      </c>
      <c r="C6" s="279" t="s">
        <v>390</v>
      </c>
      <c r="D6" s="279" t="s">
        <v>553</v>
      </c>
      <c r="E6" s="280"/>
      <c r="F6" s="279" t="s">
        <v>579</v>
      </c>
      <c r="G6" s="281"/>
      <c r="H6" s="277" t="s">
        <v>53</v>
      </c>
      <c r="I6" s="277" t="s">
        <v>332</v>
      </c>
    </row>
    <row r="7" spans="1:21" s="276" customFormat="1" x14ac:dyDescent="0.3">
      <c r="A7" s="271">
        <v>4</v>
      </c>
      <c r="B7" s="272" t="s">
        <v>554</v>
      </c>
      <c r="C7" s="273"/>
      <c r="D7" s="273" t="s">
        <v>555</v>
      </c>
      <c r="E7" s="274"/>
      <c r="F7" s="273"/>
      <c r="G7" s="275"/>
      <c r="H7" s="271"/>
      <c r="I7" s="271" t="s">
        <v>309</v>
      </c>
    </row>
    <row r="8" spans="1:21" x14ac:dyDescent="0.3">
      <c r="A8" s="212">
        <v>5</v>
      </c>
      <c r="B8" s="211" t="s">
        <v>560</v>
      </c>
      <c r="D8" s="183" t="s">
        <v>563</v>
      </c>
      <c r="E8" s="213"/>
      <c r="G8" s="2"/>
      <c r="H8" s="2" t="s">
        <v>221</v>
      </c>
      <c r="I8" s="2" t="s">
        <v>568</v>
      </c>
    </row>
    <row r="9" spans="1:21" s="264" customFormat="1" ht="37.5" x14ac:dyDescent="0.25">
      <c r="A9" s="176">
        <v>6</v>
      </c>
      <c r="B9" s="264" t="s">
        <v>561</v>
      </c>
      <c r="C9" s="265">
        <v>35988</v>
      </c>
      <c r="D9" s="266" t="s">
        <v>564</v>
      </c>
      <c r="E9" s="267" t="s">
        <v>583</v>
      </c>
      <c r="F9" s="264" t="s">
        <v>584</v>
      </c>
      <c r="G9" s="176"/>
      <c r="H9" s="176" t="s">
        <v>221</v>
      </c>
      <c r="I9" s="176" t="s">
        <v>568</v>
      </c>
    </row>
    <row r="10" spans="1:21" x14ac:dyDescent="0.3">
      <c r="H10" s="2" t="s">
        <v>221</v>
      </c>
      <c r="I10" s="2" t="s">
        <v>568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B6" sqref="B6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62" t="s">
        <v>544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H2" s="2"/>
      <c r="I2" s="2"/>
      <c r="J2" s="309" t="s">
        <v>7</v>
      </c>
      <c r="K2" s="309"/>
      <c r="L2" s="309"/>
      <c r="M2" s="309"/>
      <c r="N2" s="310" t="s">
        <v>8</v>
      </c>
      <c r="O2" s="310"/>
      <c r="P2" s="310"/>
      <c r="Q2" s="305" t="s">
        <v>323</v>
      </c>
      <c r="R2" s="305" t="s">
        <v>324</v>
      </c>
      <c r="S2" s="304" t="s">
        <v>11</v>
      </c>
      <c r="T2" s="304" t="s">
        <v>12</v>
      </c>
      <c r="U2" s="305" t="s">
        <v>325</v>
      </c>
    </row>
    <row r="3" spans="1:21" x14ac:dyDescent="0.3">
      <c r="A3" s="159" t="s">
        <v>6</v>
      </c>
      <c r="B3" s="159" t="s">
        <v>5</v>
      </c>
      <c r="C3" s="208" t="s">
        <v>4</v>
      </c>
      <c r="D3" s="160" t="s">
        <v>3</v>
      </c>
      <c r="E3" s="209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63" t="s">
        <v>14</v>
      </c>
      <c r="K3" s="164" t="s">
        <v>15</v>
      </c>
      <c r="L3" s="165" t="s">
        <v>16</v>
      </c>
      <c r="M3" s="166" t="s">
        <v>17</v>
      </c>
      <c r="N3" s="167" t="s">
        <v>18</v>
      </c>
      <c r="O3" s="168" t="s">
        <v>19</v>
      </c>
      <c r="P3" s="169" t="s">
        <v>20</v>
      </c>
      <c r="Q3" s="304"/>
      <c r="R3" s="304"/>
      <c r="S3" s="304"/>
      <c r="T3" s="304"/>
      <c r="U3" s="304"/>
    </row>
    <row r="4" spans="1:21" x14ac:dyDescent="0.3">
      <c r="A4" s="2">
        <v>1</v>
      </c>
      <c r="B4" s="1" t="s">
        <v>439</v>
      </c>
      <c r="C4" s="34" t="s">
        <v>484</v>
      </c>
      <c r="D4" s="194" t="s">
        <v>440</v>
      </c>
      <c r="E4" s="3" t="s">
        <v>485</v>
      </c>
      <c r="F4" s="3" t="s">
        <v>486</v>
      </c>
      <c r="G4" s="33"/>
      <c r="H4" s="2" t="s">
        <v>53</v>
      </c>
      <c r="I4" s="2" t="s">
        <v>451</v>
      </c>
    </row>
    <row r="5" spans="1:21" x14ac:dyDescent="0.3">
      <c r="A5" s="2">
        <v>2</v>
      </c>
      <c r="B5" s="1" t="s">
        <v>551</v>
      </c>
      <c r="C5" s="152"/>
      <c r="D5" s="34"/>
      <c r="E5" s="3"/>
      <c r="F5" s="34"/>
      <c r="G5" s="33"/>
      <c r="H5" s="2" t="s">
        <v>53</v>
      </c>
      <c r="I5" s="2" t="s">
        <v>567</v>
      </c>
    </row>
    <row r="6" spans="1:21" x14ac:dyDescent="0.3">
      <c r="A6" s="2">
        <v>3</v>
      </c>
      <c r="B6" s="1" t="s">
        <v>556</v>
      </c>
      <c r="C6" s="34"/>
      <c r="D6" s="34" t="s">
        <v>557</v>
      </c>
      <c r="E6" s="3"/>
      <c r="F6" s="34"/>
      <c r="G6" s="33"/>
      <c r="H6" s="2" t="s">
        <v>447</v>
      </c>
      <c r="I6" s="2" t="s">
        <v>558</v>
      </c>
    </row>
    <row r="7" spans="1:21" x14ac:dyDescent="0.3">
      <c r="A7" s="181">
        <v>4</v>
      </c>
      <c r="B7" s="211" t="s">
        <v>559</v>
      </c>
      <c r="C7" s="183" t="s">
        <v>570</v>
      </c>
      <c r="D7" s="183" t="s">
        <v>565</v>
      </c>
      <c r="E7" s="184" t="s">
        <v>569</v>
      </c>
      <c r="F7" s="183" t="s">
        <v>571</v>
      </c>
      <c r="G7" s="185"/>
      <c r="H7" s="181" t="s">
        <v>221</v>
      </c>
      <c r="I7" s="181" t="s">
        <v>568</v>
      </c>
      <c r="J7" s="182"/>
      <c r="K7" s="182"/>
      <c r="L7" s="182"/>
      <c r="M7" s="182"/>
      <c r="N7" s="182"/>
      <c r="O7" s="182"/>
      <c r="P7" s="182"/>
      <c r="Q7" s="182"/>
      <c r="R7" s="182"/>
      <c r="S7" s="182"/>
      <c r="T7" s="182"/>
      <c r="U7" s="182"/>
    </row>
    <row r="8" spans="1:21" ht="37.5" x14ac:dyDescent="0.3">
      <c r="A8" s="212">
        <v>5</v>
      </c>
      <c r="B8" s="261" t="s">
        <v>573</v>
      </c>
      <c r="C8" s="262" t="s">
        <v>574</v>
      </c>
      <c r="D8" s="260" t="s">
        <v>572</v>
      </c>
      <c r="E8" s="263" t="s">
        <v>575</v>
      </c>
      <c r="F8" s="262" t="s">
        <v>576</v>
      </c>
      <c r="G8" s="2"/>
      <c r="H8" s="181" t="s">
        <v>221</v>
      </c>
      <c r="I8" s="181" t="s">
        <v>568</v>
      </c>
    </row>
    <row r="9" spans="1:21" x14ac:dyDescent="0.3">
      <c r="A9" s="2">
        <v>6</v>
      </c>
      <c r="B9" s="1" t="s">
        <v>562</v>
      </c>
      <c r="C9" s="1" t="s">
        <v>577</v>
      </c>
      <c r="D9" s="183" t="s">
        <v>566</v>
      </c>
      <c r="E9" s="1" t="s">
        <v>578</v>
      </c>
      <c r="F9" s="1" t="s">
        <v>571</v>
      </c>
      <c r="G9" s="2"/>
      <c r="H9" s="181" t="s">
        <v>221</v>
      </c>
      <c r="I9" s="181" t="s">
        <v>568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  <vt:lpstr>TOEIC AK9</vt:lpstr>
      <vt:lpstr>TOEIC BK7</vt:lpstr>
      <vt:lpstr>TOEIC AK10</vt:lpstr>
      <vt:lpstr>TOEIC BK8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2018-05-16T02:36:18Z</dcterms:modified>
</cp:coreProperties>
</file>