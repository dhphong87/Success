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4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<sst xmlns="http://schemas.openxmlformats.org/spreadsheetml/2006/main" count="2232" uniqueCount="478">
  <si>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</si>
  <si>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</si>
  <si>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</si>
  <si>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</si>
  <si>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</si>
  <si>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</si>
  <si>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</si>
  <si>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</si>
  <si>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</si>
  <si>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</si>
  <si>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</si>
  <si>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</si>
  <si>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</si>
  <si>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</si>
  <si>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</si>
  <si>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</si>
  <si>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</si>
  <si>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</si>
  <si>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</si>
  <si>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</si>
  <si>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</si>
  <si>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</si>
  <si>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</si>
  <si>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</si>
  <si>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</si>
  <si>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</si>
  <si>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</si>
  <si>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</si>
  <si>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</si>
  <si>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</si>
  <si>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</si>
  <si>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</si>
  <si>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</si>
  <si>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</si>
  <si>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</si>
  <si>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</si>
  <si>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</si>
  <si>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</si>
  <si>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</si>
  <si>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</si>
  <si>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</si>
  <si>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</si>
  <si>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</si>
  <si>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</si>
  <si>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</si>
  <si>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</si>
  <si>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</si>
  <si>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</si>
  <si>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</si>
  <si>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</si>
  <si>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</si>
  <si>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</si>
  <si>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</si>
  <si>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</si>
  <si>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</si>
  <si>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</si>
  <si>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</si>
  <si>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</si>
  <si>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</si>
  <si>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</si>
  <si>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</si>
  <si>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</si>
  <si>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</si>
  <si>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</si>
  <si>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</si>
  <si>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</si>
  <si>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</si>
  <si>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</si>
  <si>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</si>
  <si>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</si>
  <si>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</si>
  <si>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</si>
  <si>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</si>
  <si>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</si>
  <si>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</si>
  <si>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</si>
  <si>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</si>
  <si>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</si>
  <si>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</si>
  <si>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</si>
  <si>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</si>
  <si>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</si>
  <si>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</si>
  <si>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</si>
  <si>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</si>
  <si>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</si>
  <si>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</si>
  <si>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</si>
  <si>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</si>
  <si>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</si>
  <si>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</si>
  <si>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</si>
  <si>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</si>
  <si>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</si>
  <si>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</si>
  <si>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</si>
  <si>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</si>
  <si>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</si>
  <si>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</si>
  <si>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</si>
  <si>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</si>
  <si>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</si>
  <si>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</si>
  <si>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</si>
  <si>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</si>
  <si>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</si>
  <si>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</si>
  <si>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</si>
  <si>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</si>
  <si>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</si>
  <si>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</si>
  <si>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</si>
  <si>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</si>
  <si>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</si>
  <si>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</si>
  <si>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</si>
  <si>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</si>
  <si>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</si>
  <si>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</si>
  <si>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</si>
  <si>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</si>
  <si>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</si>
  <si>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</si>
  <si>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</si>
  <si>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</si>
  <si>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</si>
  <si>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</si>
  <si>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</si>
  <si>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</si>
  <si>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</si>
  <si>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</si>
  <si>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</si>
  <si>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</si>
  <si>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</si>
  <si>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</si>
  <si>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</si>
  <si>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</si>
  <si>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</si>
  <si>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</si>
  <si>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</si>
  <si>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</si>
  <si>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</si>
  <si>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</si>
  <si>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</si>
  <si>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</si>
  <si>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</si>
  <si>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</si>
  <si>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</si>
  <si>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</si>
  <si>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</si>
  <si>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</si>
  <si>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</si>
  <si>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</si>
  <si>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</si>
  <si>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</si>
  <si>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</si>
  <si>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</si>
  <si>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</si>
  <si>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</si>
  <si>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</si>
  <si>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</si>
  <si>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</si>
  <si>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</si>
  <si>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</si>
  <si>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</si>
  <si>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</si>
  <si>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</si>
  <si>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</si>
  <si>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</si>
  <si>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</si>
  <si>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</si>
  <si>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</si>
  <si>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</si>
  <si>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</si>
  <si>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</si>
  <si>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</si>
  <si>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</si>
  <si>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</si>
  <si>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</si>
  <si>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</si>
  <si>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</si>
  <si>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</si>
  <si>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</si>
  <si>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</si>
  <si>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</si>
  <si>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</si>
  <si>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</si>
  <si>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</si>
  <si>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</si>
  <si>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</si>
  <si>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</si>
  <si>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</si>
  <si>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</si>
  <si>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</si>
  <si>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</si>
  <si>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</si>
  <si>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</si>
  <si>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</si>
  <si>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</si>
  <si>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</si>
  <si>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</si>
  <si>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</si>
  <si>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</si>
  <si>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</si>
  <si>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</si>
  <si>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</si>
  <si>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</si>
  <si>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</si>
  <si>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</si>
  <si>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</si>
  <si>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</si>
  <si>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</si>
  <si>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</si>
  <si>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</si>
  <si>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</si>
  <si>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</si>
  <si>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</si>
  <si>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</si>
  <si>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</si>
  <si>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</si>
  <si>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</si>
  <si>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</si>
  <si>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</si>
  <si>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</si>
  <si>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</si>
  <si>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</si>
  <si>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</si>
  <si>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</si>
  <si>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</si>
  <si>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</si>
  <si>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</si>
  <si>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</si>
  <si>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</si>
  <si>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</si>
  <si>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</si>
  <si>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</si>
  <si>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</si>
  <si>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</si>
  <si>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</si>
  <si>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</si>
  <si>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</si>
  <si>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</si>
  <si>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</si>
  <si>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</si>
  <si>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</si>
  <si>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</si>
  <si>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</si>
  <si>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</si>
  <si>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</si>
  <si>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</si>
  <si>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</si>
  <si>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</si>
  <si>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</si>
  <si>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</si>
  <si>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</si>
  <si>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</si>
  <si>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</si>
  <si>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</si>
  <si>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</si>
  <si>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</si>
  <si>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</si>
  <si>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</si>
  <si>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</si>
  <si>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</si>
  <si>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</si>
  <si>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</si>
  <si>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</si>
  <si>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</si>
  <si>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</si>
  <si>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</si>
  <si>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</si>
  <si>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</si>
  <si>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</si>
  <si>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</si>
  <si>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</si>
  <si>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</si>
  <si>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</si>
  <si>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</si>
  <si>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</si>
  <si>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</si>
  <si>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</si>
  <si>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</si>
  <si>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</si>
  <si>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</si>
  <si>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</si>
  <si>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</si>
  <si>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</si>
  <si>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</si>
  <si>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</si>
  <si>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</si>
  <si>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</si>
  <si>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</si>
  <si>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</si>
  <si>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</si>
  <si>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</si>
  <si>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</si>
  <si>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</si>
  <si>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</si>
  <si>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</si>
  <si>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</si>
  <si>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</si>
  <si>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</si>
  <si>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</si>
  <si>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</si>
  <si>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</si>
  <si>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</si>
  <si>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</si>
  <si>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</si>
  <si>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</si>
  <si>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</si>
  <si>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</si>
  <si>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</si>
  <si>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</si>
  <si>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</si>
  <si>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</si>
  <si>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</si>
  <si>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</si>
  <si>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</si>
  <si>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</si>
  <si>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</si>
  <si>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</si>
  <si>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</si>
  <si>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</si>
  <si>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</si>
  <si>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</si>
  <si>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</si>
  <si>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</si>
  <si>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</si>
  <si>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</si>
  <si>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</si>
  <si>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</si>
  <si>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</si>
  <si>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</si>
  <si>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</si>
  <si>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</si>
  <si>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</si>
  <si>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</si>
  <si>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</si>
  <si>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</si>
  <si>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</si>
  <si>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</si>
  <si>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</si>
  <si>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</si>
  <si>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</si>
  <si>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</si>
  <si>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</si>
  <si>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</si>
  <si>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</si>
  <si>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</si>
  <si>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</si>
  <si>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</si>
  <si>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</si>
  <si>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</si>
  <si>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</si>
  <si>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</si>
  <si>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</si>
  <si>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</si>
  <si>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</si>
  <si>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</si>
  <si>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</si>
  <si>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</si>
  <si>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</si>
  <si>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</si>
  <si>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</si>
  <si>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</si>
  <si>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</si>
  <si>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</si>
  <si>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</si>
  <si>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</si>
  <si>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</si>
  <si>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</si>
  <si>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</si>
  <si>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</si>
  <si>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</si>
  <si>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</si>
  <si>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</si>
  <si>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</si>
  <si>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</si>
  <si>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</si>
  <si>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</si>
  <si>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</si>
  <si>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</si>
  <si>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</si>
  <si>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</si>
  <si>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</si>
  <si>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</si>
  <si>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</si>
  <si>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</si>
  <si>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</si>
  <si>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</si>
  <si>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</si>
  <si>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</si>
  <si>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</si>
  <si>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</si>
  <si>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</si>
  <si>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</si>
  <si>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</si>
  <si>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</si>
  <si>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</si>
  <si>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</si>
  <si>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</si>
  <si>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</si>
  <si>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</si>
  <si>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</si>
  <si>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</si>
  <si>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</si>
  <si>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</si>
  <si>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</si>
  <si>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</si>
  <si>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</si>
  <si>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</si>
  <si>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</si>
  <si>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</si>
  <si>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</si>
  <si>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</si>
  <si>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</si>
  <si>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</si>
  <si>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</si>
  <si>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</si>
  <si>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</si>
  <si>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</si>
  <si>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</si>
  <si>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</si>
  <si>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</si>
  <si>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</si>
  <si>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</si>
  <si>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</si>
  <si>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</si>
  <si>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</si>
  <si>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</si>
  <si>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</si>
  <si>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</si>
  <si>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</si>
  <si>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</si>
  <si>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</si>
  <si>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</si>
  <si>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</si>
  <si>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</si>
  <si>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</si>
  <si>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</si>
  <si>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</si>
  <si>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</si>
  <si>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</si>
  <si>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</si>
  <si>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</si>
  <si>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</si>
  <si>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</si>
  <si>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</si>
  <si>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</si>
  <si>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</si>
  <si>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</si>
  <si>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</si>
  <si>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Khóa TOEIC B K6 (/2017 - /2017)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</si>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</sst>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4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49" fontId="2" fillId="17" borderId="1" xfId="0" applyNumberFormat="1" applyFont="1" applyFill="1" applyBorder="1" applyAlignment="1">
      <alignment horizontal="left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"/>
  <sheetViews>
    <sheetView workbookViewId="0">
      <selection activeCell="E13" sqref="E13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23.7109375" style="17" customWidth="1"/>
    <col min="6" max="6" width="19.140625" style="17" customWidth="1"/>
    <col min="7" max="7" width="30.5703125" style="17" customWidth="1"/>
    <col min="8" max="8" width="22.28515625" style="201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9" t="s">
        <v>142</v>
      </c>
      <c r="I1" s="123" t="s">
        <v>144</v>
      </c>
      <c r="J1" s="123" t="s">
        <v>208</v>
      </c>
    </row>
    <row r="2" spans="1:12" x14ac:dyDescent="0.25">
      <c r="A2" s="197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3" t="s">
        <v>143</v>
      </c>
      <c r="I2" s="18" t="s">
        <v>297</v>
      </c>
      <c r="J2" s="18"/>
    </row>
    <row r="3" spans="1:12" s="137" customFormat="1" ht="21" customHeight="1" x14ac:dyDescent="0.25">
      <c r="A3" s="134">
        <v>2</v>
      </c>
      <c r="B3" s="135" t="s">
        <v>63</v>
      </c>
      <c r="C3" s="136" t="s">
        <v>85</v>
      </c>
      <c r="D3" s="136" t="s">
        <v>86</v>
      </c>
      <c r="E3" s="136" t="s">
        <v>125</v>
      </c>
      <c r="F3" s="136" t="s">
        <v>89</v>
      </c>
      <c r="G3" s="136" t="s">
        <v>154</v>
      </c>
      <c r="H3" s="200" t="s">
        <v>171</v>
      </c>
      <c r="I3" s="136" t="s">
        <v>299</v>
      </c>
      <c r="J3" s="135" t="s">
        <v>209</v>
      </c>
    </row>
    <row r="4" spans="1:12" x14ac:dyDescent="0.25">
      <c r="A4" s="126">
        <v>3</v>
      </c>
      <c r="B4" s="127" t="s">
        <v>225</v>
      </c>
      <c r="C4" s="128">
        <v>35560</v>
      </c>
      <c r="D4" s="129" t="s">
        <v>262</v>
      </c>
      <c r="E4" s="130" t="s">
        <v>261</v>
      </c>
      <c r="F4" s="130" t="s">
        <v>69</v>
      </c>
      <c r="G4" s="131" t="s">
        <v>174</v>
      </c>
      <c r="H4" s="198" t="s">
        <v>292</v>
      </c>
      <c r="I4" s="127" t="s">
        <v>293</v>
      </c>
      <c r="J4" s="127"/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202"/>
      <c r="L5" s="202"/>
    </row>
    <row r="6" spans="1:12" s="18" customFormat="1" x14ac:dyDescent="0.25">
      <c r="A6" s="203">
        <v>5</v>
      </c>
      <c r="B6" s="18" t="s">
        <v>210</v>
      </c>
      <c r="C6" s="133" t="s">
        <v>287</v>
      </c>
      <c r="D6" s="210" t="s">
        <v>288</v>
      </c>
      <c r="E6" s="18" t="s">
        <v>289</v>
      </c>
      <c r="G6" s="18" t="s">
        <v>300</v>
      </c>
      <c r="H6" s="133" t="s">
        <v>292</v>
      </c>
      <c r="I6" s="18" t="s">
        <v>298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11" t="s">
        <v>165</v>
      </c>
      <c r="B2" s="211"/>
      <c r="C2" s="211"/>
      <c r="D2" s="211"/>
      <c r="E2" s="211"/>
      <c r="F2" s="211"/>
      <c r="G2" s="38"/>
    </row>
    <row r="3" spans="1:8" x14ac:dyDescent="0.25">
      <c r="B3" s="69" t="s">
        <v>166</v>
      </c>
      <c r="C3" s="70">
        <f ca="1">MONTH(TODAY())</f>
        <v>12</v>
      </c>
      <c r="D3" s="80"/>
      <c r="E3" s="67" t="s">
        <v>167</v>
      </c>
      <c r="G3" t="s">
        <v>227</v>
      </c>
      <c r="H3" s="71">
        <f ca="1">TODAY()</f>
        <v>43083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42897</v>
      </c>
      <c r="F8" s="39" t="str">
        <f t="shared" ca="1" si="1"/>
        <v>Đã xong</v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42892</v>
      </c>
      <c r="F11" s="39" t="str">
        <f t="shared" ca="1" si="1"/>
        <v>Đã xong</v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43084</v>
      </c>
      <c r="F15" s="93" t="str">
        <f t="shared" ca="1" si="1"/>
        <v>Chuẩn bị tổ chức</v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42767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42773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43079</v>
      </c>
      <c r="F20" s="39" t="str">
        <f t="shared" ca="1" si="1"/>
        <v>Đã xong</v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42836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43046</v>
      </c>
      <c r="F23" s="88" t="str">
        <f t="shared" ca="1" si="1"/>
        <v>Đã xong</v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42742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43091</v>
      </c>
      <c r="F26" s="39" t="str">
        <f t="shared" ca="1" si="1"/>
        <v>Trong tháng có SN</v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43012</v>
      </c>
      <c r="F27" s="39" t="str">
        <f t="shared" ca="1" si="1"/>
        <v>Đã xong</v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43000</v>
      </c>
      <c r="F28" s="39" t="str">
        <f t="shared" ca="1" si="1"/>
        <v>Đã xong</v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42887</v>
      </c>
      <c r="F29" s="39" t="str">
        <f t="shared" ca="1" si="1"/>
        <v>Đã xong</v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43023</v>
      </c>
      <c r="F30" s="39" t="str">
        <f t="shared" ca="1" si="1"/>
        <v>Đã xong</v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42791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42835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42823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43053</v>
      </c>
      <c r="F34" s="39" t="str">
        <f t="shared" ca="1" si="1"/>
        <v>Đã xong</v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42760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43025</v>
      </c>
      <c r="F36" s="39" t="str">
        <f t="shared" ca="1" si="1"/>
        <v>Đã xong</v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42942</v>
      </c>
      <c r="F37" s="39" t="str">
        <f t="shared" ca="1" si="1"/>
        <v>Đã xong</v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43013</v>
      </c>
      <c r="F38" s="39" t="str">
        <f t="shared" ca="1" si="1"/>
        <v>Đã xong</v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43056</v>
      </c>
      <c r="F39" s="39" t="str">
        <f t="shared" ca="1" si="1"/>
        <v>Đã xong</v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43070</v>
      </c>
      <c r="F41" s="93" t="str">
        <f t="shared" ca="1" si="1"/>
        <v>Đã xong</v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42872</v>
      </c>
      <c r="F44" s="39" t="str">
        <f t="shared" ca="1" si="1"/>
        <v>Đã xong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42988</v>
      </c>
      <c r="F45" s="39" t="str">
        <f t="shared" ca="1" si="1"/>
        <v>Đã xong</v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42877</v>
      </c>
      <c r="F46" s="39" t="str">
        <f t="shared" ca="1" si="1"/>
        <v>Đã xong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42816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90" customWidth="1"/>
  </cols>
  <sheetData>
    <row r="1" spans="1:21" ht="26.25" x14ac:dyDescent="0.4">
      <c r="B1" s="5" t="s">
        <v>51</v>
      </c>
    </row>
    <row r="2" spans="1:21" ht="15.75" x14ac:dyDescent="0.25">
      <c r="J2" s="213" t="s">
        <v>7</v>
      </c>
      <c r="K2" s="213"/>
      <c r="L2" s="213"/>
      <c r="M2" s="213"/>
      <c r="N2" s="214" t="s">
        <v>8</v>
      </c>
      <c r="O2" s="214"/>
      <c r="P2" s="214"/>
      <c r="Q2" s="215" t="s">
        <v>9</v>
      </c>
      <c r="R2" s="215" t="s">
        <v>10</v>
      </c>
      <c r="S2" s="215" t="s">
        <v>11</v>
      </c>
      <c r="T2" s="215" t="s">
        <v>12</v>
      </c>
      <c r="U2" s="21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15"/>
      <c r="R3" s="215"/>
      <c r="S3" s="215"/>
      <c r="T3" s="215"/>
      <c r="U3" s="21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9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9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9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9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9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9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9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23" t="s">
        <v>6</v>
      </c>
      <c r="B3" s="223" t="s">
        <v>5</v>
      </c>
      <c r="C3" s="24"/>
      <c r="D3" s="24"/>
      <c r="E3" s="24"/>
      <c r="F3" s="24"/>
      <c r="G3" s="225"/>
      <c r="H3" s="225"/>
      <c r="I3" s="225"/>
      <c r="J3" s="222"/>
      <c r="K3" s="217"/>
      <c r="L3" s="218"/>
      <c r="M3" s="222"/>
      <c r="N3" s="217"/>
      <c r="O3" s="218"/>
      <c r="P3" s="222"/>
      <c r="Q3" s="217"/>
      <c r="R3" s="218"/>
      <c r="S3" s="222"/>
      <c r="T3" s="217"/>
      <c r="U3" s="218"/>
      <c r="V3" s="222"/>
      <c r="W3" s="217"/>
      <c r="X3" s="218"/>
      <c r="Y3" s="222"/>
      <c r="Z3" s="217"/>
      <c r="AA3" s="218"/>
      <c r="AB3" s="222"/>
      <c r="AC3" s="217"/>
      <c r="AD3" s="218"/>
      <c r="AE3" s="222"/>
      <c r="AF3" s="217"/>
      <c r="AG3" s="218"/>
      <c r="AH3" s="222"/>
      <c r="AI3" s="217"/>
      <c r="AJ3" s="218"/>
      <c r="AK3" s="222"/>
      <c r="AL3" s="217"/>
      <c r="AM3" s="218"/>
      <c r="AN3" s="222"/>
      <c r="AO3" s="217"/>
      <c r="AP3" s="218"/>
      <c r="AQ3" s="222"/>
      <c r="AR3" s="217"/>
      <c r="AS3" s="218"/>
      <c r="AT3" s="222"/>
      <c r="AU3" s="217"/>
      <c r="AV3" s="218"/>
      <c r="AW3" s="222"/>
      <c r="AX3" s="217"/>
      <c r="AY3" s="218"/>
      <c r="AZ3" s="222"/>
      <c r="BA3" s="217"/>
      <c r="BB3" s="218"/>
      <c r="BC3" s="219" t="s">
        <v>116</v>
      </c>
      <c r="BD3" s="220"/>
      <c r="BE3" s="221"/>
      <c r="BF3" s="216">
        <v>42930</v>
      </c>
      <c r="BG3" s="217"/>
      <c r="BH3" s="218"/>
      <c r="BI3" s="222" t="s">
        <v>147</v>
      </c>
      <c r="BJ3" s="217"/>
      <c r="BK3" s="218"/>
      <c r="BL3" s="222" t="s">
        <v>148</v>
      </c>
      <c r="BM3" s="217"/>
      <c r="BN3" s="218"/>
      <c r="BO3" s="222" t="s">
        <v>170</v>
      </c>
      <c r="BP3" s="217"/>
      <c r="BQ3" s="218"/>
      <c r="BR3" s="216">
        <v>42940</v>
      </c>
      <c r="BS3" s="217"/>
      <c r="BT3" s="218"/>
      <c r="BU3" s="216">
        <v>42942</v>
      </c>
      <c r="BV3" s="217"/>
      <c r="BW3" s="218"/>
      <c r="BX3" s="216">
        <v>42944</v>
      </c>
      <c r="BY3" s="217"/>
      <c r="BZ3" s="218"/>
      <c r="CA3" s="216">
        <v>42947</v>
      </c>
      <c r="CB3" s="217"/>
      <c r="CC3" s="218"/>
      <c r="CD3" s="26"/>
    </row>
    <row r="4" spans="1:82" s="17" customFormat="1" ht="21" customHeight="1" x14ac:dyDescent="0.25">
      <c r="A4" s="224"/>
      <c r="B4" s="22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90" customWidth="1"/>
  </cols>
  <sheetData>
    <row r="1" spans="1:21" ht="26.25" x14ac:dyDescent="0.4">
      <c r="B1" s="5" t="s">
        <v>326</v>
      </c>
    </row>
    <row r="2" spans="1:21" ht="15.75" x14ac:dyDescent="0.25">
      <c r="J2" s="213" t="s">
        <v>7</v>
      </c>
      <c r="K2" s="213"/>
      <c r="L2" s="213"/>
      <c r="M2" s="213"/>
      <c r="N2" s="214" t="s">
        <v>8</v>
      </c>
      <c r="O2" s="214"/>
      <c r="P2" s="214"/>
      <c r="Q2" s="215" t="s">
        <v>9</v>
      </c>
      <c r="R2" s="215" t="s">
        <v>10</v>
      </c>
      <c r="S2" s="215" t="s">
        <v>11</v>
      </c>
      <c r="T2" s="215" t="s">
        <v>12</v>
      </c>
      <c r="U2" s="21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15"/>
      <c r="R3" s="215"/>
      <c r="S3" s="215"/>
      <c r="T3" s="215"/>
      <c r="U3" s="21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9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9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9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9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9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9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9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23" t="s">
        <v>6</v>
      </c>
      <c r="B3" s="22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25" t="s">
        <v>31</v>
      </c>
      <c r="H3" s="225"/>
      <c r="I3" s="225"/>
      <c r="J3" s="222" t="s">
        <v>32</v>
      </c>
      <c r="K3" s="217"/>
      <c r="L3" s="218"/>
      <c r="M3" s="222" t="s">
        <v>33</v>
      </c>
      <c r="N3" s="217"/>
      <c r="O3" s="218"/>
      <c r="P3" s="222" t="s">
        <v>34</v>
      </c>
      <c r="Q3" s="217"/>
      <c r="R3" s="218"/>
      <c r="S3" s="222" t="s">
        <v>35</v>
      </c>
      <c r="T3" s="217"/>
      <c r="U3" s="218"/>
      <c r="V3" s="222" t="s">
        <v>36</v>
      </c>
      <c r="W3" s="217"/>
      <c r="X3" s="218"/>
      <c r="Y3" s="222" t="s">
        <v>37</v>
      </c>
      <c r="Z3" s="217"/>
      <c r="AA3" s="218"/>
      <c r="AB3" s="222" t="s">
        <v>38</v>
      </c>
      <c r="AC3" s="217"/>
      <c r="AD3" s="218"/>
      <c r="AE3" s="222" t="s">
        <v>39</v>
      </c>
      <c r="AF3" s="217"/>
      <c r="AG3" s="218"/>
      <c r="AH3" s="222" t="s">
        <v>40</v>
      </c>
      <c r="AI3" s="217"/>
      <c r="AJ3" s="218"/>
      <c r="AK3" s="222" t="s">
        <v>41</v>
      </c>
      <c r="AL3" s="217"/>
      <c r="AM3" s="218"/>
      <c r="AN3" s="222" t="s">
        <v>42</v>
      </c>
      <c r="AO3" s="217"/>
      <c r="AP3" s="218"/>
      <c r="AQ3" s="222" t="s">
        <v>43</v>
      </c>
      <c r="AR3" s="217"/>
      <c r="AS3" s="218"/>
      <c r="AT3" s="222" t="s">
        <v>44</v>
      </c>
      <c r="AU3" s="217"/>
      <c r="AV3" s="218"/>
      <c r="AW3" s="222" t="s">
        <v>45</v>
      </c>
      <c r="AX3" s="217"/>
      <c r="AY3" s="218"/>
      <c r="AZ3" s="222" t="s">
        <v>46</v>
      </c>
      <c r="BA3" s="217"/>
      <c r="BB3" s="218"/>
      <c r="BC3" s="222" t="s">
        <v>47</v>
      </c>
      <c r="BD3" s="217"/>
      <c r="BE3" s="218"/>
      <c r="BF3" s="222" t="s">
        <v>48</v>
      </c>
      <c r="BG3" s="217"/>
      <c r="BH3" s="218"/>
      <c r="BI3" s="222" t="s">
        <v>49</v>
      </c>
      <c r="BJ3" s="217"/>
      <c r="BK3" s="218"/>
      <c r="BL3" s="222"/>
      <c r="BM3" s="217"/>
      <c r="BN3" s="218"/>
      <c r="BO3" s="222"/>
      <c r="BP3" s="217"/>
      <c r="BQ3" s="218"/>
      <c r="BR3" s="222"/>
      <c r="BS3" s="217"/>
      <c r="BT3" s="2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23"/>
      <c r="B4" s="22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93" customWidth="1"/>
    <col min="27" max="16384" width="9.140625" style="1"/>
  </cols>
  <sheetData>
    <row r="1" spans="1:26" x14ac:dyDescent="0.3">
      <c r="B1" s="178" t="s">
        <v>204</v>
      </c>
    </row>
    <row r="2" spans="1:26" x14ac:dyDescent="0.3">
      <c r="O2" s="227" t="s">
        <v>7</v>
      </c>
      <c r="P2" s="227"/>
      <c r="Q2" s="227"/>
      <c r="R2" s="227"/>
      <c r="S2" s="228" t="s">
        <v>8</v>
      </c>
      <c r="T2" s="228"/>
      <c r="U2" s="228"/>
      <c r="V2" s="229" t="s">
        <v>9</v>
      </c>
      <c r="W2" s="229" t="s">
        <v>10</v>
      </c>
      <c r="X2" s="229" t="s">
        <v>11</v>
      </c>
      <c r="Y2" s="229" t="s">
        <v>12</v>
      </c>
      <c r="Z2" s="226" t="s">
        <v>13</v>
      </c>
    </row>
    <row r="3" spans="1:26" ht="21" customHeight="1" x14ac:dyDescent="0.3">
      <c r="A3" s="187" t="s">
        <v>6</v>
      </c>
      <c r="B3" s="18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7" t="s">
        <v>213</v>
      </c>
      <c r="K3" s="187" t="s">
        <v>214</v>
      </c>
      <c r="L3" s="187" t="s">
        <v>183</v>
      </c>
      <c r="M3" s="187" t="s">
        <v>173</v>
      </c>
      <c r="N3" s="187" t="s">
        <v>1</v>
      </c>
      <c r="O3" s="160" t="s">
        <v>14</v>
      </c>
      <c r="P3" s="161" t="s">
        <v>15</v>
      </c>
      <c r="Q3" s="162" t="s">
        <v>16</v>
      </c>
      <c r="R3" s="163" t="s">
        <v>17</v>
      </c>
      <c r="S3" s="164" t="s">
        <v>18</v>
      </c>
      <c r="T3" s="165" t="s">
        <v>19</v>
      </c>
      <c r="U3" s="166" t="s">
        <v>20</v>
      </c>
      <c r="V3" s="229"/>
      <c r="W3" s="229"/>
      <c r="X3" s="229"/>
      <c r="Y3" s="229"/>
      <c r="Z3" s="226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9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9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449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9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9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9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92">
        <v>6</v>
      </c>
      <c r="P15" s="192">
        <v>17</v>
      </c>
      <c r="Q15" s="192">
        <v>10</v>
      </c>
      <c r="R15" s="192">
        <v>12</v>
      </c>
      <c r="S15" s="192">
        <v>17</v>
      </c>
      <c r="T15" s="192">
        <v>8</v>
      </c>
      <c r="U15" s="192">
        <v>15</v>
      </c>
      <c r="V15" s="192">
        <v>45</v>
      </c>
      <c r="W15" s="192">
        <v>40</v>
      </c>
      <c r="X15" s="192">
        <v>215</v>
      </c>
      <c r="Y15" s="192">
        <v>150</v>
      </c>
      <c r="Z15" s="195">
        <v>365</v>
      </c>
    </row>
    <row r="16" spans="1:26" s="138" customFormat="1" ht="21" customHeight="1" x14ac:dyDescent="0.3">
      <c r="A16" s="138">
        <v>13</v>
      </c>
      <c r="B16" s="138" t="s">
        <v>210</v>
      </c>
      <c r="C16" s="139" t="s">
        <v>287</v>
      </c>
      <c r="D16" s="140" t="s">
        <v>288</v>
      </c>
      <c r="E16" s="141" t="s">
        <v>289</v>
      </c>
      <c r="F16" s="142"/>
      <c r="G16" s="142"/>
      <c r="H16" s="142" t="s">
        <v>217</v>
      </c>
      <c r="I16" s="142" t="s">
        <v>218</v>
      </c>
      <c r="J16" s="143">
        <v>1470000</v>
      </c>
      <c r="K16" s="139"/>
      <c r="O16" s="139"/>
      <c r="P16" s="139"/>
      <c r="Q16" s="139"/>
      <c r="R16" s="139"/>
      <c r="S16" s="139"/>
      <c r="T16" s="139"/>
      <c r="U16" s="139"/>
      <c r="Z16" s="19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9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93">
        <v>405</v>
      </c>
    </row>
    <row r="19" spans="1:26" s="138" customFormat="1" ht="21" customHeight="1" x14ac:dyDescent="0.3">
      <c r="A19" s="138">
        <v>16</v>
      </c>
      <c r="B19" s="138" t="s">
        <v>225</v>
      </c>
      <c r="C19" s="144">
        <v>35560</v>
      </c>
      <c r="D19" s="140" t="s">
        <v>262</v>
      </c>
      <c r="E19" s="141" t="s">
        <v>261</v>
      </c>
      <c r="F19" s="142" t="s">
        <v>69</v>
      </c>
      <c r="G19" s="142"/>
      <c r="H19" s="142" t="s">
        <v>217</v>
      </c>
      <c r="I19" s="142" t="s">
        <v>218</v>
      </c>
      <c r="J19" s="143">
        <v>1470000</v>
      </c>
      <c r="K19" s="139"/>
      <c r="O19" s="139"/>
      <c r="P19" s="139"/>
      <c r="Q19" s="139"/>
      <c r="R19" s="139"/>
      <c r="S19" s="139"/>
      <c r="T19" s="139"/>
      <c r="U19" s="139"/>
      <c r="Z19" s="19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9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23" t="s">
        <v>6</v>
      </c>
      <c r="B3" s="223" t="s">
        <v>5</v>
      </c>
      <c r="C3" s="61"/>
      <c r="D3" s="61"/>
      <c r="E3" s="61"/>
      <c r="F3" s="61"/>
      <c r="G3" s="225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225"/>
      <c r="AC3" s="225"/>
      <c r="AD3" s="225"/>
      <c r="AE3" s="225"/>
      <c r="AF3" s="225"/>
      <c r="AG3" s="225"/>
      <c r="AH3" s="225"/>
      <c r="AI3" s="225"/>
      <c r="AJ3" s="225"/>
      <c r="AK3" s="225"/>
      <c r="AL3" s="225"/>
      <c r="AM3" s="225"/>
      <c r="AN3" s="225"/>
      <c r="AO3" s="225"/>
      <c r="AP3" s="225"/>
      <c r="AQ3" s="225"/>
      <c r="AR3" s="225"/>
      <c r="AS3" s="225"/>
      <c r="AT3" s="225"/>
      <c r="AU3" s="225"/>
      <c r="AV3" s="225"/>
      <c r="AW3" s="225"/>
      <c r="AX3" s="225"/>
      <c r="AY3" s="225"/>
      <c r="AZ3" s="225"/>
      <c r="BA3" s="225"/>
      <c r="BB3" s="225"/>
      <c r="BC3" s="230"/>
      <c r="BD3" s="230"/>
      <c r="BE3" s="230"/>
      <c r="BF3" s="231">
        <v>42976</v>
      </c>
      <c r="BG3" s="225"/>
      <c r="BH3" s="225"/>
      <c r="BI3" s="225"/>
      <c r="BJ3" s="225"/>
      <c r="BK3" s="225"/>
      <c r="BL3" s="225"/>
      <c r="BM3" s="225"/>
      <c r="BN3" s="225"/>
      <c r="BO3" s="225"/>
      <c r="BP3" s="225"/>
      <c r="BQ3" s="225"/>
      <c r="BR3" s="231"/>
      <c r="BS3" s="225"/>
      <c r="BT3" s="225"/>
      <c r="BU3" s="225"/>
      <c r="BV3" s="225"/>
      <c r="BW3" s="225"/>
      <c r="BX3" s="225"/>
      <c r="BY3" s="225"/>
      <c r="BZ3" s="225"/>
      <c r="CA3" s="225"/>
      <c r="CB3" s="225"/>
      <c r="CC3" s="225"/>
      <c r="CD3" s="26"/>
    </row>
    <row r="4" spans="1:82" s="17" customFormat="1" ht="21" customHeight="1" x14ac:dyDescent="0.25">
      <c r="A4" s="223"/>
      <c r="B4" s="223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7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90" customWidth="1"/>
  </cols>
  <sheetData>
    <row r="1" spans="1:25" ht="21" x14ac:dyDescent="0.35">
      <c r="A1" s="17"/>
      <c r="B1" s="232" t="s">
        <v>224</v>
      </c>
      <c r="C1" s="232"/>
      <c r="D1" s="232"/>
      <c r="E1" s="145"/>
      <c r="F1" s="145"/>
      <c r="G1" s="145"/>
      <c r="H1" s="145"/>
      <c r="I1" s="145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8"/>
    </row>
    <row r="2" spans="1:25" ht="15.75" x14ac:dyDescent="0.25">
      <c r="A2" s="17"/>
      <c r="B2" s="17"/>
      <c r="C2" s="17"/>
      <c r="D2" s="145"/>
      <c r="E2" s="145"/>
      <c r="F2" s="145"/>
      <c r="G2" s="145"/>
      <c r="H2" s="145"/>
      <c r="I2" s="145"/>
      <c r="J2" s="52"/>
      <c r="K2" s="17"/>
      <c r="L2" s="17"/>
      <c r="M2" s="17"/>
      <c r="N2" s="213" t="s">
        <v>7</v>
      </c>
      <c r="O2" s="213"/>
      <c r="P2" s="213"/>
      <c r="Q2" s="213"/>
      <c r="R2" s="214" t="s">
        <v>8</v>
      </c>
      <c r="S2" s="214"/>
      <c r="T2" s="214"/>
      <c r="U2" s="215" t="s">
        <v>9</v>
      </c>
      <c r="V2" s="215" t="s">
        <v>10</v>
      </c>
      <c r="W2" s="215" t="s">
        <v>11</v>
      </c>
      <c r="X2" s="215" t="s">
        <v>12</v>
      </c>
      <c r="Y2" s="212" t="s">
        <v>13</v>
      </c>
    </row>
    <row r="3" spans="1:25" s="1" customFormat="1" ht="21" customHeight="1" x14ac:dyDescent="0.3">
      <c r="A3" s="146" t="s">
        <v>6</v>
      </c>
      <c r="B3" s="146" t="s">
        <v>5</v>
      </c>
      <c r="C3" s="146" t="s">
        <v>4</v>
      </c>
      <c r="D3" s="147" t="s">
        <v>3</v>
      </c>
      <c r="E3" s="147" t="s">
        <v>117</v>
      </c>
      <c r="F3" s="147" t="s">
        <v>71</v>
      </c>
      <c r="G3" s="147" t="s">
        <v>211</v>
      </c>
      <c r="H3" s="147" t="s">
        <v>223</v>
      </c>
      <c r="I3" s="147" t="s">
        <v>213</v>
      </c>
      <c r="J3" s="146" t="s">
        <v>214</v>
      </c>
      <c r="K3" s="146" t="s">
        <v>23</v>
      </c>
      <c r="L3" s="146" t="s">
        <v>173</v>
      </c>
      <c r="M3" s="146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15"/>
      <c r="V3" s="215"/>
      <c r="W3" s="215"/>
      <c r="X3" s="215"/>
      <c r="Y3" s="212"/>
    </row>
    <row r="4" spans="1:25" s="1" customFormat="1" ht="21" customHeight="1" x14ac:dyDescent="0.3">
      <c r="A4" s="17">
        <v>1</v>
      </c>
      <c r="B4" s="17" t="s">
        <v>193</v>
      </c>
      <c r="C4" s="148"/>
      <c r="D4" s="171" t="s">
        <v>194</v>
      </c>
      <c r="E4" s="148"/>
      <c r="F4" s="17" t="s">
        <v>290</v>
      </c>
      <c r="G4" s="149">
        <v>2400000</v>
      </c>
      <c r="H4" s="150">
        <v>0.3</v>
      </c>
      <c r="I4" s="149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8"/>
    </row>
    <row r="5" spans="1:25" s="132" customFormat="1" ht="21" customHeight="1" x14ac:dyDescent="0.3">
      <c r="A5" s="151">
        <v>2</v>
      </c>
      <c r="B5" s="151" t="s">
        <v>195</v>
      </c>
      <c r="C5" s="152"/>
      <c r="D5" s="172"/>
      <c r="E5" s="152"/>
      <c r="F5" s="151" t="s">
        <v>290</v>
      </c>
      <c r="G5" s="153">
        <v>2400000</v>
      </c>
      <c r="H5" s="154">
        <v>0.3</v>
      </c>
      <c r="I5" s="153">
        <v>1680000</v>
      </c>
      <c r="J5" s="155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89"/>
    </row>
    <row r="6" spans="1:25" s="1" customFormat="1" ht="21" customHeight="1" x14ac:dyDescent="0.3">
      <c r="A6" s="17">
        <v>3</v>
      </c>
      <c r="B6" s="17" t="s">
        <v>196</v>
      </c>
      <c r="C6" s="148" t="s">
        <v>240</v>
      </c>
      <c r="D6" s="171" t="s">
        <v>197</v>
      </c>
      <c r="E6" s="148" t="s">
        <v>241</v>
      </c>
      <c r="F6" s="17" t="s">
        <v>242</v>
      </c>
      <c r="G6" s="149">
        <v>2400000</v>
      </c>
      <c r="H6" s="150">
        <v>0.3</v>
      </c>
      <c r="I6" s="149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8">
        <v>495</v>
      </c>
    </row>
    <row r="7" spans="1:25" s="1" customFormat="1" ht="21" customHeight="1" x14ac:dyDescent="0.3">
      <c r="A7" s="17">
        <v>4</v>
      </c>
      <c r="B7" s="17" t="s">
        <v>200</v>
      </c>
      <c r="C7" s="148" t="s">
        <v>72</v>
      </c>
      <c r="D7" s="171" t="s">
        <v>201</v>
      </c>
      <c r="E7" s="148" t="s">
        <v>433</v>
      </c>
      <c r="F7" s="17" t="s">
        <v>246</v>
      </c>
      <c r="G7" s="149">
        <v>2400000</v>
      </c>
      <c r="H7" s="150">
        <v>0.3</v>
      </c>
      <c r="I7" s="149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8"/>
    </row>
    <row r="8" spans="1:25" ht="21" customHeight="1" x14ac:dyDescent="0.25">
      <c r="A8" s="17">
        <v>5</v>
      </c>
      <c r="B8" s="17" t="s">
        <v>229</v>
      </c>
      <c r="C8" s="148" t="s">
        <v>243</v>
      </c>
      <c r="D8" s="156" t="s">
        <v>244</v>
      </c>
      <c r="E8" s="156" t="s">
        <v>245</v>
      </c>
      <c r="F8" s="17" t="s">
        <v>246</v>
      </c>
      <c r="G8" s="149">
        <v>2400000</v>
      </c>
      <c r="H8" s="150">
        <v>0.3</v>
      </c>
      <c r="I8" s="149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8"/>
    </row>
    <row r="9" spans="1:25" ht="21" customHeight="1" x14ac:dyDescent="0.25">
      <c r="A9" s="17">
        <v>6</v>
      </c>
      <c r="B9" s="17" t="s">
        <v>230</v>
      </c>
      <c r="C9" s="148" t="s">
        <v>233</v>
      </c>
      <c r="D9" s="156" t="s">
        <v>348</v>
      </c>
      <c r="E9" s="148" t="s">
        <v>234</v>
      </c>
      <c r="F9" s="17" t="s">
        <v>235</v>
      </c>
      <c r="G9" s="149">
        <v>2400000</v>
      </c>
      <c r="H9" s="150">
        <v>0.3</v>
      </c>
      <c r="I9" s="149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8">
        <v>225</v>
      </c>
    </row>
    <row r="10" spans="1:25" ht="21" customHeight="1" x14ac:dyDescent="0.25">
      <c r="A10" s="157" t="s">
        <v>145</v>
      </c>
      <c r="B10" s="148" t="s">
        <v>231</v>
      </c>
      <c r="C10" s="148" t="s">
        <v>236</v>
      </c>
      <c r="D10" s="156" t="s">
        <v>237</v>
      </c>
      <c r="E10" s="148" t="s">
        <v>238</v>
      </c>
      <c r="F10" s="148" t="s">
        <v>239</v>
      </c>
      <c r="G10" s="149">
        <v>2400000</v>
      </c>
      <c r="H10" s="150">
        <v>0.3</v>
      </c>
      <c r="I10" s="149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8">
        <v>455</v>
      </c>
    </row>
    <row r="11" spans="1:25" ht="21" customHeight="1" x14ac:dyDescent="0.25">
      <c r="A11" s="17">
        <v>8</v>
      </c>
      <c r="B11" s="17" t="s">
        <v>232</v>
      </c>
      <c r="C11" s="148"/>
      <c r="D11" s="156" t="s">
        <v>310</v>
      </c>
      <c r="E11" s="148"/>
      <c r="F11" s="17" t="s">
        <v>235</v>
      </c>
      <c r="G11" s="149">
        <v>2400000</v>
      </c>
      <c r="H11" s="150">
        <v>0.3</v>
      </c>
      <c r="I11" s="149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8"/>
    </row>
    <row r="12" spans="1:25" ht="21" customHeight="1" x14ac:dyDescent="0.25">
      <c r="A12" s="157" t="s">
        <v>304</v>
      </c>
      <c r="B12" s="148" t="s">
        <v>305</v>
      </c>
      <c r="C12" s="148" t="s">
        <v>306</v>
      </c>
      <c r="D12" s="156" t="s">
        <v>307</v>
      </c>
      <c r="E12" s="148" t="s">
        <v>308</v>
      </c>
      <c r="F12" s="148" t="s">
        <v>239</v>
      </c>
      <c r="G12" s="149">
        <v>2400000</v>
      </c>
      <c r="H12" s="150">
        <v>0.3</v>
      </c>
      <c r="I12" s="149">
        <v>1680000</v>
      </c>
      <c r="J12" s="145"/>
      <c r="K12" s="148"/>
      <c r="L12" s="148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6" t="s">
        <v>312</v>
      </c>
      <c r="E13" s="17"/>
      <c r="F13" s="17"/>
      <c r="G13" s="145"/>
      <c r="H13" s="145"/>
      <c r="I13" s="145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8">
        <v>395</v>
      </c>
    </row>
    <row r="14" spans="1:25" ht="21" customHeight="1" x14ac:dyDescent="0.3">
      <c r="D14" s="17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7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73"/>
    </row>
    <row r="17" spans="4:4" ht="21" customHeight="1" x14ac:dyDescent="0.25">
      <c r="D17" s="173"/>
    </row>
    <row r="18" spans="4:4" ht="21" customHeight="1" x14ac:dyDescent="0.25">
      <c r="D18" s="173"/>
    </row>
    <row r="19" spans="4:4" ht="21" customHeight="1" x14ac:dyDescent="0.25">
      <c r="D19" s="17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23" t="s">
        <v>6</v>
      </c>
      <c r="B3" s="223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25" t="s">
        <v>31</v>
      </c>
      <c r="H3" s="225"/>
      <c r="I3" s="225"/>
      <c r="J3" s="222" t="s">
        <v>32</v>
      </c>
      <c r="K3" s="217"/>
      <c r="L3" s="218"/>
      <c r="M3" s="222" t="s">
        <v>33</v>
      </c>
      <c r="N3" s="217"/>
      <c r="O3" s="218"/>
      <c r="P3" s="222" t="s">
        <v>34</v>
      </c>
      <c r="Q3" s="217"/>
      <c r="R3" s="218"/>
      <c r="S3" s="222" t="s">
        <v>35</v>
      </c>
      <c r="T3" s="217"/>
      <c r="U3" s="218"/>
      <c r="V3" s="222" t="s">
        <v>36</v>
      </c>
      <c r="W3" s="217"/>
      <c r="X3" s="218"/>
      <c r="Y3" s="222" t="s">
        <v>37</v>
      </c>
      <c r="Z3" s="217"/>
      <c r="AA3" s="218"/>
      <c r="AB3" s="222" t="s">
        <v>38</v>
      </c>
      <c r="AC3" s="217"/>
      <c r="AD3" s="218"/>
      <c r="AE3" s="222" t="s">
        <v>39</v>
      </c>
      <c r="AF3" s="217"/>
      <c r="AG3" s="218"/>
      <c r="AH3" s="222" t="s">
        <v>40</v>
      </c>
      <c r="AI3" s="217"/>
      <c r="AJ3" s="218"/>
      <c r="AK3" s="222" t="s">
        <v>41</v>
      </c>
      <c r="AL3" s="217"/>
      <c r="AM3" s="218"/>
      <c r="AN3" s="222" t="s">
        <v>42</v>
      </c>
      <c r="AO3" s="217"/>
      <c r="AP3" s="218"/>
      <c r="AQ3" s="222" t="s">
        <v>43</v>
      </c>
      <c r="AR3" s="217"/>
      <c r="AS3" s="218"/>
      <c r="AT3" s="222" t="s">
        <v>44</v>
      </c>
      <c r="AU3" s="217"/>
      <c r="AV3" s="218"/>
      <c r="AW3" s="222" t="s">
        <v>45</v>
      </c>
      <c r="AX3" s="217"/>
      <c r="AY3" s="218"/>
      <c r="AZ3" s="222" t="s">
        <v>46</v>
      </c>
      <c r="BA3" s="217"/>
      <c r="BB3" s="218"/>
      <c r="BC3" s="222" t="s">
        <v>47</v>
      </c>
      <c r="BD3" s="217"/>
      <c r="BE3" s="218"/>
      <c r="BF3" s="222" t="s">
        <v>48</v>
      </c>
      <c r="BG3" s="217"/>
      <c r="BH3" s="218"/>
      <c r="BI3" s="222" t="s">
        <v>49</v>
      </c>
      <c r="BJ3" s="217"/>
      <c r="BK3" s="218"/>
      <c r="BL3" s="216">
        <v>42970</v>
      </c>
      <c r="BM3" s="217"/>
      <c r="BN3" s="218"/>
      <c r="BO3" s="216">
        <v>42972</v>
      </c>
      <c r="BP3" s="217"/>
      <c r="BQ3" s="218"/>
      <c r="BR3" s="216">
        <v>42975</v>
      </c>
      <c r="BS3" s="217"/>
      <c r="BT3" s="218"/>
      <c r="BU3" s="216">
        <v>42977</v>
      </c>
      <c r="BV3" s="217"/>
      <c r="BW3" s="218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23"/>
      <c r="B4" s="223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pane xSplit="1" topLeftCell="C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7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33" t="s">
        <v>431</v>
      </c>
      <c r="C1" s="233"/>
      <c r="D1" s="233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27" t="s">
        <v>7</v>
      </c>
      <c r="L2" s="227"/>
      <c r="M2" s="227"/>
      <c r="N2" s="227"/>
      <c r="O2" s="228" t="s">
        <v>8</v>
      </c>
      <c r="P2" s="228"/>
      <c r="Q2" s="228"/>
      <c r="R2" s="234" t="s">
        <v>323</v>
      </c>
      <c r="S2" s="234" t="s">
        <v>324</v>
      </c>
      <c r="T2" s="229" t="s">
        <v>11</v>
      </c>
      <c r="U2" s="229" t="s">
        <v>12</v>
      </c>
      <c r="V2" s="234" t="s">
        <v>325</v>
      </c>
    </row>
    <row r="3" spans="1:22" s="60" customFormat="1" ht="18.75" x14ac:dyDescent="0.3">
      <c r="A3" s="169" t="s">
        <v>6</v>
      </c>
      <c r="B3" s="169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69" t="s">
        <v>2</v>
      </c>
      <c r="I3" s="169" t="s">
        <v>173</v>
      </c>
      <c r="J3" s="169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229"/>
      <c r="S3" s="229"/>
      <c r="T3" s="229"/>
      <c r="U3" s="229"/>
      <c r="V3" s="229"/>
    </row>
    <row r="4" spans="1:22" ht="18.75" x14ac:dyDescent="0.3">
      <c r="A4" s="2">
        <v>1</v>
      </c>
      <c r="B4" s="1" t="s">
        <v>301</v>
      </c>
      <c r="C4" s="167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59">
        <v>4</v>
      </c>
      <c r="L5" s="159">
        <v>12</v>
      </c>
      <c r="M5" s="159">
        <v>12</v>
      </c>
      <c r="N5" s="159">
        <v>11</v>
      </c>
      <c r="O5" s="159">
        <v>20</v>
      </c>
      <c r="P5" s="159">
        <v>2</v>
      </c>
      <c r="Q5" s="159">
        <v>16</v>
      </c>
      <c r="R5" s="159">
        <v>39</v>
      </c>
      <c r="S5" s="159">
        <v>38</v>
      </c>
      <c r="T5" s="159">
        <v>180</v>
      </c>
      <c r="U5" s="159">
        <v>140</v>
      </c>
      <c r="V5" s="159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59">
        <v>0</v>
      </c>
      <c r="L6" s="159">
        <v>14</v>
      </c>
      <c r="M6" s="159">
        <v>8</v>
      </c>
      <c r="N6" s="159">
        <v>7</v>
      </c>
      <c r="O6" s="159">
        <v>15</v>
      </c>
      <c r="P6" s="159">
        <v>5</v>
      </c>
      <c r="Q6" s="159">
        <v>19</v>
      </c>
      <c r="R6" s="159">
        <v>29</v>
      </c>
      <c r="S6" s="159">
        <v>39</v>
      </c>
      <c r="T6" s="159">
        <v>125</v>
      </c>
      <c r="U6" s="159">
        <v>145</v>
      </c>
      <c r="V6" s="159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58">
        <v>4</v>
      </c>
      <c r="L7" s="158">
        <v>9</v>
      </c>
      <c r="M7" s="158">
        <v>9</v>
      </c>
      <c r="N7" s="158">
        <v>7</v>
      </c>
      <c r="O7" s="158">
        <v>21</v>
      </c>
      <c r="P7" s="158">
        <v>4</v>
      </c>
      <c r="Q7" s="158">
        <v>5</v>
      </c>
      <c r="R7" s="158">
        <v>29</v>
      </c>
      <c r="S7" s="158">
        <v>30</v>
      </c>
      <c r="T7" s="158">
        <v>125</v>
      </c>
      <c r="U7" s="158">
        <v>90</v>
      </c>
      <c r="V7" s="158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58">
        <v>4</v>
      </c>
      <c r="L8" s="158">
        <v>9</v>
      </c>
      <c r="M8" s="158">
        <v>9</v>
      </c>
      <c r="N8" s="158">
        <v>8</v>
      </c>
      <c r="O8" s="158">
        <v>19</v>
      </c>
      <c r="P8" s="158">
        <v>1</v>
      </c>
      <c r="Q8" s="158">
        <v>15</v>
      </c>
      <c r="R8" s="158">
        <v>30</v>
      </c>
      <c r="S8" s="158">
        <v>35</v>
      </c>
      <c r="T8" s="158">
        <v>130</v>
      </c>
      <c r="U8" s="158">
        <v>120</v>
      </c>
      <c r="V8" s="158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58">
        <v>4</v>
      </c>
      <c r="L11" s="158">
        <v>11</v>
      </c>
      <c r="M11" s="158">
        <v>5</v>
      </c>
      <c r="N11" s="158">
        <v>12</v>
      </c>
      <c r="O11" s="158">
        <v>17</v>
      </c>
      <c r="P11" s="158">
        <v>3</v>
      </c>
      <c r="Q11" s="158">
        <v>12</v>
      </c>
      <c r="R11" s="158">
        <v>32</v>
      </c>
      <c r="S11" s="158">
        <v>32</v>
      </c>
      <c r="T11" s="158">
        <v>140</v>
      </c>
      <c r="U11" s="158">
        <v>100</v>
      </c>
      <c r="V11" s="158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58">
        <v>2</v>
      </c>
      <c r="L12" s="158">
        <v>12</v>
      </c>
      <c r="M12" s="158">
        <v>8</v>
      </c>
      <c r="N12" s="158">
        <v>9</v>
      </c>
      <c r="O12" s="158">
        <v>15</v>
      </c>
      <c r="P12" s="158">
        <v>3</v>
      </c>
      <c r="Q12" s="158">
        <v>12</v>
      </c>
      <c r="R12" s="158">
        <v>31</v>
      </c>
      <c r="S12" s="158">
        <v>30</v>
      </c>
      <c r="T12" s="158">
        <v>135</v>
      </c>
      <c r="U12" s="158">
        <v>90</v>
      </c>
      <c r="V12" s="158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4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</row>
    <row r="14" spans="1:22" ht="18.75" x14ac:dyDescent="0.3">
      <c r="A14" s="2">
        <v>11</v>
      </c>
      <c r="B14" s="1" t="s">
        <v>355</v>
      </c>
      <c r="C14" s="3" t="s">
        <v>373</v>
      </c>
      <c r="D14" s="54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58">
        <v>2</v>
      </c>
      <c r="L18" s="158">
        <v>10</v>
      </c>
      <c r="M18" s="158">
        <v>11</v>
      </c>
      <c r="N18" s="158">
        <v>14</v>
      </c>
      <c r="O18" s="158">
        <v>26</v>
      </c>
      <c r="P18" s="158">
        <v>5</v>
      </c>
      <c r="Q18" s="158">
        <v>18</v>
      </c>
      <c r="R18" s="158">
        <v>37</v>
      </c>
      <c r="S18" s="158">
        <v>49</v>
      </c>
      <c r="T18" s="158">
        <v>170</v>
      </c>
      <c r="U18" s="158">
        <v>210</v>
      </c>
      <c r="V18" s="158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58">
        <v>0</v>
      </c>
      <c r="L19" s="158">
        <v>10</v>
      </c>
      <c r="M19" s="158">
        <v>5</v>
      </c>
      <c r="N19" s="158">
        <v>8</v>
      </c>
      <c r="O19" s="158">
        <v>12</v>
      </c>
      <c r="P19" s="158">
        <v>1</v>
      </c>
      <c r="Q19" s="158">
        <v>11</v>
      </c>
      <c r="R19" s="158">
        <v>23</v>
      </c>
      <c r="S19" s="158">
        <v>24</v>
      </c>
      <c r="T19" s="158">
        <v>90</v>
      </c>
      <c r="U19" s="158">
        <v>50</v>
      </c>
      <c r="V19" s="158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</row>
    <row r="24" spans="1:22" ht="18.75" x14ac:dyDescent="0.3">
      <c r="A24" s="2"/>
      <c r="C24" s="3"/>
      <c r="G24" s="33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0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</cols>
  <sheetData>
    <row r="1" spans="1:22" ht="26.25" x14ac:dyDescent="0.4">
      <c r="B1" s="5" t="s">
        <v>432</v>
      </c>
      <c r="D1" s="51"/>
      <c r="E1" s="51"/>
      <c r="F1" s="51"/>
      <c r="G1" s="51"/>
      <c r="K1" s="60"/>
      <c r="L1" s="60"/>
      <c r="M1" s="60"/>
      <c r="N1" s="60"/>
      <c r="O1" s="60"/>
      <c r="P1" s="60"/>
      <c r="Q1" s="60"/>
    </row>
    <row r="2" spans="1:22" ht="15.75" x14ac:dyDescent="0.25">
      <c r="D2" s="51"/>
      <c r="E2" s="51"/>
      <c r="F2" s="51"/>
      <c r="G2" s="51"/>
      <c r="K2" s="213" t="s">
        <v>7</v>
      </c>
      <c r="L2" s="213"/>
      <c r="M2" s="213"/>
      <c r="N2" s="213"/>
      <c r="O2" s="214" t="s">
        <v>8</v>
      </c>
      <c r="P2" s="214"/>
      <c r="Q2" s="214"/>
      <c r="R2" s="215" t="s">
        <v>9</v>
      </c>
      <c r="S2" s="215" t="s">
        <v>10</v>
      </c>
      <c r="T2" s="215" t="s">
        <v>11</v>
      </c>
      <c r="U2" s="215" t="s">
        <v>12</v>
      </c>
      <c r="V2" s="215" t="s">
        <v>13</v>
      </c>
    </row>
    <row r="3" spans="1:22" s="60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215"/>
      <c r="S3" s="215"/>
      <c r="T3" s="215"/>
      <c r="U3" s="215"/>
      <c r="V3" s="215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58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8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3"/>
  <sheetViews>
    <sheetView topLeftCell="A7" workbookViewId="0">
      <selection activeCell="B13" sqref="B13"/>
    </sheetView>
  </sheetViews>
  <sheetFormatPr defaultRowHeight="15" x14ac:dyDescent="0.25"/>
  <cols>
    <col min="2" max="2" width="27.85546875" customWidth="1"/>
    <col min="3" max="3" width="16.28515625" style="177" customWidth="1"/>
    <col min="4" max="4" width="20.85546875" style="177" customWidth="1"/>
    <col min="5" max="5" width="37.5703125" customWidth="1"/>
    <col min="6" max="6" width="27.2851562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8" t="s">
        <v>441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27" t="s">
        <v>7</v>
      </c>
      <c r="L2" s="227"/>
      <c r="M2" s="227"/>
      <c r="N2" s="227"/>
      <c r="O2" s="228" t="s">
        <v>8</v>
      </c>
      <c r="P2" s="228"/>
      <c r="Q2" s="228"/>
      <c r="R2" s="234" t="s">
        <v>323</v>
      </c>
      <c r="S2" s="234" t="s">
        <v>324</v>
      </c>
      <c r="T2" s="229" t="s">
        <v>11</v>
      </c>
      <c r="U2" s="229" t="s">
        <v>12</v>
      </c>
      <c r="V2" s="234" t="s">
        <v>325</v>
      </c>
    </row>
    <row r="3" spans="1:22" s="22" customFormat="1" ht="18.75" x14ac:dyDescent="0.3">
      <c r="A3" s="175" t="s">
        <v>6</v>
      </c>
      <c r="B3" s="175" t="s">
        <v>5</v>
      </c>
      <c r="C3" s="176" t="s">
        <v>4</v>
      </c>
      <c r="D3" s="176" t="s">
        <v>3</v>
      </c>
      <c r="E3" s="176" t="s">
        <v>117</v>
      </c>
      <c r="F3" s="176" t="s">
        <v>71</v>
      </c>
      <c r="G3" s="176" t="s">
        <v>106</v>
      </c>
      <c r="H3" s="175" t="s">
        <v>2</v>
      </c>
      <c r="I3" s="175" t="s">
        <v>173</v>
      </c>
      <c r="J3" s="175" t="s">
        <v>1</v>
      </c>
      <c r="K3" s="179" t="s">
        <v>14</v>
      </c>
      <c r="L3" s="180" t="s">
        <v>15</v>
      </c>
      <c r="M3" s="181" t="s">
        <v>16</v>
      </c>
      <c r="N3" s="182" t="s">
        <v>17</v>
      </c>
      <c r="O3" s="183" t="s">
        <v>18</v>
      </c>
      <c r="P3" s="184" t="s">
        <v>19</v>
      </c>
      <c r="Q3" s="185" t="s">
        <v>20</v>
      </c>
      <c r="R3" s="229"/>
      <c r="S3" s="229"/>
      <c r="T3" s="229"/>
      <c r="U3" s="229"/>
      <c r="V3" s="229"/>
    </row>
    <row r="4" spans="1:22" ht="18.75" x14ac:dyDescent="0.3">
      <c r="A4" s="2">
        <v>1</v>
      </c>
      <c r="B4" s="1" t="s">
        <v>313</v>
      </c>
      <c r="C4" s="77"/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/>
      <c r="D5" s="34" t="s">
        <v>440</v>
      </c>
      <c r="E5" s="3"/>
      <c r="F5" s="3"/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7">
        <v>35560</v>
      </c>
      <c r="D6" s="34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/>
      <c r="D7" s="34" t="s">
        <v>443</v>
      </c>
      <c r="E7" s="3"/>
      <c r="F7" s="3"/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/>
      <c r="D8" s="34" t="s">
        <v>446</v>
      </c>
      <c r="E8" s="3"/>
      <c r="F8" s="3"/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77"/>
      <c r="D9" s="34" t="s">
        <v>447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77"/>
      <c r="D10" s="34" t="s">
        <v>451</v>
      </c>
      <c r="E10" s="1"/>
      <c r="F10" s="1"/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454</v>
      </c>
      <c r="C11" s="77"/>
      <c r="D11" s="34" t="s">
        <v>457</v>
      </c>
      <c r="E11" s="1"/>
      <c r="F11" s="1"/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455</v>
      </c>
      <c r="C12" s="77"/>
      <c r="D12" s="34" t="s">
        <v>458</v>
      </c>
      <c r="E12" s="1"/>
      <c r="F12" s="1"/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456</v>
      </c>
      <c r="C13" s="77"/>
      <c r="D13" s="34" t="s">
        <v>459</v>
      </c>
      <c r="E13" s="1"/>
      <c r="F13" s="1"/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tabSelected="1" workbookViewId="0">
      <selection activeCell="H12" sqref="H12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7" customWidth="1"/>
    <col min="4" max="4" width="23.140625" customWidth="1"/>
    <col min="5" max="5" width="48.28515625" customWidth="1"/>
    <col min="6" max="6" width="31.42578125" style="177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78" t="s">
        <v>452</v>
      </c>
      <c r="C1" s="77"/>
      <c r="D1" s="33"/>
      <c r="E1" s="33"/>
      <c r="F1" s="34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1"/>
      <c r="K2" s="237" t="s">
        <v>7</v>
      </c>
      <c r="L2" s="237"/>
      <c r="M2" s="237"/>
      <c r="N2" s="237"/>
      <c r="O2" s="238" t="s">
        <v>8</v>
      </c>
      <c r="P2" s="238"/>
      <c r="Q2" s="238"/>
      <c r="R2" s="235" t="s">
        <v>323</v>
      </c>
      <c r="S2" s="235" t="s">
        <v>324</v>
      </c>
      <c r="T2" s="236" t="s">
        <v>11</v>
      </c>
      <c r="U2" s="236" t="s">
        <v>12</v>
      </c>
      <c r="V2" s="235" t="s">
        <v>325</v>
      </c>
    </row>
    <row r="3" spans="1:22" ht="18.75" x14ac:dyDescent="0.3">
      <c r="A3" s="175" t="s">
        <v>6</v>
      </c>
      <c r="B3" s="175" t="s">
        <v>5</v>
      </c>
      <c r="C3" s="239" t="s">
        <v>4</v>
      </c>
      <c r="D3" s="176" t="s">
        <v>3</v>
      </c>
      <c r="E3" s="176" t="s">
        <v>117</v>
      </c>
      <c r="F3" s="239" t="s">
        <v>71</v>
      </c>
      <c r="G3" s="176" t="s">
        <v>106</v>
      </c>
      <c r="H3" s="175" t="s">
        <v>2</v>
      </c>
      <c r="I3" s="175" t="s">
        <v>173</v>
      </c>
      <c r="J3" s="186" t="s">
        <v>1</v>
      </c>
      <c r="K3" s="179" t="s">
        <v>14</v>
      </c>
      <c r="L3" s="180" t="s">
        <v>15</v>
      </c>
      <c r="M3" s="181" t="s">
        <v>16</v>
      </c>
      <c r="N3" s="182" t="s">
        <v>17</v>
      </c>
      <c r="O3" s="183" t="s">
        <v>18</v>
      </c>
      <c r="P3" s="184" t="s">
        <v>19</v>
      </c>
      <c r="Q3" s="185" t="s">
        <v>20</v>
      </c>
      <c r="R3" s="236"/>
      <c r="S3" s="236"/>
      <c r="T3" s="236"/>
      <c r="U3" s="236"/>
      <c r="V3" s="236"/>
    </row>
    <row r="4" spans="1:22" ht="18.75" x14ac:dyDescent="0.3">
      <c r="A4" s="2">
        <v>1</v>
      </c>
      <c r="B4" s="1" t="s">
        <v>188</v>
      </c>
      <c r="C4" s="34" t="s">
        <v>256</v>
      </c>
      <c r="D4" s="54" t="s">
        <v>189</v>
      </c>
      <c r="E4" s="3" t="s">
        <v>257</v>
      </c>
      <c r="F4" s="34" t="s">
        <v>89</v>
      </c>
      <c r="G4" s="2"/>
      <c r="H4" s="2" t="s">
        <v>53</v>
      </c>
      <c r="I4" s="2" t="s">
        <v>453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202</v>
      </c>
      <c r="C5" s="167">
        <v>34705</v>
      </c>
      <c r="D5" s="74" t="s">
        <v>469</v>
      </c>
      <c r="E5" s="34" t="s">
        <v>470</v>
      </c>
      <c r="F5" s="34" t="s">
        <v>260</v>
      </c>
      <c r="G5" s="33"/>
      <c r="H5" s="2" t="s">
        <v>53</v>
      </c>
      <c r="I5" s="2" t="s">
        <v>453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468</v>
      </c>
      <c r="C6" s="167">
        <v>34983</v>
      </c>
      <c r="D6" s="34" t="s">
        <v>460</v>
      </c>
      <c r="E6" s="3" t="s">
        <v>471</v>
      </c>
      <c r="F6" s="34" t="s">
        <v>260</v>
      </c>
      <c r="G6" s="33"/>
      <c r="H6" s="2"/>
      <c r="I6" s="2" t="s">
        <v>309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461</v>
      </c>
      <c r="C7" s="34" t="s">
        <v>472</v>
      </c>
      <c r="D7" s="34" t="s">
        <v>462</v>
      </c>
      <c r="E7" s="3" t="s">
        <v>471</v>
      </c>
      <c r="F7" s="34" t="s">
        <v>473</v>
      </c>
      <c r="G7" s="33"/>
      <c r="H7" s="2"/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9" customFormat="1" ht="18.75" x14ac:dyDescent="0.3">
      <c r="A8" s="204">
        <v>5</v>
      </c>
      <c r="B8" s="205" t="s">
        <v>465</v>
      </c>
      <c r="C8" s="206" t="s">
        <v>475</v>
      </c>
      <c r="D8" s="206" t="s">
        <v>463</v>
      </c>
      <c r="E8" s="207" t="s">
        <v>464</v>
      </c>
      <c r="F8" s="206" t="s">
        <v>474</v>
      </c>
      <c r="G8" s="208"/>
      <c r="H8" s="204" t="s">
        <v>53</v>
      </c>
      <c r="I8" s="204" t="s">
        <v>309</v>
      </c>
      <c r="J8" s="205"/>
      <c r="K8" s="205"/>
      <c r="L8" s="205"/>
      <c r="M8" s="205"/>
      <c r="N8" s="205"/>
      <c r="O8" s="205"/>
      <c r="P8" s="205"/>
      <c r="Q8" s="205"/>
      <c r="R8" s="205"/>
      <c r="S8" s="205"/>
      <c r="T8" s="205"/>
      <c r="U8" s="205"/>
      <c r="V8" s="205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466</v>
      </c>
      <c r="C11" s="77" t="s">
        <v>476</v>
      </c>
      <c r="D11" s="75" t="s">
        <v>467</v>
      </c>
      <c r="E11" s="1" t="s">
        <v>477</v>
      </c>
      <c r="F11" s="77" t="s">
        <v>89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77"/>
      <c r="D12" s="77"/>
      <c r="E12" s="1"/>
      <c r="F12" s="77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2017-12-14T03:40:58Z</dcterms:modified>
</cp:coreProperties>
</file>